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강원기획금융팀\강원기획금융팀\@ 금융통계\1. (매월) 월별 편제\2026\2605\3. 경제동향 원고\"/>
    </mc:Choice>
  </mc:AlternateContent>
  <xr:revisionPtr revIDLastSave="0" documentId="13_ncr:1_{A44418A0-7D5D-4D48-B3DB-307201531D3C}" xr6:coauthVersionLast="36" xr6:coauthVersionMax="36" xr10:uidLastSave="{00000000-0000-0000-0000-000000000000}"/>
  <bookViews>
    <workbookView xWindow="0" yWindow="225" windowWidth="7395" windowHeight="8325" xr2:uid="{00000000-000D-0000-FFFF-FFFF00000000}"/>
  </bookViews>
  <sheets>
    <sheet name="1.한국은행 계정" sheetId="85" r:id="rId1"/>
    <sheet name="2.1 예금은행 수신" sheetId="88" r:id="rId2"/>
    <sheet name="2.1 예금은행 요구불예금" sheetId="90" r:id="rId3"/>
    <sheet name="2.1 예금은행 저축성예금" sheetId="89" r:id="rId4"/>
    <sheet name="2.1.1 지역별 예금은행 수신" sheetId="91" r:id="rId5"/>
    <sheet name="2.2.1 예금은행 대출금" sheetId="92" r:id="rId6"/>
    <sheet name="2.2.2 주체별 및 용도별 대출금" sheetId="98" r:id="rId7"/>
    <sheet name="2.2.3 기업자금대출금" sheetId="99" r:id="rId8"/>
    <sheet name="2.2.4 산업별대출금(1)" sheetId="93" state="hidden" r:id="rId9"/>
    <sheet name="2.2.4 산업별대출금(2)" sheetId="100" state="hidden" r:id="rId10"/>
    <sheet name="2.2.4 산업별대출금" sheetId="104" r:id="rId11"/>
    <sheet name="2.2.5 지역별대출금" sheetId="94" r:id="rId12"/>
    <sheet name="3.1 비은행기관수신" sheetId="95" r:id="rId13"/>
    <sheet name="3.2.1 비은행기관 기관별 여신" sheetId="96" r:id="rId14"/>
    <sheet name="3.2.2 비은행기관 차입주체별 여신" sheetId="102" r:id="rId15"/>
    <sheet name="4. 어음부도율 및 신설법인수" sheetId="97" r:id="rId16"/>
  </sheets>
  <definedNames>
    <definedName name="_xlnm.Print_Area" localSheetId="0">'1.한국은행 계정'!$A$1:$G$138</definedName>
    <definedName name="_xlnm.Print_Area" localSheetId="1">'2.1 예금은행 수신'!$A$2:$J$135</definedName>
    <definedName name="_xlnm.Print_Area" localSheetId="2">'2.1 예금은행 요구불예금'!$A$5:$I$135</definedName>
    <definedName name="_xlnm.Print_Area" localSheetId="3">'2.1 예금은행 저축성예금'!$A$5:$I$135</definedName>
    <definedName name="_xlnm.Print_Area" localSheetId="4">'2.1.1 지역별 예금은행 수신'!$A$4:$J$136</definedName>
    <definedName name="_xlnm.Print_Area" localSheetId="5">'2.2.1 예금은행 대출금'!$A$1:$H$135</definedName>
    <definedName name="_xlnm.Print_Area" localSheetId="6">'2.2.2 주체별 및 용도별 대출금'!$A$3:$H$135</definedName>
    <definedName name="_xlnm.Print_Area" localSheetId="7">'2.2.3 기업자금대출금'!$A$3:$H$135</definedName>
    <definedName name="_xlnm.Print_Area" localSheetId="10">'2.2.4 산업별대출금'!$A$1:$I$116</definedName>
    <definedName name="_xlnm.Print_Area" localSheetId="8">'2.2.4 산업별대출금(1)'!$A$7:$H$99</definedName>
    <definedName name="_xlnm.Print_Area" localSheetId="9">'2.2.4 산업별대출금(2)'!$A$5:$G$97</definedName>
    <definedName name="_xlnm.Print_Area" localSheetId="11">'2.2.5 지역별대출금'!$A$3:$J$137</definedName>
    <definedName name="_xlnm.Print_Area" localSheetId="12">'3.1 비은행기관수신'!$A$4:$I$137</definedName>
    <definedName name="_xlnm.Print_Area" localSheetId="13">'3.2.1 비은행기관 기관별 여신'!$A$1:$H$136</definedName>
    <definedName name="_xlnm.Print_Area" localSheetId="14">'3.2.2 비은행기관 차입주체별 여신'!$A$4:$F$136</definedName>
  </definedNames>
  <calcPr calcId="191029"/>
</workbook>
</file>

<file path=xl/calcChain.xml><?xml version="1.0" encoding="utf-8"?>
<calcChain xmlns="http://schemas.openxmlformats.org/spreadsheetml/2006/main">
  <c r="I22" i="97" l="1"/>
  <c r="J22" i="88" l="1"/>
  <c r="I22" i="88"/>
  <c r="H22" i="88"/>
  <c r="G22" i="88"/>
  <c r="F22" i="88"/>
  <c r="E22" i="88"/>
  <c r="D22" i="88"/>
  <c r="C22" i="88"/>
  <c r="B22" i="88"/>
  <c r="I22" i="90"/>
  <c r="H22" i="90"/>
  <c r="G22" i="90"/>
  <c r="F22" i="90"/>
  <c r="E22" i="90"/>
  <c r="D22" i="90"/>
  <c r="C22" i="90"/>
  <c r="B22" i="90"/>
  <c r="I22" i="89"/>
  <c r="H22" i="89"/>
  <c r="G22" i="89"/>
  <c r="F22" i="89"/>
  <c r="E22" i="89"/>
  <c r="D22" i="89"/>
  <c r="C22" i="89"/>
  <c r="B22" i="89"/>
  <c r="J22" i="91"/>
  <c r="I22" i="91"/>
  <c r="H22" i="91"/>
  <c r="G22" i="91"/>
  <c r="F22" i="91"/>
  <c r="E22" i="91"/>
  <c r="D22" i="91"/>
  <c r="C22" i="91"/>
  <c r="B22" i="91"/>
  <c r="H22" i="92"/>
  <c r="G22" i="92"/>
  <c r="F22" i="92"/>
  <c r="E22" i="92"/>
  <c r="D22" i="92"/>
  <c r="C22" i="92"/>
  <c r="B22" i="92"/>
  <c r="H22" i="98"/>
  <c r="G22" i="98"/>
  <c r="F22" i="98"/>
  <c r="E22" i="98"/>
  <c r="D22" i="98"/>
  <c r="C22" i="98"/>
  <c r="B22" i="98"/>
  <c r="H22" i="99"/>
  <c r="G22" i="99"/>
  <c r="F22" i="99"/>
  <c r="E22" i="99"/>
  <c r="D22" i="99"/>
  <c r="C22" i="99"/>
  <c r="B22" i="99"/>
  <c r="J22" i="94"/>
  <c r="I22" i="94"/>
  <c r="H22" i="94"/>
  <c r="G22" i="94"/>
  <c r="F22" i="94"/>
  <c r="E22" i="94"/>
  <c r="D22" i="94"/>
  <c r="C22" i="94"/>
  <c r="B22" i="94"/>
  <c r="I22" i="95"/>
  <c r="H22" i="95"/>
  <c r="G22" i="95"/>
  <c r="F22" i="95"/>
  <c r="E22" i="95"/>
  <c r="D22" i="95"/>
  <c r="C22" i="95"/>
  <c r="B22" i="95"/>
  <c r="H22" i="96"/>
  <c r="G22" i="96"/>
  <c r="F22" i="96"/>
  <c r="E22" i="96"/>
  <c r="D22" i="96"/>
  <c r="C22" i="96"/>
  <c r="B22" i="96"/>
  <c r="F22" i="102"/>
  <c r="E22" i="102"/>
  <c r="D22" i="102"/>
  <c r="C22" i="102"/>
  <c r="B22" i="102"/>
  <c r="J22" i="97"/>
  <c r="H22" i="97"/>
  <c r="G22" i="97"/>
  <c r="F22" i="97"/>
  <c r="E22" i="97"/>
  <c r="C22" i="97"/>
  <c r="B22" i="97"/>
  <c r="D22" i="97" s="1"/>
  <c r="G22" i="85" l="1"/>
  <c r="E22" i="85"/>
  <c r="D22" i="85"/>
  <c r="C22" i="85"/>
  <c r="B22" i="85"/>
  <c r="G16" i="85" l="1"/>
  <c r="F16" i="85"/>
  <c r="B16" i="85"/>
  <c r="C16" i="85" l="1"/>
</calcChain>
</file>

<file path=xl/sharedStrings.xml><?xml version="1.0" encoding="utf-8"?>
<sst xmlns="http://schemas.openxmlformats.org/spreadsheetml/2006/main" count="924" uniqueCount="268">
  <si>
    <t>새마을금고</t>
  </si>
  <si>
    <t>연월말</t>
    <phoneticPr fontId="9" type="noConversion"/>
  </si>
  <si>
    <t>계</t>
    <phoneticPr fontId="9" type="noConversion"/>
  </si>
  <si>
    <r>
      <t>영서지역</t>
    </r>
    <r>
      <rPr>
        <vertAlign val="superscript"/>
        <sz val="10"/>
        <rFont val="돋움"/>
        <family val="3"/>
        <charset val="129"/>
      </rPr>
      <t>1)</t>
    </r>
    <phoneticPr fontId="9" type="noConversion"/>
  </si>
  <si>
    <r>
      <t>영동지역</t>
    </r>
    <r>
      <rPr>
        <vertAlign val="superscript"/>
        <sz val="10"/>
        <rFont val="돋움"/>
        <family val="3"/>
        <charset val="129"/>
      </rPr>
      <t>2)</t>
    </r>
    <phoneticPr fontId="9" type="noConversion"/>
  </si>
  <si>
    <t>춘천시</t>
    <phoneticPr fontId="9" type="noConversion"/>
  </si>
  <si>
    <t>원주시</t>
    <phoneticPr fontId="9" type="noConversion"/>
  </si>
  <si>
    <t>홍천군</t>
    <phoneticPr fontId="9" type="noConversion"/>
  </si>
  <si>
    <t>강릉시</t>
    <phoneticPr fontId="9" type="noConversion"/>
  </si>
  <si>
    <t>동해시</t>
    <phoneticPr fontId="9" type="noConversion"/>
  </si>
  <si>
    <t>속초시</t>
    <phoneticPr fontId="9" type="noConversion"/>
  </si>
  <si>
    <t>지    역    별    대    출    금</t>
    <phoneticPr fontId="9" type="noConversion"/>
  </si>
  <si>
    <t>상호저축은행</t>
    <phoneticPr fontId="9" type="noConversion"/>
  </si>
  <si>
    <t>신용협동조합</t>
    <phoneticPr fontId="9" type="noConversion"/>
  </si>
  <si>
    <t>상호금융</t>
    <phoneticPr fontId="9" type="noConversion"/>
  </si>
  <si>
    <t>새마을금고</t>
    <phoneticPr fontId="9" type="noConversion"/>
  </si>
  <si>
    <t>저              축              성            예            금</t>
    <phoneticPr fontId="9" type="noConversion"/>
  </si>
  <si>
    <t>정기예금</t>
    <phoneticPr fontId="9" type="noConversion"/>
  </si>
  <si>
    <t>정기적금</t>
    <phoneticPr fontId="9" type="noConversion"/>
  </si>
  <si>
    <t>저축예금</t>
    <phoneticPr fontId="9" type="noConversion"/>
  </si>
  <si>
    <t>기업자유예금</t>
    <phoneticPr fontId="9" type="noConversion"/>
  </si>
  <si>
    <t>연월말</t>
    <phoneticPr fontId="9" type="noConversion"/>
  </si>
  <si>
    <t>요       구       불       예       금</t>
    <phoneticPr fontId="9" type="noConversion"/>
  </si>
  <si>
    <t>계</t>
    <phoneticPr fontId="9" type="noConversion"/>
  </si>
  <si>
    <t>당좌예금</t>
    <phoneticPr fontId="9" type="noConversion"/>
  </si>
  <si>
    <t>별단예금</t>
    <phoneticPr fontId="9" type="noConversion"/>
  </si>
  <si>
    <t>공금예금</t>
    <phoneticPr fontId="9" type="noConversion"/>
  </si>
  <si>
    <t>지    역    별    예    금</t>
    <phoneticPr fontId="9" type="noConversion"/>
  </si>
  <si>
    <r>
      <t>영서지역</t>
    </r>
    <r>
      <rPr>
        <vertAlign val="superscript"/>
        <sz val="10"/>
        <rFont val="돋움"/>
        <family val="3"/>
        <charset val="129"/>
      </rPr>
      <t>1)</t>
    </r>
    <phoneticPr fontId="9" type="noConversion"/>
  </si>
  <si>
    <r>
      <t>영동지역</t>
    </r>
    <r>
      <rPr>
        <vertAlign val="superscript"/>
        <sz val="10"/>
        <rFont val="돋움"/>
        <family val="3"/>
        <charset val="129"/>
      </rPr>
      <t>2)</t>
    </r>
    <phoneticPr fontId="9" type="noConversion"/>
  </si>
  <si>
    <t>춘천시</t>
    <phoneticPr fontId="9" type="noConversion"/>
  </si>
  <si>
    <t>원주시</t>
    <phoneticPr fontId="9" type="noConversion"/>
  </si>
  <si>
    <t>홍천군</t>
    <phoneticPr fontId="9" type="noConversion"/>
  </si>
  <si>
    <t>강릉시</t>
    <phoneticPr fontId="9" type="noConversion"/>
  </si>
  <si>
    <t>동해시</t>
    <phoneticPr fontId="9" type="noConversion"/>
  </si>
  <si>
    <t>속초시</t>
    <phoneticPr fontId="9" type="noConversion"/>
  </si>
  <si>
    <t>상호저축은행</t>
    <phoneticPr fontId="9" type="noConversion"/>
  </si>
  <si>
    <t>신용협동조합</t>
    <phoneticPr fontId="9" type="noConversion"/>
  </si>
  <si>
    <t>상호금융</t>
    <phoneticPr fontId="9" type="noConversion"/>
  </si>
  <si>
    <t>가계당좌예금</t>
    <phoneticPr fontId="9" type="noConversion"/>
  </si>
  <si>
    <t>총수신</t>
    <phoneticPr fontId="9" type="noConversion"/>
  </si>
  <si>
    <t>예금</t>
    <phoneticPr fontId="9" type="noConversion"/>
  </si>
  <si>
    <t>소계</t>
    <phoneticPr fontId="9" type="noConversion"/>
  </si>
  <si>
    <t>요구불예금</t>
    <phoneticPr fontId="9" type="noConversion"/>
  </si>
  <si>
    <t>저축성예금</t>
    <phoneticPr fontId="9" type="noConversion"/>
  </si>
  <si>
    <t>시장성 수신</t>
    <phoneticPr fontId="9" type="noConversion"/>
  </si>
  <si>
    <t>CD</t>
    <phoneticPr fontId="9" type="noConversion"/>
  </si>
  <si>
    <t>금융채</t>
    <phoneticPr fontId="9" type="noConversion"/>
  </si>
  <si>
    <t>매출어음</t>
    <phoneticPr fontId="9" type="noConversion"/>
  </si>
  <si>
    <t>RP</t>
    <phoneticPr fontId="9" type="noConversion"/>
  </si>
  <si>
    <t>2012</t>
    <phoneticPr fontId="9" type="noConversion"/>
  </si>
  <si>
    <t>총예금</t>
    <phoneticPr fontId="9" type="noConversion"/>
  </si>
  <si>
    <r>
      <t>기타</t>
    </r>
    <r>
      <rPr>
        <vertAlign val="superscript"/>
        <sz val="10"/>
        <rFont val="돋움"/>
        <family val="3"/>
        <charset val="129"/>
      </rPr>
      <t>1)</t>
    </r>
    <phoneticPr fontId="9" type="noConversion"/>
  </si>
  <si>
    <t>수입부금</t>
    <phoneticPr fontId="9" type="noConversion"/>
  </si>
  <si>
    <t>주택부금</t>
    <phoneticPr fontId="9" type="noConversion"/>
  </si>
  <si>
    <t>총대출금</t>
    <phoneticPr fontId="9" type="noConversion"/>
  </si>
  <si>
    <t>소계</t>
    <phoneticPr fontId="9" type="noConversion"/>
  </si>
  <si>
    <t>할인어음</t>
    <phoneticPr fontId="9" type="noConversion"/>
  </si>
  <si>
    <t>당좌대출</t>
    <phoneticPr fontId="9" type="noConversion"/>
  </si>
  <si>
    <t>일반자금</t>
    <phoneticPr fontId="9" type="noConversion"/>
  </si>
  <si>
    <t>금                          융                     자                           금</t>
    <phoneticPr fontId="9" type="noConversion"/>
  </si>
  <si>
    <t>기   타</t>
    <phoneticPr fontId="9" type="noConversion"/>
  </si>
  <si>
    <r>
      <t>재정자금</t>
    </r>
    <r>
      <rPr>
        <vertAlign val="superscript"/>
        <sz val="10"/>
        <rFont val="돋움"/>
        <family val="3"/>
        <charset val="129"/>
      </rPr>
      <t>1)</t>
    </r>
    <phoneticPr fontId="9" type="noConversion"/>
  </si>
  <si>
    <t>주                    체                    별</t>
    <phoneticPr fontId="9" type="noConversion"/>
  </si>
  <si>
    <t>기 업</t>
    <phoneticPr fontId="9" type="noConversion"/>
  </si>
  <si>
    <t>가 계</t>
    <phoneticPr fontId="9" type="noConversion"/>
  </si>
  <si>
    <t>용      도     별</t>
    <phoneticPr fontId="9" type="noConversion"/>
  </si>
  <si>
    <t>운전자금</t>
    <phoneticPr fontId="9" type="noConversion"/>
  </si>
  <si>
    <t>시설자금</t>
    <phoneticPr fontId="9" type="noConversion"/>
  </si>
  <si>
    <t>대기업</t>
    <phoneticPr fontId="9" type="noConversion"/>
  </si>
  <si>
    <t>중소기업</t>
    <phoneticPr fontId="9" type="noConversion"/>
  </si>
  <si>
    <t>운전자금</t>
    <phoneticPr fontId="9" type="noConversion"/>
  </si>
  <si>
    <t>시설자금</t>
    <phoneticPr fontId="9" type="noConversion"/>
  </si>
  <si>
    <t>기 업 자 금    대 출 금</t>
    <phoneticPr fontId="9" type="noConversion"/>
  </si>
  <si>
    <r>
      <t>중소기업 
  대출비중</t>
    </r>
    <r>
      <rPr>
        <vertAlign val="superscript"/>
        <sz val="10"/>
        <rFont val="돋움"/>
        <family val="3"/>
        <charset val="129"/>
      </rPr>
      <t>1)</t>
    </r>
    <phoneticPr fontId="9" type="noConversion"/>
  </si>
  <si>
    <t>농림어업</t>
    <phoneticPr fontId="9" type="noConversion"/>
  </si>
  <si>
    <t>광업</t>
    <phoneticPr fontId="9" type="noConversion"/>
  </si>
  <si>
    <t>제조업</t>
    <phoneticPr fontId="9" type="noConversion"/>
  </si>
  <si>
    <t xml:space="preserve">      2) 은행간 대출금 및 정부대출금을 제외한 대민간 원화대출금</t>
    <phoneticPr fontId="9" type="noConversion"/>
  </si>
  <si>
    <t>가계대출</t>
    <phoneticPr fontId="9" type="noConversion"/>
  </si>
  <si>
    <t>대출금 총계</t>
    <phoneticPr fontId="9" type="noConversion"/>
  </si>
  <si>
    <t>2013</t>
  </si>
  <si>
    <t>기업</t>
    <phoneticPr fontId="9" type="noConversion"/>
  </si>
  <si>
    <t>가계</t>
    <phoneticPr fontId="9" type="noConversion"/>
  </si>
  <si>
    <t>(주택담보대출)</t>
    <phoneticPr fontId="9" type="noConversion"/>
  </si>
  <si>
    <t>-</t>
    <phoneticPr fontId="9" type="noConversion"/>
  </si>
  <si>
    <t>2014</t>
    <phoneticPr fontId="9" type="noConversion"/>
  </si>
  <si>
    <t>2014</t>
    <phoneticPr fontId="9" type="noConversion"/>
  </si>
  <si>
    <t>Ⅰ. 금융통계</t>
    <phoneticPr fontId="9" type="noConversion"/>
  </si>
  <si>
    <t>1. 한국은행 계정</t>
    <phoneticPr fontId="9" type="noConversion"/>
  </si>
  <si>
    <t>(강원)</t>
    <phoneticPr fontId="9" type="noConversion"/>
  </si>
  <si>
    <t xml:space="preserve">         (억원)</t>
  </si>
  <si>
    <t xml:space="preserve">         (억원)</t>
    <phoneticPr fontId="9" type="noConversion"/>
  </si>
  <si>
    <t>연월</t>
    <phoneticPr fontId="9" type="noConversion"/>
  </si>
  <si>
    <r>
      <t>화폐 발행 및 환수</t>
    </r>
    <r>
      <rPr>
        <vertAlign val="superscript"/>
        <sz val="10"/>
        <rFont val="돋움"/>
        <family val="3"/>
        <charset val="129"/>
      </rPr>
      <t>1)</t>
    </r>
    <phoneticPr fontId="9" type="noConversion"/>
  </si>
  <si>
    <r>
      <t>예금 및 대출금</t>
    </r>
    <r>
      <rPr>
        <vertAlign val="superscript"/>
        <sz val="10"/>
        <rFont val="돋움"/>
        <family val="3"/>
        <charset val="129"/>
      </rPr>
      <t>2)</t>
    </r>
    <phoneticPr fontId="9" type="noConversion"/>
  </si>
  <si>
    <r>
      <t>국고 수입 및 지출</t>
    </r>
    <r>
      <rPr>
        <vertAlign val="superscript"/>
        <sz val="10"/>
        <rFont val="돋움"/>
        <family val="3"/>
        <charset val="129"/>
      </rPr>
      <t>1)</t>
    </r>
    <phoneticPr fontId="9" type="noConversion"/>
  </si>
  <si>
    <t>2. 예금은행 여수신</t>
    <phoneticPr fontId="9" type="noConversion"/>
  </si>
  <si>
    <t>(강원)</t>
  </si>
  <si>
    <t>(억원)</t>
  </si>
  <si>
    <t>(억원)</t>
    <phoneticPr fontId="9" type="noConversion"/>
  </si>
  <si>
    <t xml:space="preserve">   주 : 1) 기간중          2) 해당기간 말잔</t>
    <phoneticPr fontId="9" type="noConversion"/>
  </si>
  <si>
    <t>주 :  1) 춘천, 원주, 홍천, 철원, 화천, 양구, 인제, 횡성</t>
    <phoneticPr fontId="9" type="noConversion"/>
  </si>
  <si>
    <t>2.1 예금은행 수신</t>
    <phoneticPr fontId="9" type="noConversion"/>
  </si>
  <si>
    <t>2.2 예금은행 대출금</t>
    <phoneticPr fontId="9" type="noConversion"/>
  </si>
  <si>
    <t>2.2.1 자금별 대출금</t>
    <phoneticPr fontId="9" type="noConversion"/>
  </si>
  <si>
    <t>2.2.2 주체별 및 용도별 대출금</t>
    <phoneticPr fontId="9" type="noConversion"/>
  </si>
  <si>
    <r>
      <t>공공 및 기타</t>
    </r>
    <r>
      <rPr>
        <vertAlign val="superscript"/>
        <sz val="10"/>
        <rFont val="돋움"/>
        <family val="3"/>
        <charset val="129"/>
      </rPr>
      <t>1)</t>
    </r>
    <phoneticPr fontId="9" type="noConversion"/>
  </si>
  <si>
    <t>금융 및 보험업</t>
  </si>
  <si>
    <t>숙박 및 음식업</t>
  </si>
  <si>
    <t>산  업  별   대  출  금</t>
    <phoneticPr fontId="9" type="noConversion"/>
  </si>
  <si>
    <t>2.2.3 기업자금 대출금</t>
    <phoneticPr fontId="9" type="noConversion"/>
  </si>
  <si>
    <t>2.2.5 지역별 대출금</t>
    <phoneticPr fontId="9" type="noConversion"/>
  </si>
  <si>
    <t>3. 비은행예금취급기관 여수신</t>
    <phoneticPr fontId="9" type="noConversion"/>
  </si>
  <si>
    <t>3.1 비은행예금취급기관 수신</t>
    <phoneticPr fontId="9" type="noConversion"/>
  </si>
  <si>
    <t>3.2 비은행예금취급기관 여신</t>
    <phoneticPr fontId="9" type="noConversion"/>
  </si>
  <si>
    <t>3.2.1 기관별 여신</t>
    <phoneticPr fontId="9" type="noConversion"/>
  </si>
  <si>
    <t>3.2.2 차입주체별 여신</t>
    <phoneticPr fontId="9" type="noConversion"/>
  </si>
  <si>
    <t>연월말</t>
  </si>
  <si>
    <t>법인</t>
    <phoneticPr fontId="9" type="noConversion"/>
  </si>
  <si>
    <t>개인</t>
    <phoneticPr fontId="9" type="noConversion"/>
  </si>
  <si>
    <t xml:space="preserve"> (억원, %, 개)</t>
    <phoneticPr fontId="9" type="noConversion"/>
  </si>
  <si>
    <t>발행</t>
    <phoneticPr fontId="9" type="noConversion"/>
  </si>
  <si>
    <t>환수</t>
    <phoneticPr fontId="9" type="noConversion"/>
  </si>
  <si>
    <t>대출금</t>
    <phoneticPr fontId="9" type="noConversion"/>
  </si>
  <si>
    <t>수입</t>
    <phoneticPr fontId="9" type="noConversion"/>
  </si>
  <si>
    <t>지출</t>
    <phoneticPr fontId="9" type="noConversion"/>
  </si>
  <si>
    <t>2015</t>
    <phoneticPr fontId="9" type="noConversion"/>
  </si>
  <si>
    <t>2015</t>
    <phoneticPr fontId="9" type="noConversion"/>
  </si>
  <si>
    <t>2015</t>
    <phoneticPr fontId="9" type="noConversion"/>
  </si>
  <si>
    <t>2015</t>
    <phoneticPr fontId="9" type="noConversion"/>
  </si>
  <si>
    <t>2015</t>
    <phoneticPr fontId="9" type="noConversion"/>
  </si>
  <si>
    <t>(억원)</t>
    <phoneticPr fontId="9" type="noConversion"/>
  </si>
  <si>
    <t>산업별대출금 
총계</t>
    <phoneticPr fontId="9" type="noConversion"/>
  </si>
  <si>
    <t>2016</t>
    <phoneticPr fontId="9" type="noConversion"/>
  </si>
  <si>
    <t>2016</t>
    <phoneticPr fontId="9" type="noConversion"/>
  </si>
  <si>
    <t>건설업</t>
  </si>
  <si>
    <t>도매 및
소매업</t>
    <phoneticPr fontId="9" type="noConversion"/>
  </si>
  <si>
    <t>정보통신, 예술ㆍ스포츠ㆍ여가관련 서비스업</t>
    <phoneticPr fontId="9" type="noConversion"/>
  </si>
  <si>
    <t>부동산업</t>
    <phoneticPr fontId="9" type="noConversion"/>
  </si>
  <si>
    <t>공공행정 등
기타서비스</t>
    <phoneticPr fontId="9" type="noConversion"/>
  </si>
  <si>
    <t>2017</t>
    <phoneticPr fontId="9" type="noConversion"/>
  </si>
  <si>
    <t>2017</t>
    <phoneticPr fontId="9" type="noConversion"/>
  </si>
  <si>
    <r>
      <t>2.2.4 산업별 대출금</t>
    </r>
    <r>
      <rPr>
        <vertAlign val="superscript"/>
        <sz val="10"/>
        <rFont val="돋움"/>
        <family val="3"/>
        <charset val="129"/>
      </rPr>
      <t>1)2)</t>
    </r>
    <phoneticPr fontId="9" type="noConversion"/>
  </si>
  <si>
    <r>
      <t>산  업  별   대  출  금</t>
    </r>
    <r>
      <rPr>
        <vertAlign val="superscript"/>
        <sz val="10"/>
        <rFont val="돋움"/>
        <family val="3"/>
        <charset val="129"/>
      </rPr>
      <t>1)2)</t>
    </r>
    <phoneticPr fontId="9" type="noConversion"/>
  </si>
  <si>
    <t>주 :  1) 춘천, 원주, 홍천, 철원, 화천, 양구, 인제, 횡성     2) 강릉, 동해, 속초, 삼척, 태백, 고성, 양양, 평창, 정선, 영월</t>
    <phoneticPr fontId="9" type="noConversion"/>
  </si>
  <si>
    <t xml:space="preserve">       2) 강릉, 동해, 속초, 삼척, 태백, 고성, 양양, 평창, 정선, 영월</t>
    <phoneticPr fontId="9" type="noConversion"/>
  </si>
  <si>
    <t>2018</t>
    <phoneticPr fontId="9" type="noConversion"/>
  </si>
  <si>
    <t>2018</t>
    <phoneticPr fontId="9" type="noConversion"/>
  </si>
  <si>
    <t>2019</t>
    <phoneticPr fontId="9" type="noConversion"/>
  </si>
  <si>
    <t>연월말</t>
    <phoneticPr fontId="9" type="noConversion"/>
  </si>
  <si>
    <t/>
  </si>
  <si>
    <t>보통예금</t>
    <phoneticPr fontId="9" type="noConversion"/>
  </si>
  <si>
    <r>
      <t>4. 어음부도율</t>
    </r>
    <r>
      <rPr>
        <vertAlign val="superscript"/>
        <sz val="11"/>
        <rFont val="돋움"/>
        <family val="3"/>
        <charset val="129"/>
      </rPr>
      <t>1)</t>
    </r>
    <r>
      <rPr>
        <sz val="11"/>
        <rFont val="돋움"/>
        <family val="3"/>
        <charset val="129"/>
      </rPr>
      <t>,</t>
    </r>
    <r>
      <rPr>
        <b/>
        <sz val="11"/>
        <rFont val="돋움"/>
        <family val="3"/>
        <charset val="129"/>
      </rPr>
      <t xml:space="preserve"> 신설법인수, 신용보증실적 및 예금은행 요구불예금 회전율</t>
    </r>
    <phoneticPr fontId="9" type="noConversion"/>
  </si>
  <si>
    <t>2020</t>
  </si>
  <si>
    <t>2020</t>
    <phoneticPr fontId="9" type="noConversion"/>
  </si>
  <si>
    <t>주 : 1) 산업분류는 한국표준산업분류표에 따름(제10차 개정, 2017.1.14)</t>
    <phoneticPr fontId="9" type="noConversion"/>
  </si>
  <si>
    <t>2021</t>
    <phoneticPr fontId="9" type="noConversion"/>
  </si>
  <si>
    <t xml:space="preserve">   주 : 1) 국고예금, 기타요구불예금 등 </t>
    <phoneticPr fontId="9" type="noConversion"/>
  </si>
  <si>
    <t xml:space="preserve">   주 : 1) 목돈마련저축, 근로자주택마련저축, 근로자장기저축, 기타저축성예금 등</t>
    <phoneticPr fontId="9" type="noConversion"/>
  </si>
  <si>
    <t xml:space="preserve">   주 : 1) 차관자금, 국민투자기금, 국민주택기금 대출금 포함   </t>
    <phoneticPr fontId="9" type="noConversion"/>
  </si>
  <si>
    <t xml:space="preserve">   주 : 1) 공공자금대출, 차관자금대출, 주택기금대출 등</t>
    <phoneticPr fontId="9" type="noConversion"/>
  </si>
  <si>
    <t xml:space="preserve">   주 : 1) 총대출금에서 중소기업대출금이 차지하는 비중(%)   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</si>
  <si>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</si>
  <si>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</si>
  <si>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</si>
  <si>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t>6 p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</si>
  <si>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</si>
  <si>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</si>
  <si>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</si>
  <si>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</si>
  <si>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</si>
  <si>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</si>
  <si>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</si>
  <si>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</si>
  <si>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</si>
  <si>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</si>
  <si>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</si>
  <si>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</si>
  <si>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</si>
  <si>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</si>
  <si>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</si>
  <si>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</si>
  <si>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</si>
  <si>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</si>
  <si>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t>-</t>
    <phoneticPr fontId="9" type="noConversion"/>
  </si>
  <si>
    <r>
      <t>자산운용
회사</t>
    </r>
    <r>
      <rPr>
        <vertAlign val="superscript"/>
        <sz val="10"/>
        <rFont val="돋움"/>
        <family val="3"/>
        <charset val="129"/>
      </rPr>
      <t>1)</t>
    </r>
    <phoneticPr fontId="9" type="noConversion"/>
  </si>
  <si>
    <t>우체국예금</t>
    <phoneticPr fontId="9" type="noConversion"/>
  </si>
  <si>
    <t>비은행예금취급기관</t>
    <phoneticPr fontId="9" type="noConversion"/>
  </si>
  <si>
    <t>2021</t>
    <phoneticPr fontId="9" type="noConversion"/>
  </si>
  <si>
    <r>
      <t>신탁회사</t>
    </r>
    <r>
      <rPr>
        <vertAlign val="superscript"/>
        <sz val="10"/>
        <rFont val="돋움"/>
        <family val="3"/>
        <charset val="129"/>
      </rPr>
      <t>1)</t>
    </r>
    <phoneticPr fontId="9" type="noConversion"/>
  </si>
  <si>
    <t>주 : 1) 자산운용사 펀드상품의 지역별 판매잔액 기준              2) 은행, 증권 및 보험회사의 신탁업</t>
    <phoneticPr fontId="9" type="noConversion"/>
  </si>
  <si>
    <t>주택담보대출</t>
    <phoneticPr fontId="9" type="noConversion"/>
  </si>
  <si>
    <t>연월</t>
    <phoneticPr fontId="9" type="noConversion"/>
  </si>
  <si>
    <r>
      <t>어음교환액</t>
    </r>
    <r>
      <rPr>
        <vertAlign val="superscript"/>
        <sz val="10"/>
        <rFont val="돋움"/>
        <family val="3"/>
        <charset val="129"/>
      </rPr>
      <t>2)</t>
    </r>
    <phoneticPr fontId="9" type="noConversion"/>
  </si>
  <si>
    <r>
      <t>어음부도액</t>
    </r>
    <r>
      <rPr>
        <vertAlign val="superscript"/>
        <sz val="10"/>
        <rFont val="돋움"/>
        <family val="3"/>
        <charset val="129"/>
      </rPr>
      <t>2)</t>
    </r>
    <phoneticPr fontId="9" type="noConversion"/>
  </si>
  <si>
    <r>
      <t>어음부도율</t>
    </r>
    <r>
      <rPr>
        <vertAlign val="superscript"/>
        <sz val="10"/>
        <rFont val="돋움"/>
        <family val="3"/>
        <charset val="129"/>
      </rPr>
      <t>2)</t>
    </r>
    <phoneticPr fontId="9" type="noConversion"/>
  </si>
  <si>
    <r>
      <t>부도업체수</t>
    </r>
    <r>
      <rPr>
        <vertAlign val="superscript"/>
        <sz val="10"/>
        <rFont val="돋움"/>
        <family val="3"/>
        <charset val="129"/>
      </rPr>
      <t>2)</t>
    </r>
    <phoneticPr fontId="9" type="noConversion"/>
  </si>
  <si>
    <r>
      <t>신설법인수</t>
    </r>
    <r>
      <rPr>
        <vertAlign val="superscript"/>
        <sz val="10"/>
        <rFont val="돋움"/>
        <family val="3"/>
        <charset val="129"/>
      </rPr>
      <t>2)</t>
    </r>
    <phoneticPr fontId="9" type="noConversion"/>
  </si>
  <si>
    <r>
      <t>신용보증실적</t>
    </r>
    <r>
      <rPr>
        <vertAlign val="superscript"/>
        <sz val="10"/>
        <rFont val="돋움"/>
        <family val="3"/>
        <charset val="129"/>
      </rPr>
      <t>3)</t>
    </r>
    <phoneticPr fontId="9" type="noConversion"/>
  </si>
  <si>
    <t xml:space="preserve"> </t>
    <phoneticPr fontId="9" type="noConversion"/>
  </si>
  <si>
    <t xml:space="preserve">   주 : 1) 은행, 증권 및 보험회사의 신탁업                     2) 수출입은행, 우체국예금 등  </t>
    <phoneticPr fontId="9" type="noConversion"/>
  </si>
  <si>
    <t>비은행예금취급기관</t>
    <phoneticPr fontId="9" type="noConversion"/>
  </si>
  <si>
    <r>
      <t>기타</t>
    </r>
    <r>
      <rPr>
        <vertAlign val="superscript"/>
        <sz val="10"/>
        <rFont val="돋움"/>
        <family val="3"/>
        <charset val="129"/>
      </rPr>
      <t>2)</t>
    </r>
    <phoneticPr fontId="9" type="noConversion"/>
  </si>
  <si>
    <r>
      <t>신탁회사</t>
    </r>
    <r>
      <rPr>
        <vertAlign val="superscript"/>
        <sz val="10"/>
        <rFont val="돋움"/>
        <family val="3"/>
        <charset val="129"/>
      </rPr>
      <t>2)</t>
    </r>
    <phoneticPr fontId="9" type="noConversion"/>
  </si>
  <si>
    <r>
      <t>예금은행
요구불예금
회전율(회/월)</t>
    </r>
    <r>
      <rPr>
        <vertAlign val="superscript"/>
        <sz val="10"/>
        <rFont val="돋움"/>
        <family val="3"/>
        <charset val="129"/>
      </rPr>
      <t>2)4)</t>
    </r>
    <phoneticPr fontId="9" type="noConversion"/>
  </si>
  <si>
    <t>7</t>
    <phoneticPr fontId="9" type="noConversion"/>
  </si>
  <si>
    <t>8</t>
    <phoneticPr fontId="9" type="noConversion"/>
  </si>
  <si>
    <t>9</t>
    <phoneticPr fontId="9" type="noConversion"/>
  </si>
  <si>
    <t>10</t>
    <phoneticPr fontId="9" type="noConversion"/>
  </si>
  <si>
    <t>2022</t>
    <phoneticPr fontId="9" type="noConversion"/>
  </si>
  <si>
    <t>2021</t>
    <phoneticPr fontId="9" type="noConversion"/>
  </si>
  <si>
    <t>11</t>
    <phoneticPr fontId="9" type="noConversion"/>
  </si>
  <si>
    <t>12</t>
    <phoneticPr fontId="9" type="noConversion"/>
  </si>
  <si>
    <t>2023.1</t>
    <phoneticPr fontId="9" type="noConversion"/>
  </si>
  <si>
    <t>2</t>
    <phoneticPr fontId="9" type="noConversion"/>
  </si>
  <si>
    <t>12</t>
    <phoneticPr fontId="9" type="noConversion"/>
  </si>
  <si>
    <t>3</t>
    <phoneticPr fontId="9" type="noConversion"/>
  </si>
  <si>
    <t>4</t>
    <phoneticPr fontId="9" type="noConversion"/>
  </si>
  <si>
    <t>2023.3</t>
    <phoneticPr fontId="9" type="noConversion"/>
  </si>
  <si>
    <t>5</t>
    <phoneticPr fontId="9" type="noConversion"/>
  </si>
  <si>
    <t>6</t>
    <phoneticPr fontId="9" type="noConversion"/>
  </si>
  <si>
    <t>7</t>
    <phoneticPr fontId="9" type="noConversion"/>
  </si>
  <si>
    <t>6</t>
    <phoneticPr fontId="9" type="noConversion"/>
  </si>
  <si>
    <t>8</t>
    <phoneticPr fontId="9" type="noConversion"/>
  </si>
  <si>
    <t>9</t>
    <phoneticPr fontId="9" type="noConversion"/>
  </si>
  <si>
    <t>9</t>
    <phoneticPr fontId="9" type="noConversion"/>
  </si>
  <si>
    <t>11</t>
    <phoneticPr fontId="9" type="noConversion"/>
  </si>
  <si>
    <t>12</t>
    <phoneticPr fontId="9" type="noConversion"/>
  </si>
  <si>
    <t>2024.1</t>
    <phoneticPr fontId="9" type="noConversion"/>
  </si>
  <si>
    <t>2</t>
    <phoneticPr fontId="9" type="noConversion"/>
  </si>
  <si>
    <t>12</t>
    <phoneticPr fontId="9" type="noConversion"/>
  </si>
  <si>
    <t>12</t>
    <phoneticPr fontId="9" type="noConversion"/>
  </si>
  <si>
    <t>3</t>
    <phoneticPr fontId="9" type="noConversion"/>
  </si>
  <si>
    <t>4</t>
    <phoneticPr fontId="9" type="noConversion"/>
  </si>
  <si>
    <t>5</t>
    <phoneticPr fontId="9" type="noConversion"/>
  </si>
  <si>
    <t>2024.3</t>
    <phoneticPr fontId="9" type="noConversion"/>
  </si>
  <si>
    <t>6</t>
    <phoneticPr fontId="9" type="noConversion"/>
  </si>
  <si>
    <t>2023</t>
    <phoneticPr fontId="9" type="noConversion"/>
  </si>
  <si>
    <t>8</t>
    <phoneticPr fontId="9" type="noConversion"/>
  </si>
  <si>
    <t xml:space="preserve">   주 : 1) 전자결제액 제외, 전자어음 포함                               2) 기간중</t>
    <phoneticPr fontId="9" type="noConversion"/>
  </si>
  <si>
    <t xml:space="preserve">         3) 해당기간 말잔                                                         4) 연중의 경우 월평균 기준   </t>
    <phoneticPr fontId="9" type="noConversion"/>
  </si>
  <si>
    <t>9</t>
    <phoneticPr fontId="9" type="noConversion"/>
  </si>
  <si>
    <t>6</t>
    <phoneticPr fontId="9" type="noConversion"/>
  </si>
  <si>
    <t>10</t>
    <phoneticPr fontId="9" type="noConversion"/>
  </si>
  <si>
    <t>주 : 1) 산업분류는 한국표준산업분류표에 따름(제11차 개정, 2024.12.6)</t>
    <phoneticPr fontId="9" type="noConversion"/>
  </si>
  <si>
    <t>11</t>
    <phoneticPr fontId="9" type="noConversion"/>
  </si>
  <si>
    <t>2024</t>
    <phoneticPr fontId="9" type="noConversion"/>
  </si>
  <si>
    <t>12</t>
    <phoneticPr fontId="9" type="noConversion"/>
  </si>
  <si>
    <t>2024</t>
    <phoneticPr fontId="9" type="noConversion"/>
  </si>
  <si>
    <t>2025.1</t>
    <phoneticPr fontId="9" type="noConversion"/>
  </si>
  <si>
    <t>2</t>
    <phoneticPr fontId="9" type="noConversion"/>
  </si>
  <si>
    <t>3</t>
    <phoneticPr fontId="9" type="noConversion"/>
  </si>
  <si>
    <t>4</t>
    <phoneticPr fontId="9" type="noConversion"/>
  </si>
  <si>
    <t>2025.3</t>
  </si>
  <si>
    <t>5</t>
    <phoneticPr fontId="9" type="noConversion"/>
  </si>
  <si>
    <t>6</t>
    <phoneticPr fontId="9" type="noConversion"/>
  </si>
  <si>
    <t>7</t>
    <phoneticPr fontId="9" type="noConversion"/>
  </si>
  <si>
    <t>8</t>
    <phoneticPr fontId="9" type="noConversion"/>
  </si>
  <si>
    <t>9</t>
    <phoneticPr fontId="9" type="noConversion"/>
  </si>
  <si>
    <t>6</t>
    <phoneticPr fontId="9" type="noConversion"/>
  </si>
  <si>
    <t>12p</t>
    <phoneticPr fontId="9" type="noConversion"/>
  </si>
  <si>
    <t>10</t>
    <phoneticPr fontId="9" type="noConversion"/>
  </si>
  <si>
    <t>2025p</t>
    <phoneticPr fontId="9" type="noConversion"/>
  </si>
  <si>
    <t>2025</t>
    <phoneticPr fontId="9" type="noConversion"/>
  </si>
  <si>
    <t>3p</t>
    <phoneticPr fontId="9" type="noConversion"/>
  </si>
  <si>
    <t>2026.1</t>
    <phoneticPr fontId="9" type="noConversion"/>
  </si>
  <si>
    <t>4p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</si>
</sst>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.0"/>
    <numFmt numFmtId="177" formatCode="_-* #,##0.0_-;\-* #,##0.0_-;_-* &quot;-&quot;_-;_-@_-"/>
    <numFmt numFmtId="178" formatCode="#,##0_ "/>
    <numFmt numFmtId="179" formatCode="_-* #,##0.00_-;&quot;₩&quot;\!\-* #,##0.00_-;_-* &quot;-&quot;??_-;_-@_-"/>
    <numFmt numFmtId="180" formatCode="_-* #,##0_-;&quot;₩&quot;\!\-* #,##0_-;_-* &quot;-&quot;_-;_-@_-"/>
    <numFmt numFmtId="181" formatCode="#,##0_);[Red]\(#,##0\)"/>
    <numFmt numFmtId="182" formatCode="_-* #,##0_-;\-* #,##0_-;_-* &quot;-&quot;??_-;_-@_-"/>
    <numFmt numFmtId="183" formatCode="#,##0.0_ "/>
    <numFmt numFmtId="184" formatCode="_ * #,##0_ ;_ * \-#,##0_ ;_ * &quot;-&quot;_ ;_ @_ "/>
    <numFmt numFmtId="185" formatCode="_-&quot;₩&quot;* #,##0_-;&quot;₩&quot;\!\-&quot;₩&quot;* #,##0_-;_-&quot;₩&quot;* &quot;-&quot;_-;_-@_-"/>
    <numFmt numFmtId="186" formatCode="0.00_ "/>
    <numFmt numFmtId="187" formatCode="0.0%"/>
    <numFmt numFmtId="188" formatCode="#,##0_ ;[Red]\-#,##0\ "/>
    <numFmt numFmtId="189" formatCode="#,##0.00_ "/>
  </numFmts>
  <fonts count="6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vertAlign val="superscript"/>
      <sz val="10"/>
      <name val="돋움"/>
      <family val="3"/>
      <charset val="129"/>
    </font>
    <font>
      <b/>
      <sz val="10"/>
      <name val="돋움"/>
      <family val="3"/>
      <charset val="129"/>
    </font>
    <font>
      <i/>
      <sz val="11"/>
      <name val="돋움"/>
      <family val="3"/>
      <charset val="129"/>
    </font>
    <font>
      <sz val="9"/>
      <name val="돋움"/>
      <family val="3"/>
      <charset val="129"/>
    </font>
    <font>
      <b/>
      <sz val="11"/>
      <name val="돋움"/>
      <family val="3"/>
      <charset val="129"/>
    </font>
    <font>
      <b/>
      <sz val="16"/>
      <name val="굴림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1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5"/>
      <name val="맑은 고딕"/>
      <family val="3"/>
      <charset val="129"/>
      <scheme val="minor"/>
    </font>
    <font>
      <sz val="10"/>
      <color rgb="FFFF0000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0"/>
      <name val="맑은 고딕"/>
      <family val="3"/>
      <charset val="129"/>
      <scheme val="minor"/>
    </font>
    <font>
      <vertAlign val="superscript"/>
      <sz val="11"/>
      <name val="돋움"/>
      <family val="3"/>
      <charset val="129"/>
    </font>
    <font>
      <sz val="11"/>
      <color rgb="FFFF0000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5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815">
    <xf numFmtId="0" fontId="0" fillId="0" borderId="0"/>
    <xf numFmtId="0" fontId="17" fillId="2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1" applyNumberForma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3" applyNumberFormat="0" applyAlignment="0" applyProtection="0">
      <alignment vertical="center"/>
    </xf>
    <xf numFmtId="41" fontId="8" fillId="0" borderId="0" applyFont="0" applyFill="0" applyBorder="0" applyAlignment="0" applyProtection="0"/>
    <xf numFmtId="0" fontId="19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7" borderId="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15" borderId="9" applyNumberFormat="0" applyAlignment="0" applyProtection="0">
      <alignment vertical="center"/>
    </xf>
    <xf numFmtId="180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0" fontId="6" fillId="0" borderId="0">
      <alignment vertical="center"/>
    </xf>
    <xf numFmtId="0" fontId="5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17" fillId="2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1" applyNumberForma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3" applyNumberFormat="0" applyAlignment="0" applyProtection="0">
      <alignment vertical="center"/>
    </xf>
    <xf numFmtId="41" fontId="7" fillId="0" borderId="0" applyFont="0" applyFill="0" applyBorder="0" applyAlignment="0" applyProtection="0"/>
    <xf numFmtId="0" fontId="19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7" borderId="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15" borderId="9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3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8" fillId="0" borderId="0">
      <alignment vertical="center"/>
    </xf>
    <xf numFmtId="0" fontId="3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/>
    <xf numFmtId="41" fontId="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8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28" applyNumberFormat="0" applyAlignment="0" applyProtection="0">
      <alignment vertical="center"/>
    </xf>
    <xf numFmtId="0" fontId="49" fillId="22" borderId="29" applyNumberFormat="0" applyAlignment="0" applyProtection="0">
      <alignment vertical="center"/>
    </xf>
    <xf numFmtId="0" fontId="50" fillId="22" borderId="28" applyNumberFormat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23" borderId="31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33" applyNumberFormat="0" applyFill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3" fillId="0" borderId="0">
      <alignment vertical="center"/>
    </xf>
    <xf numFmtId="184" fontId="7" fillId="0" borderId="0" applyFont="0" applyFill="0" applyBorder="0" applyAlignment="0" applyProtection="0"/>
    <xf numFmtId="0" fontId="5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7" fillId="0" borderId="0"/>
    <xf numFmtId="41" fontId="7" fillId="0" borderId="0" applyFont="0" applyFill="0" applyBorder="0" applyAlignment="0" applyProtection="0"/>
    <xf numFmtId="0" fontId="7" fillId="0" borderId="0"/>
    <xf numFmtId="41" fontId="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8" fillId="0" borderId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3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" fillId="0" borderId="0">
      <alignment vertical="center"/>
    </xf>
    <xf numFmtId="0" fontId="3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3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185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32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5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346">
    <xf numFmtId="0" fontId="0" fillId="0" borderId="0" xfId="0"/>
    <xf numFmtId="0" fontId="10" fillId="0" borderId="0" xfId="0" applyFont="1"/>
    <xf numFmtId="0" fontId="10" fillId="0" borderId="0" xfId="0" applyFont="1" applyBorder="1"/>
    <xf numFmtId="41" fontId="10" fillId="0" borderId="0" xfId="32" applyFont="1" applyBorder="1"/>
    <xf numFmtId="0" fontId="10" fillId="0" borderId="0" xfId="0" applyFont="1" applyAlignment="1">
      <alignment horizontal="right"/>
    </xf>
    <xf numFmtId="0" fontId="15" fillId="0" borderId="0" xfId="0" applyFont="1"/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41" fontId="10" fillId="0" borderId="12" xfId="32" applyNumberFormat="1" applyFont="1" applyBorder="1" applyAlignment="1">
      <alignment horizontal="right" vertical="center"/>
    </xf>
    <xf numFmtId="0" fontId="14" fillId="0" borderId="0" xfId="0" applyFont="1"/>
    <xf numFmtId="0" fontId="8" fillId="0" borderId="0" xfId="0" applyFont="1"/>
    <xf numFmtId="0" fontId="8" fillId="0" borderId="0" xfId="0" applyFont="1" applyBorder="1"/>
    <xf numFmtId="41" fontId="8" fillId="0" borderId="0" xfId="0" applyNumberFormat="1" applyFont="1"/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0" xfId="0" applyFont="1" applyAlignment="1">
      <alignment vertical="center"/>
    </xf>
    <xf numFmtId="41" fontId="10" fillId="0" borderId="11" xfId="32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1" fontId="8" fillId="0" borderId="0" xfId="0" applyNumberFormat="1" applyFont="1" applyBorder="1"/>
    <xf numFmtId="0" fontId="8" fillId="0" borderId="0" xfId="0" applyFont="1" applyAlignment="1">
      <alignment vertical="center"/>
    </xf>
    <xf numFmtId="0" fontId="8" fillId="0" borderId="0" xfId="0" applyFont="1" applyAlignment="1"/>
    <xf numFmtId="0" fontId="8" fillId="0" borderId="0" xfId="0" applyFont="1" applyAlignment="1">
      <alignment horizontal="center"/>
    </xf>
    <xf numFmtId="41" fontId="10" fillId="0" borderId="0" xfId="32" applyFont="1" applyBorder="1" applyAlignment="1">
      <alignment vertical="center"/>
    </xf>
    <xf numFmtId="0" fontId="8" fillId="0" borderId="0" xfId="0" applyFont="1" applyBorder="1" applyAlignment="1">
      <alignment vertical="center"/>
    </xf>
    <xf numFmtId="41" fontId="10" fillId="0" borderId="12" xfId="32" applyNumberFormat="1" applyFont="1" applyBorder="1" applyAlignment="1">
      <alignment horizontal="left" vertical="center"/>
    </xf>
    <xf numFmtId="41" fontId="10" fillId="0" borderId="12" xfId="32" applyFont="1" applyBorder="1" applyAlignment="1">
      <alignment horizontal="left" vertical="center"/>
    </xf>
    <xf numFmtId="41" fontId="10" fillId="0" borderId="0" xfId="32" applyFont="1" applyAlignment="1">
      <alignment vertical="center"/>
    </xf>
    <xf numFmtId="41" fontId="8" fillId="0" borderId="0" xfId="0" applyNumberFormat="1" applyFont="1" applyAlignment="1">
      <alignment horizontal="right" indent="1"/>
    </xf>
    <xf numFmtId="0" fontId="10" fillId="0" borderId="0" xfId="0" applyFont="1" applyAlignment="1">
      <alignment horizontal="left" vertical="center" indent="1"/>
    </xf>
    <xf numFmtId="0" fontId="13" fillId="0" borderId="0" xfId="0" applyFont="1" applyAlignment="1">
      <alignment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10" xfId="32" applyNumberFormat="1" applyFont="1" applyBorder="1" applyAlignment="1">
      <alignment horizontal="center" vertical="center"/>
    </xf>
    <xf numFmtId="41" fontId="10" fillId="0" borderId="18" xfId="32" applyFont="1" applyBorder="1" applyAlignment="1">
      <alignment vertical="center"/>
    </xf>
    <xf numFmtId="41" fontId="10" fillId="0" borderId="12" xfId="32" applyFont="1" applyFill="1" applyBorder="1" applyAlignment="1">
      <alignment horizontal="right" vertical="center" indent="1"/>
    </xf>
    <xf numFmtId="43" fontId="8" fillId="0" borderId="0" xfId="0" applyNumberFormat="1" applyFont="1" applyAlignment="1"/>
    <xf numFmtId="41" fontId="10" fillId="0" borderId="0" xfId="32" applyNumberFormat="1" applyFont="1" applyBorder="1" applyAlignment="1">
      <alignment horizontal="left" vertical="center"/>
    </xf>
    <xf numFmtId="0" fontId="10" fillId="0" borderId="20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0" fillId="0" borderId="0" xfId="0" applyFont="1"/>
    <xf numFmtId="0" fontId="10" fillId="0" borderId="0" xfId="0" applyFont="1" applyAlignment="1">
      <alignment horizontal="left" vertical="center"/>
    </xf>
    <xf numFmtId="0" fontId="33" fillId="0" borderId="0" xfId="0" applyFont="1" applyAlignment="1"/>
    <xf numFmtId="0" fontId="33" fillId="0" borderId="0" xfId="0" applyFont="1" applyAlignment="1">
      <alignment horizontal="left"/>
    </xf>
    <xf numFmtId="0" fontId="12" fillId="0" borderId="0" xfId="0" applyFont="1" applyAlignment="1"/>
    <xf numFmtId="0" fontId="10" fillId="0" borderId="11" xfId="32" applyNumberFormat="1" applyFont="1" applyBorder="1" applyAlignment="1">
      <alignment horizontal="center" vertical="center"/>
    </xf>
    <xf numFmtId="3" fontId="10" fillId="0" borderId="12" xfId="0" applyNumberFormat="1" applyFont="1" applyFill="1" applyBorder="1" applyAlignment="1">
      <alignment horizontal="right" vertical="center" inden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right" vertical="center" indent="1"/>
    </xf>
    <xf numFmtId="0" fontId="10" fillId="0" borderId="16" xfId="0" applyFont="1" applyFill="1" applyBorder="1" applyAlignment="1">
      <alignment horizontal="right" vertical="center" indent="1"/>
    </xf>
    <xf numFmtId="41" fontId="10" fillId="0" borderId="17" xfId="32" applyNumberFormat="1" applyFont="1" applyBorder="1" applyAlignment="1">
      <alignment horizontal="right" vertical="center"/>
    </xf>
    <xf numFmtId="0" fontId="34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23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176" fontId="10" fillId="0" borderId="17" xfId="0" applyNumberFormat="1" applyFont="1" applyFill="1" applyBorder="1" applyAlignment="1">
      <alignment horizontal="center" vertical="center"/>
    </xf>
    <xf numFmtId="49" fontId="10" fillId="0" borderId="16" xfId="0" applyNumberFormat="1" applyFont="1" applyBorder="1" applyAlignment="1">
      <alignment horizontal="right" vertical="center" indent="1"/>
    </xf>
    <xf numFmtId="3" fontId="8" fillId="0" borderId="0" xfId="0" applyNumberFormat="1" applyFont="1" applyBorder="1"/>
    <xf numFmtId="41" fontId="10" fillId="0" borderId="17" xfId="32" applyNumberFormat="1" applyFont="1" applyBorder="1" applyAlignment="1">
      <alignment horizontal="left" vertical="center"/>
    </xf>
    <xf numFmtId="49" fontId="10" fillId="0" borderId="16" xfId="0" applyNumberFormat="1" applyFont="1" applyBorder="1" applyAlignment="1">
      <alignment horizontal="center" vertical="center"/>
    </xf>
    <xf numFmtId="0" fontId="10" fillId="0" borderId="16" xfId="0" quotePrefix="1" applyFont="1" applyBorder="1" applyAlignment="1">
      <alignment horizontal="center" vertical="center"/>
    </xf>
    <xf numFmtId="41" fontId="10" fillId="0" borderId="17" xfId="32" applyFont="1" applyBorder="1" applyAlignment="1">
      <alignment horizontal="left" vertical="center"/>
    </xf>
    <xf numFmtId="0" fontId="35" fillId="0" borderId="0" xfId="0" applyFont="1" applyAlignment="1"/>
    <xf numFmtId="0" fontId="34" fillId="0" borderId="0" xfId="0" applyFont="1" applyBorder="1" applyAlignment="1">
      <alignment horizontal="center" vertical="center"/>
    </xf>
    <xf numFmtId="2" fontId="10" fillId="0" borderId="12" xfId="0" applyNumberFormat="1" applyFont="1" applyFill="1" applyBorder="1" applyAlignment="1">
      <alignment horizontal="right" vertical="center" indent="1"/>
    </xf>
    <xf numFmtId="181" fontId="10" fillId="0" borderId="12" xfId="0" applyNumberFormat="1" applyFont="1" applyBorder="1" applyAlignment="1">
      <alignment horizontal="right" vertical="center" indent="1"/>
    </xf>
    <xf numFmtId="181" fontId="10" fillId="0" borderId="12" xfId="0" applyNumberFormat="1" applyFont="1" applyFill="1" applyBorder="1" applyAlignment="1">
      <alignment horizontal="right" vertical="center" indent="1"/>
    </xf>
    <xf numFmtId="178" fontId="10" fillId="0" borderId="12" xfId="32" applyNumberFormat="1" applyFont="1" applyFill="1" applyBorder="1" applyAlignment="1">
      <alignment horizontal="right" vertical="center"/>
    </xf>
    <xf numFmtId="0" fontId="10" fillId="0" borderId="21" xfId="0" applyFont="1" applyBorder="1" applyAlignment="1">
      <alignment horizontal="center" vertical="center" wrapText="1"/>
    </xf>
    <xf numFmtId="41" fontId="36" fillId="0" borderId="0" xfId="32" applyFont="1" applyBorder="1"/>
    <xf numFmtId="0" fontId="10" fillId="0" borderId="0" xfId="0" applyFont="1" applyFill="1" applyBorder="1" applyAlignment="1">
      <alignment horizontal="right" vertical="center" indent="1"/>
    </xf>
    <xf numFmtId="41" fontId="8" fillId="0" borderId="0" xfId="0" applyNumberFormat="1" applyFont="1" applyBorder="1" applyAlignment="1">
      <alignment vertical="center"/>
    </xf>
    <xf numFmtId="41" fontId="10" fillId="0" borderId="16" xfId="32" applyFont="1" applyFill="1" applyBorder="1" applyAlignment="1">
      <alignment horizontal="right" vertical="center" indent="1"/>
    </xf>
    <xf numFmtId="181" fontId="10" fillId="0" borderId="16" xfId="32" applyNumberFormat="1" applyFont="1" applyFill="1" applyBorder="1" applyAlignment="1">
      <alignment horizontal="right" vertical="center"/>
    </xf>
    <xf numFmtId="181" fontId="10" fillId="0" borderId="12" xfId="32" applyNumberFormat="1" applyFont="1" applyFill="1" applyBorder="1" applyAlignment="1">
      <alignment horizontal="right" vertical="center"/>
    </xf>
    <xf numFmtId="41" fontId="10" fillId="0" borderId="12" xfId="32" applyFont="1" applyFill="1" applyBorder="1" applyAlignment="1">
      <alignment horizontal="right" vertical="center"/>
    </xf>
    <xf numFmtId="41" fontId="10" fillId="0" borderId="16" xfId="32" applyFont="1" applyFill="1" applyBorder="1" applyAlignment="1">
      <alignment horizontal="right" vertical="center"/>
    </xf>
    <xf numFmtId="0" fontId="0" fillId="0" borderId="0" xfId="0" applyFont="1" applyBorder="1"/>
    <xf numFmtId="0" fontId="10" fillId="0" borderId="16" xfId="0" applyFont="1" applyBorder="1" applyAlignment="1">
      <alignment horizontal="center" vertical="center"/>
    </xf>
    <xf numFmtId="49" fontId="10" fillId="0" borderId="16" xfId="0" quotePrefix="1" applyNumberFormat="1" applyFont="1" applyBorder="1" applyAlignment="1">
      <alignment horizontal="center" vertical="center"/>
    </xf>
    <xf numFmtId="41" fontId="10" fillId="0" borderId="16" xfId="32" applyNumberFormat="1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41" fontId="10" fillId="0" borderId="11" xfId="32" applyFont="1" applyBorder="1" applyAlignment="1">
      <alignment horizontal="center" vertical="center"/>
    </xf>
    <xf numFmtId="41" fontId="10" fillId="0" borderId="0" xfId="32" applyFont="1" applyFill="1" applyBorder="1" applyAlignment="1">
      <alignment horizontal="right" vertical="center" indent="1"/>
    </xf>
    <xf numFmtId="181" fontId="10" fillId="0" borderId="0" xfId="32" applyNumberFormat="1" applyFont="1" applyFill="1" applyBorder="1" applyAlignment="1">
      <alignment horizontal="right" vertical="center"/>
    </xf>
    <xf numFmtId="41" fontId="10" fillId="0" borderId="17" xfId="32" applyFont="1" applyFill="1" applyBorder="1" applyAlignment="1">
      <alignment horizontal="right" vertical="center"/>
    </xf>
    <xf numFmtId="41" fontId="10" fillId="0" borderId="17" xfId="32" applyFont="1" applyFill="1" applyBorder="1" applyAlignment="1">
      <alignment horizontal="right" vertical="center" indent="1"/>
    </xf>
    <xf numFmtId="177" fontId="10" fillId="0" borderId="17" xfId="32" applyNumberFormat="1" applyFont="1" applyFill="1" applyBorder="1" applyAlignment="1">
      <alignment horizontal="right" vertical="center" indent="1"/>
    </xf>
    <xf numFmtId="177" fontId="10" fillId="0" borderId="0" xfId="32" applyNumberFormat="1" applyFont="1" applyBorder="1" applyAlignment="1">
      <alignment horizontal="left" vertical="center"/>
    </xf>
    <xf numFmtId="43" fontId="8" fillId="0" borderId="0" xfId="0" applyNumberFormat="1" applyFont="1" applyBorder="1"/>
    <xf numFmtId="41" fontId="37" fillId="0" borderId="0" xfId="32" applyFont="1" applyFill="1" applyBorder="1" applyAlignment="1">
      <alignment horizontal="right" vertical="center" indent="1"/>
    </xf>
    <xf numFmtId="178" fontId="8" fillId="0" borderId="0" xfId="0" applyNumberFormat="1" applyFont="1"/>
    <xf numFmtId="0" fontId="15" fillId="0" borderId="0" xfId="0" applyFont="1" applyAlignment="1">
      <alignment horizontal="left" vertical="center"/>
    </xf>
    <xf numFmtId="0" fontId="10" fillId="0" borderId="11" xfId="0" applyFont="1" applyFill="1" applyBorder="1" applyAlignment="1">
      <alignment horizontal="center" vertical="center"/>
    </xf>
    <xf numFmtId="49" fontId="10" fillId="0" borderId="11" xfId="32" applyNumberFormat="1" applyFont="1" applyBorder="1" applyAlignment="1">
      <alignment horizontal="center" vertical="center"/>
    </xf>
    <xf numFmtId="49" fontId="10" fillId="0" borderId="20" xfId="32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41" fontId="10" fillId="0" borderId="0" xfId="0" applyNumberFormat="1" applyFont="1"/>
    <xf numFmtId="0" fontId="12" fillId="0" borderId="0" xfId="0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quotePrefix="1" applyFont="1" applyBorder="1" applyAlignment="1">
      <alignment horizontal="center" vertical="center"/>
    </xf>
    <xf numFmtId="0" fontId="8" fillId="0" borderId="12" xfId="0" applyFont="1" applyBorder="1"/>
    <xf numFmtId="43" fontId="10" fillId="0" borderId="12" xfId="32" applyNumberFormat="1" applyFont="1" applyFill="1" applyBorder="1" applyAlignment="1">
      <alignment horizontal="right" vertical="center" indent="1"/>
    </xf>
    <xf numFmtId="43" fontId="37" fillId="0" borderId="0" xfId="32" applyNumberFormat="1" applyFont="1" applyFill="1" applyBorder="1" applyAlignment="1">
      <alignment horizontal="right" vertical="center" indent="1"/>
    </xf>
    <xf numFmtId="182" fontId="10" fillId="0" borderId="12" xfId="32" applyNumberFormat="1" applyFont="1" applyFill="1" applyBorder="1" applyAlignment="1">
      <alignment horizontal="right" vertical="center" indent="1"/>
    </xf>
    <xf numFmtId="182" fontId="37" fillId="0" borderId="0" xfId="32" applyNumberFormat="1" applyFont="1" applyFill="1" applyBorder="1" applyAlignment="1">
      <alignment horizontal="right" vertical="center" indent="1"/>
    </xf>
    <xf numFmtId="0" fontId="10" fillId="0" borderId="16" xfId="0" applyFont="1" applyBorder="1" applyAlignment="1">
      <alignment horizontal="center" vertical="center"/>
    </xf>
    <xf numFmtId="0" fontId="33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3" fontId="10" fillId="0" borderId="0" xfId="0" applyNumberFormat="1" applyFont="1" applyFill="1" applyBorder="1" applyAlignment="1">
      <alignment horizontal="right" vertical="center" indent="1"/>
    </xf>
    <xf numFmtId="0" fontId="10" fillId="0" borderId="0" xfId="0" quotePrefix="1" applyFont="1"/>
    <xf numFmtId="183" fontId="39" fillId="0" borderId="0" xfId="50" applyNumberFormat="1" applyFont="1" applyFill="1" applyBorder="1" applyAlignment="1">
      <alignment vertical="center"/>
    </xf>
    <xf numFmtId="181" fontId="10" fillId="0" borderId="0" xfId="0" applyNumberFormat="1" applyFont="1" applyFill="1" applyBorder="1" applyAlignment="1">
      <alignment horizontal="right" vertical="center" indent="1"/>
    </xf>
    <xf numFmtId="3" fontId="10" fillId="0" borderId="17" xfId="0" applyNumberFormat="1" applyFont="1" applyFill="1" applyBorder="1" applyAlignment="1">
      <alignment horizontal="right" vertical="center" indent="1"/>
    </xf>
    <xf numFmtId="49" fontId="14" fillId="0" borderId="11" xfId="32" applyNumberFormat="1" applyFont="1" applyBorder="1" applyAlignment="1">
      <alignment horizontal="center" vertical="center" wrapText="1"/>
    </xf>
    <xf numFmtId="0" fontId="14" fillId="0" borderId="0" xfId="0" applyFont="1" applyBorder="1"/>
    <xf numFmtId="178" fontId="39" fillId="0" borderId="0" xfId="3768" applyNumberFormat="1" applyFont="1" applyBorder="1" applyAlignment="1">
      <alignment horizontal="right" vertical="center" indent="1"/>
    </xf>
    <xf numFmtId="186" fontId="58" fillId="0" borderId="0" xfId="2615" applyNumberFormat="1" applyFont="1" applyBorder="1" applyAlignment="1">
      <alignment vertical="center"/>
    </xf>
    <xf numFmtId="186" fontId="58" fillId="0" borderId="0" xfId="2615" applyNumberFormat="1" applyFont="1" applyBorder="1" applyAlignment="1">
      <alignment vertical="center"/>
    </xf>
    <xf numFmtId="178" fontId="39" fillId="0" borderId="0" xfId="3768" applyNumberFormat="1" applyFont="1" applyFill="1" applyBorder="1" applyAlignment="1">
      <alignment vertical="center"/>
    </xf>
    <xf numFmtId="187" fontId="8" fillId="0" borderId="0" xfId="3814" applyNumberFormat="1" applyFont="1" applyAlignme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87" fontId="0" fillId="0" borderId="0" xfId="3814" applyNumberFormat="1" applyFont="1" applyBorder="1" applyAlignment="1"/>
    <xf numFmtId="49" fontId="10" fillId="0" borderId="0" xfId="32" applyNumberFormat="1" applyFont="1" applyBorder="1" applyAlignment="1">
      <alignment horizontal="center" vertical="center"/>
    </xf>
    <xf numFmtId="49" fontId="10" fillId="0" borderId="0" xfId="32" applyNumberFormat="1" applyFont="1" applyBorder="1" applyAlignment="1">
      <alignment horizontal="center" vertical="center" wrapText="1"/>
    </xf>
    <xf numFmtId="3" fontId="0" fillId="0" borderId="0" xfId="0" applyNumberFormat="1" applyFont="1"/>
    <xf numFmtId="3" fontId="0" fillId="0" borderId="0" xfId="0" applyNumberFormat="1" applyFont="1" applyBorder="1"/>
    <xf numFmtId="187" fontId="10" fillId="0" borderId="0" xfId="3814" applyNumberFormat="1" applyFont="1" applyBorder="1" applyAlignment="1">
      <alignment horizontal="left" vertical="center"/>
    </xf>
    <xf numFmtId="41" fontId="8" fillId="0" borderId="0" xfId="32" applyFont="1" applyBorder="1"/>
    <xf numFmtId="177" fontId="8" fillId="0" borderId="0" xfId="32" applyNumberFormat="1" applyFont="1" applyBorder="1"/>
    <xf numFmtId="176" fontId="8" fillId="0" borderId="0" xfId="0" applyNumberFormat="1" applyFont="1" applyBorder="1"/>
    <xf numFmtId="187" fontId="8" fillId="0" borderId="0" xfId="3814" applyNumberFormat="1" applyFont="1" applyBorder="1" applyAlignment="1"/>
    <xf numFmtId="0" fontId="10" fillId="0" borderId="2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41" fontId="10" fillId="0" borderId="16" xfId="32" applyNumberFormat="1" applyFont="1" applyFill="1" applyBorder="1" applyAlignment="1">
      <alignment horizontal="right" vertical="center" indent="1"/>
    </xf>
    <xf numFmtId="41" fontId="0" fillId="0" borderId="0" xfId="32" applyFont="1" applyBorder="1"/>
    <xf numFmtId="187" fontId="8" fillId="0" borderId="0" xfId="3814" applyNumberFormat="1" applyFont="1" applyBorder="1" applyAlignment="1">
      <alignment vertical="center"/>
    </xf>
    <xf numFmtId="188" fontId="8" fillId="0" borderId="0" xfId="32" applyNumberFormat="1" applyFont="1" applyBorder="1"/>
    <xf numFmtId="41" fontId="8" fillId="0" borderId="0" xfId="32" applyFont="1" applyBorder="1" applyAlignment="1">
      <alignment vertical="center"/>
    </xf>
    <xf numFmtId="183" fontId="8" fillId="0" borderId="0" xfId="0" applyNumberFormat="1" applyFont="1"/>
    <xf numFmtId="178" fontId="8" fillId="0" borderId="0" xfId="0" applyNumberFormat="1" applyFont="1" applyBorder="1"/>
    <xf numFmtId="189" fontId="8" fillId="0" borderId="0" xfId="0" applyNumberFormat="1" applyFont="1" applyBorder="1"/>
    <xf numFmtId="183" fontId="8" fillId="0" borderId="0" xfId="0" applyNumberFormat="1" applyFont="1" applyBorder="1"/>
    <xf numFmtId="183" fontId="0" fillId="0" borderId="0" xfId="0" applyNumberFormat="1" applyFont="1" applyBorder="1"/>
    <xf numFmtId="41" fontId="60" fillId="0" borderId="0" xfId="0" applyNumberFormat="1" applyFont="1" applyBorder="1" applyAlignment="1">
      <alignment vertical="center"/>
    </xf>
    <xf numFmtId="41" fontId="60" fillId="0" borderId="0" xfId="32" applyFont="1" applyBorder="1" applyAlignment="1">
      <alignment vertical="center"/>
    </xf>
    <xf numFmtId="187" fontId="60" fillId="0" borderId="0" xfId="3814" applyNumberFormat="1" applyFont="1" applyBorder="1" applyAlignment="1">
      <alignment vertical="center"/>
    </xf>
    <xf numFmtId="0" fontId="60" fillId="0" borderId="0" xfId="0" applyFont="1"/>
    <xf numFmtId="0" fontId="37" fillId="0" borderId="16" xfId="0" applyFont="1" applyFill="1" applyBorder="1" applyAlignment="1">
      <alignment horizontal="right" vertical="center" indent="1"/>
    </xf>
    <xf numFmtId="41" fontId="37" fillId="0" borderId="12" xfId="32" applyFont="1" applyFill="1" applyBorder="1" applyAlignment="1">
      <alignment horizontal="right" vertical="center" indent="1"/>
    </xf>
    <xf numFmtId="41" fontId="37" fillId="0" borderId="16" xfId="32" applyFont="1" applyFill="1" applyBorder="1" applyAlignment="1">
      <alignment horizontal="right" vertical="center" indent="1"/>
    </xf>
    <xf numFmtId="0" fontId="10" fillId="0" borderId="16" xfId="0" applyFont="1" applyBorder="1" applyAlignment="1">
      <alignment horizontal="center" vertical="center"/>
    </xf>
    <xf numFmtId="0" fontId="10" fillId="49" borderId="16" xfId="0" quotePrefix="1" applyFont="1" applyFill="1" applyBorder="1" applyAlignment="1">
      <alignment horizontal="center" vertical="center"/>
    </xf>
    <xf numFmtId="3" fontId="10" fillId="49" borderId="12" xfId="0" applyNumberFormat="1" applyFont="1" applyFill="1" applyBorder="1" applyAlignment="1">
      <alignment horizontal="right" vertical="center" indent="1"/>
    </xf>
    <xf numFmtId="3" fontId="10" fillId="49" borderId="17" xfId="0" applyNumberFormat="1" applyFont="1" applyFill="1" applyBorder="1" applyAlignment="1">
      <alignment horizontal="right" vertical="center" indent="1"/>
    </xf>
    <xf numFmtId="0" fontId="10" fillId="49" borderId="16" xfId="0" quotePrefix="1" applyFont="1" applyFill="1" applyBorder="1" applyAlignment="1">
      <alignment horizontal="right" vertical="center" indent="1"/>
    </xf>
    <xf numFmtId="0" fontId="10" fillId="49" borderId="13" xfId="0" applyFont="1" applyFill="1" applyBorder="1" applyAlignment="1">
      <alignment horizontal="right" vertical="center" indent="1"/>
    </xf>
    <xf numFmtId="3" fontId="10" fillId="49" borderId="10" xfId="0" applyNumberFormat="1" applyFont="1" applyFill="1" applyBorder="1" applyAlignment="1">
      <alignment horizontal="right" vertical="center" indent="1"/>
    </xf>
    <xf numFmtId="3" fontId="10" fillId="49" borderId="21" xfId="0" applyNumberFormat="1" applyFont="1" applyFill="1" applyBorder="1" applyAlignment="1">
      <alignment horizontal="right" vertical="center" indent="1"/>
    </xf>
    <xf numFmtId="0" fontId="10" fillId="49" borderId="0" xfId="0" applyFont="1" applyFill="1" applyBorder="1" applyAlignment="1">
      <alignment horizontal="center" vertical="center"/>
    </xf>
    <xf numFmtId="41" fontId="10" fillId="49" borderId="12" xfId="32" applyNumberFormat="1" applyFont="1" applyFill="1" applyBorder="1" applyAlignment="1">
      <alignment horizontal="right" vertical="center"/>
    </xf>
    <xf numFmtId="41" fontId="10" fillId="49" borderId="17" xfId="32" applyNumberFormat="1" applyFont="1" applyFill="1" applyBorder="1" applyAlignment="1">
      <alignment horizontal="right" vertical="center"/>
    </xf>
    <xf numFmtId="182" fontId="10" fillId="49" borderId="21" xfId="32" applyNumberFormat="1" applyFont="1" applyFill="1" applyBorder="1" applyAlignment="1">
      <alignment horizontal="right" vertical="center"/>
    </xf>
    <xf numFmtId="41" fontId="10" fillId="49" borderId="10" xfId="32" applyFont="1" applyFill="1" applyBorder="1" applyAlignment="1">
      <alignment horizontal="right" vertical="center"/>
    </xf>
    <xf numFmtId="41" fontId="10" fillId="49" borderId="21" xfId="32" applyFont="1" applyFill="1" applyBorder="1" applyAlignment="1">
      <alignment horizontal="right" vertical="center"/>
    </xf>
    <xf numFmtId="0" fontId="36" fillId="0" borderId="0" xfId="0" applyFont="1" applyAlignment="1">
      <alignment vertical="center"/>
    </xf>
    <xf numFmtId="0" fontId="33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41" fontId="0" fillId="0" borderId="0" xfId="0" applyNumberFormat="1" applyFont="1" applyBorder="1" applyAlignment="1">
      <alignment vertical="center"/>
    </xf>
    <xf numFmtId="0" fontId="0" fillId="0" borderId="0" xfId="0" applyFont="1" applyFill="1" applyBorder="1"/>
    <xf numFmtId="3" fontId="0" fillId="0" borderId="0" xfId="0" applyNumberFormat="1" applyFont="1" applyFill="1" applyBorder="1"/>
    <xf numFmtId="0" fontId="0" fillId="0" borderId="0" xfId="0" applyFont="1" applyFill="1"/>
    <xf numFmtId="41" fontId="10" fillId="0" borderId="12" xfId="0" applyNumberFormat="1" applyFont="1" applyFill="1" applyBorder="1" applyAlignment="1">
      <alignment horizontal="right" vertical="center" indent="1"/>
    </xf>
    <xf numFmtId="41" fontId="10" fillId="0" borderId="17" xfId="0" applyNumberFormat="1" applyFont="1" applyFill="1" applyBorder="1" applyAlignment="1">
      <alignment horizontal="right" vertical="center" indent="1"/>
    </xf>
    <xf numFmtId="41" fontId="10" fillId="0" borderId="0" xfId="0" applyNumberFormat="1" applyFont="1" applyFill="1" applyBorder="1" applyAlignment="1">
      <alignment horizontal="right" vertical="center" indent="1"/>
    </xf>
    <xf numFmtId="3" fontId="10" fillId="0" borderId="15" xfId="0" applyNumberFormat="1" applyFont="1" applyFill="1" applyBorder="1" applyAlignment="1">
      <alignment horizontal="right" vertical="center" indent="1"/>
    </xf>
    <xf numFmtId="0" fontId="10" fillId="0" borderId="0" xfId="0" quotePrefix="1" applyFont="1" applyFill="1" applyBorder="1" applyAlignment="1">
      <alignment horizontal="right" vertical="center" indent="1"/>
    </xf>
    <xf numFmtId="41" fontId="10" fillId="0" borderId="17" xfId="0" applyNumberFormat="1" applyFont="1" applyFill="1" applyBorder="1" applyAlignment="1">
      <alignment horizontal="right" vertical="center" indent="1"/>
    </xf>
    <xf numFmtId="0" fontId="10" fillId="0" borderId="16" xfId="0" quotePrefix="1" applyFont="1" applyFill="1" applyBorder="1" applyAlignment="1">
      <alignment horizontal="right" vertical="center" indent="1"/>
    </xf>
    <xf numFmtId="0" fontId="10" fillId="0" borderId="13" xfId="0" quotePrefix="1" applyFont="1" applyFill="1" applyBorder="1" applyAlignment="1">
      <alignment horizontal="right" vertical="center" indent="1"/>
    </xf>
    <xf numFmtId="3" fontId="10" fillId="0" borderId="10" xfId="0" applyNumberFormat="1" applyFont="1" applyFill="1" applyBorder="1" applyAlignment="1">
      <alignment horizontal="right" vertical="center" indent="1"/>
    </xf>
    <xf numFmtId="0" fontId="10" fillId="0" borderId="16" xfId="0" applyFont="1" applyFill="1" applyBorder="1" applyAlignment="1">
      <alignment horizontal="center" vertical="center"/>
    </xf>
    <xf numFmtId="41" fontId="10" fillId="0" borderId="10" xfId="32" applyFont="1" applyFill="1" applyBorder="1" applyAlignment="1">
      <alignment horizontal="left" vertical="center"/>
    </xf>
    <xf numFmtId="41" fontId="10" fillId="0" borderId="10" xfId="32" applyFont="1" applyFill="1" applyBorder="1" applyAlignment="1">
      <alignment horizontal="right" vertical="center" indent="1"/>
    </xf>
    <xf numFmtId="41" fontId="10" fillId="0" borderId="21" xfId="32" applyFont="1" applyFill="1" applyBorder="1" applyAlignment="1">
      <alignment horizontal="left" vertical="center"/>
    </xf>
    <xf numFmtId="49" fontId="10" fillId="0" borderId="16" xfId="0" applyNumberFormat="1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41" fontId="10" fillId="0" borderId="12" xfId="32" applyFont="1" applyFill="1" applyBorder="1" applyAlignment="1">
      <alignment horizontal="left" vertical="center"/>
    </xf>
    <xf numFmtId="41" fontId="10" fillId="0" borderId="17" xfId="32" applyFont="1" applyFill="1" applyBorder="1" applyAlignment="1">
      <alignment horizontal="left" vertical="center"/>
    </xf>
    <xf numFmtId="0" fontId="10" fillId="0" borderId="16" xfId="0" quotePrefix="1" applyFont="1" applyFill="1" applyBorder="1" applyAlignment="1">
      <alignment horizontal="center" vertical="center"/>
    </xf>
    <xf numFmtId="41" fontId="10" fillId="0" borderId="10" xfId="0" applyNumberFormat="1" applyFont="1" applyFill="1" applyBorder="1" applyAlignment="1">
      <alignment horizontal="right" vertical="center" indent="1"/>
    </xf>
    <xf numFmtId="41" fontId="10" fillId="0" borderId="21" xfId="0" applyNumberFormat="1" applyFont="1" applyFill="1" applyBorder="1" applyAlignment="1">
      <alignment horizontal="right" vertical="center" indent="1"/>
    </xf>
    <xf numFmtId="0" fontId="10" fillId="0" borderId="0" xfId="0" applyFont="1" applyFill="1" applyBorder="1" applyAlignment="1">
      <alignment horizontal="center" vertical="center"/>
    </xf>
    <xf numFmtId="41" fontId="10" fillId="0" borderId="12" xfId="32" applyNumberFormat="1" applyFont="1" applyFill="1" applyBorder="1" applyAlignment="1">
      <alignment horizontal="right" vertical="center"/>
    </xf>
    <xf numFmtId="41" fontId="10" fillId="0" borderId="21" xfId="32" applyNumberFormat="1" applyFont="1" applyFill="1" applyBorder="1" applyAlignment="1">
      <alignment horizontal="right" vertical="center"/>
    </xf>
    <xf numFmtId="177" fontId="10" fillId="0" borderId="21" xfId="32" applyNumberFormat="1" applyFont="1" applyFill="1" applyBorder="1" applyAlignment="1">
      <alignment horizontal="left" vertical="center"/>
    </xf>
    <xf numFmtId="41" fontId="10" fillId="0" borderId="10" xfId="32" applyNumberFormat="1" applyFont="1" applyFill="1" applyBorder="1" applyAlignment="1">
      <alignment horizontal="left" vertical="center"/>
    </xf>
    <xf numFmtId="41" fontId="10" fillId="0" borderId="21" xfId="32" applyNumberFormat="1" applyFont="1" applyFill="1" applyBorder="1" applyAlignment="1">
      <alignment horizontal="left" vertical="center"/>
    </xf>
    <xf numFmtId="41" fontId="10" fillId="0" borderId="12" xfId="32" applyNumberFormat="1" applyFont="1" applyFill="1" applyBorder="1" applyAlignment="1">
      <alignment horizontal="left" vertical="center"/>
    </xf>
    <xf numFmtId="41" fontId="10" fillId="0" borderId="17" xfId="32" applyNumberFormat="1" applyFont="1" applyFill="1" applyBorder="1" applyAlignment="1">
      <alignment horizontal="left" vertical="center"/>
    </xf>
    <xf numFmtId="0" fontId="10" fillId="0" borderId="0" xfId="0" quotePrefix="1" applyFont="1" applyFill="1" applyBorder="1" applyAlignment="1">
      <alignment horizontal="center" vertical="center"/>
    </xf>
    <xf numFmtId="0" fontId="10" fillId="0" borderId="14" xfId="0" quotePrefix="1" applyFont="1" applyFill="1" applyBorder="1" applyAlignment="1">
      <alignment horizontal="right" vertical="center" indent="1"/>
    </xf>
    <xf numFmtId="49" fontId="10" fillId="0" borderId="16" xfId="0" quotePrefix="1" applyNumberFormat="1" applyFont="1" applyFill="1" applyBorder="1" applyAlignment="1">
      <alignment horizontal="center" vertical="center"/>
    </xf>
    <xf numFmtId="41" fontId="10" fillId="0" borderId="10" xfId="32" applyNumberFormat="1" applyFont="1" applyFill="1" applyBorder="1" applyAlignment="1">
      <alignment horizontal="right" vertical="center"/>
    </xf>
    <xf numFmtId="181" fontId="10" fillId="0" borderId="14" xfId="32" applyNumberFormat="1" applyFont="1" applyFill="1" applyBorder="1" applyAlignment="1">
      <alignment horizontal="right" vertical="center"/>
    </xf>
    <xf numFmtId="181" fontId="10" fillId="0" borderId="10" xfId="32" applyNumberFormat="1" applyFont="1" applyFill="1" applyBorder="1" applyAlignment="1">
      <alignment horizontal="right" vertical="center"/>
    </xf>
    <xf numFmtId="41" fontId="37" fillId="0" borderId="10" xfId="32" applyFont="1" applyFill="1" applyBorder="1" applyAlignment="1">
      <alignment horizontal="right" vertical="center" indent="1"/>
    </xf>
    <xf numFmtId="41" fontId="37" fillId="0" borderId="13" xfId="32" applyFont="1" applyFill="1" applyBorder="1" applyAlignment="1">
      <alignment horizontal="right" vertical="center" indent="1"/>
    </xf>
    <xf numFmtId="41" fontId="10" fillId="0" borderId="16" xfId="32" applyNumberFormat="1" applyFont="1" applyFill="1" applyBorder="1" applyAlignment="1">
      <alignment horizontal="left" vertical="center"/>
    </xf>
    <xf numFmtId="178" fontId="61" fillId="0" borderId="0" xfId="50" applyNumberFormat="1" applyFont="1" applyBorder="1" applyAlignment="1">
      <alignment horizontal="left" vertical="center"/>
    </xf>
    <xf numFmtId="41" fontId="10" fillId="0" borderId="13" xfId="32" applyFont="1" applyFill="1" applyBorder="1" applyAlignment="1">
      <alignment horizontal="right" vertical="center" indent="1"/>
    </xf>
    <xf numFmtId="41" fontId="10" fillId="0" borderId="17" xfId="0" applyNumberFormat="1" applyFont="1" applyFill="1" applyBorder="1" applyAlignment="1">
      <alignment horizontal="right" vertical="center" indent="1"/>
    </xf>
    <xf numFmtId="41" fontId="10" fillId="0" borderId="17" xfId="0" applyNumberFormat="1" applyFont="1" applyFill="1" applyBorder="1" applyAlignment="1">
      <alignment horizontal="right" vertical="center" indent="1"/>
    </xf>
    <xf numFmtId="41" fontId="10" fillId="0" borderId="17" xfId="32" applyNumberFormat="1" applyFont="1" applyFill="1" applyBorder="1" applyAlignment="1">
      <alignment horizontal="right" vertical="center"/>
    </xf>
    <xf numFmtId="0" fontId="37" fillId="0" borderId="13" xfId="0" applyFont="1" applyFill="1" applyBorder="1" applyAlignment="1">
      <alignment horizontal="right" vertical="center" indent="1"/>
    </xf>
    <xf numFmtId="41" fontId="10" fillId="0" borderId="17" xfId="0" applyNumberFormat="1" applyFont="1" applyFill="1" applyBorder="1" applyAlignment="1">
      <alignment horizontal="right" vertical="center" indent="1"/>
    </xf>
    <xf numFmtId="41" fontId="10" fillId="0" borderId="17" xfId="0" applyNumberFormat="1" applyFont="1" applyFill="1" applyBorder="1" applyAlignment="1">
      <alignment horizontal="right" vertical="center" indent="1"/>
    </xf>
    <xf numFmtId="176" fontId="10" fillId="0" borderId="21" xfId="0" applyNumberFormat="1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right" vertical="center" indent="1"/>
    </xf>
    <xf numFmtId="41" fontId="37" fillId="0" borderId="21" xfId="32" applyFont="1" applyFill="1" applyBorder="1" applyAlignment="1">
      <alignment horizontal="right" vertical="center" indent="1"/>
    </xf>
    <xf numFmtId="41" fontId="10" fillId="0" borderId="17" xfId="0" applyNumberFormat="1" applyFont="1" applyFill="1" applyBorder="1" applyAlignment="1">
      <alignment horizontal="right" vertical="center" indent="1"/>
    </xf>
    <xf numFmtId="41" fontId="10" fillId="0" borderId="0" xfId="0" applyNumberFormat="1" applyFont="1" applyFill="1" applyBorder="1" applyAlignment="1">
      <alignment horizontal="right" vertical="center" indent="1"/>
    </xf>
    <xf numFmtId="41" fontId="10" fillId="0" borderId="17" xfId="0" applyNumberFormat="1" applyFont="1" applyFill="1" applyBorder="1" applyAlignment="1">
      <alignment horizontal="right" vertical="center" indent="1"/>
    </xf>
    <xf numFmtId="41" fontId="10" fillId="0" borderId="0" xfId="0" applyNumberFormat="1" applyFont="1" applyFill="1" applyBorder="1" applyAlignment="1">
      <alignment horizontal="right" vertical="center" indent="1"/>
    </xf>
    <xf numFmtId="0" fontId="36" fillId="0" borderId="16" xfId="0" quotePrefix="1" applyFont="1" applyFill="1" applyBorder="1" applyAlignment="1">
      <alignment horizontal="right" vertical="center" indent="1"/>
    </xf>
    <xf numFmtId="41" fontId="8" fillId="0" borderId="0" xfId="0" applyNumberFormat="1" applyFont="1" applyAlignment="1">
      <alignment vertical="center"/>
    </xf>
    <xf numFmtId="178" fontId="10" fillId="0" borderId="10" xfId="32" applyNumberFormat="1" applyFont="1" applyFill="1" applyBorder="1" applyAlignment="1">
      <alignment horizontal="right" vertical="center"/>
    </xf>
    <xf numFmtId="2" fontId="10" fillId="0" borderId="10" xfId="0" applyNumberFormat="1" applyFont="1" applyFill="1" applyBorder="1" applyAlignment="1">
      <alignment horizontal="right" vertical="center" indent="1"/>
    </xf>
    <xf numFmtId="41" fontId="10" fillId="0" borderId="17" xfId="0" applyNumberFormat="1" applyFont="1" applyFill="1" applyBorder="1" applyAlignment="1">
      <alignment horizontal="right" vertical="center" indent="1"/>
    </xf>
    <xf numFmtId="41" fontId="10" fillId="0" borderId="0" xfId="0" applyNumberFormat="1" applyFont="1" applyFill="1" applyBorder="1" applyAlignment="1">
      <alignment horizontal="right" vertical="center" indent="1"/>
    </xf>
    <xf numFmtId="0" fontId="37" fillId="0" borderId="0" xfId="0" applyFont="1" applyFill="1" applyBorder="1" applyAlignment="1">
      <alignment horizontal="right" vertical="center" indent="1"/>
    </xf>
    <xf numFmtId="41" fontId="10" fillId="0" borderId="17" xfId="0" applyNumberFormat="1" applyFont="1" applyFill="1" applyBorder="1" applyAlignment="1">
      <alignment horizontal="right" vertical="center" indent="1"/>
    </xf>
    <xf numFmtId="41" fontId="10" fillId="0" borderId="0" xfId="0" applyNumberFormat="1" applyFont="1" applyFill="1" applyBorder="1" applyAlignment="1">
      <alignment horizontal="right" vertical="center" indent="1"/>
    </xf>
    <xf numFmtId="41" fontId="10" fillId="0" borderId="17" xfId="0" applyNumberFormat="1" applyFont="1" applyFill="1" applyBorder="1" applyAlignment="1">
      <alignment horizontal="right" vertical="center" indent="1"/>
    </xf>
    <xf numFmtId="41" fontId="10" fillId="0" borderId="0" xfId="0" applyNumberFormat="1" applyFont="1" applyFill="1" applyBorder="1" applyAlignment="1">
      <alignment horizontal="right" vertical="center" indent="1"/>
    </xf>
    <xf numFmtId="41" fontId="10" fillId="0" borderId="17" xfId="0" applyNumberFormat="1" applyFont="1" applyFill="1" applyBorder="1" applyAlignment="1">
      <alignment horizontal="right" vertical="center" indent="1"/>
    </xf>
    <xf numFmtId="41" fontId="10" fillId="0" borderId="0" xfId="0" applyNumberFormat="1" applyFont="1" applyFill="1" applyBorder="1" applyAlignment="1">
      <alignment horizontal="right" vertical="center" indent="1"/>
    </xf>
    <xf numFmtId="181" fontId="10" fillId="0" borderId="10" xfId="0" applyNumberFormat="1" applyFont="1" applyFill="1" applyBorder="1" applyAlignment="1">
      <alignment horizontal="right" vertical="center" indent="1"/>
    </xf>
    <xf numFmtId="41" fontId="10" fillId="0" borderId="17" xfId="0" applyNumberFormat="1" applyFont="1" applyFill="1" applyBorder="1" applyAlignment="1">
      <alignment horizontal="right" vertical="center" indent="1"/>
    </xf>
    <xf numFmtId="41" fontId="10" fillId="0" borderId="0" xfId="0" applyNumberFormat="1" applyFont="1" applyFill="1" applyBorder="1" applyAlignment="1">
      <alignment horizontal="right" vertical="center" indent="1"/>
    </xf>
    <xf numFmtId="41" fontId="10" fillId="0" borderId="17" xfId="0" applyNumberFormat="1" applyFont="1" applyFill="1" applyBorder="1" applyAlignment="1">
      <alignment horizontal="right" vertical="center" indent="1"/>
    </xf>
    <xf numFmtId="41" fontId="10" fillId="0" borderId="0" xfId="0" applyNumberFormat="1" applyFont="1" applyFill="1" applyBorder="1" applyAlignment="1">
      <alignment horizontal="right" vertical="center" indent="1"/>
    </xf>
    <xf numFmtId="41" fontId="0" fillId="0" borderId="0" xfId="0" applyNumberFormat="1" applyFont="1"/>
    <xf numFmtId="41" fontId="10" fillId="0" borderId="0" xfId="32" applyFont="1" applyFill="1" applyBorder="1" applyAlignment="1">
      <alignment horizontal="right" vertical="center"/>
    </xf>
    <xf numFmtId="41" fontId="10" fillId="0" borderId="0" xfId="32" applyFont="1" applyFill="1" applyBorder="1" applyAlignment="1">
      <alignment horizontal="left" vertical="center"/>
    </xf>
    <xf numFmtId="41" fontId="10" fillId="0" borderId="0" xfId="32" applyNumberFormat="1" applyFont="1" applyFill="1" applyBorder="1" applyAlignment="1">
      <alignment horizontal="left" vertical="center"/>
    </xf>
    <xf numFmtId="41" fontId="10" fillId="0" borderId="17" xfId="0" applyNumberFormat="1" applyFont="1" applyFill="1" applyBorder="1" applyAlignment="1">
      <alignment horizontal="right" vertical="center" indent="1"/>
    </xf>
    <xf numFmtId="41" fontId="10" fillId="0" borderId="0" xfId="0" applyNumberFormat="1" applyFont="1" applyFill="1" applyBorder="1" applyAlignment="1">
      <alignment horizontal="right" vertical="center" indent="1"/>
    </xf>
    <xf numFmtId="41" fontId="10" fillId="0" borderId="17" xfId="0" applyNumberFormat="1" applyFont="1" applyFill="1" applyBorder="1" applyAlignment="1">
      <alignment horizontal="right" vertical="center" indent="1"/>
    </xf>
    <xf numFmtId="41" fontId="10" fillId="0" borderId="0" xfId="0" applyNumberFormat="1" applyFont="1" applyFill="1" applyBorder="1" applyAlignment="1">
      <alignment horizontal="right" vertical="center" indent="1"/>
    </xf>
    <xf numFmtId="41" fontId="37" fillId="0" borderId="17" xfId="32" applyFont="1" applyFill="1" applyBorder="1" applyAlignment="1">
      <alignment horizontal="right" vertical="center" indent="1"/>
    </xf>
    <xf numFmtId="41" fontId="10" fillId="0" borderId="0" xfId="32" applyNumberFormat="1" applyFont="1" applyFill="1" applyBorder="1" applyAlignment="1">
      <alignment horizontal="right" vertical="center"/>
    </xf>
    <xf numFmtId="178" fontId="10" fillId="0" borderId="0" xfId="32" applyNumberFormat="1" applyFont="1" applyFill="1" applyBorder="1" applyAlignment="1">
      <alignment horizontal="right" vertical="center"/>
    </xf>
    <xf numFmtId="49" fontId="10" fillId="0" borderId="16" xfId="0" applyNumberFormat="1" applyFont="1" applyFill="1" applyBorder="1" applyAlignment="1">
      <alignment horizontal="right" vertical="center" indent="1"/>
    </xf>
    <xf numFmtId="177" fontId="10" fillId="0" borderId="17" xfId="32" applyNumberFormat="1" applyFont="1" applyFill="1" applyBorder="1" applyAlignment="1">
      <alignment horizontal="left" vertical="center"/>
    </xf>
    <xf numFmtId="0" fontId="10" fillId="0" borderId="2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10" fillId="0" borderId="1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41" fontId="10" fillId="0" borderId="19" xfId="32" applyFont="1" applyBorder="1" applyAlignment="1">
      <alignment horizontal="center" vertical="center"/>
    </xf>
    <xf numFmtId="0" fontId="10" fillId="0" borderId="19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9" xfId="32" applyNumberFormat="1" applyFont="1" applyBorder="1" applyAlignment="1">
      <alignment horizontal="center" vertical="center"/>
    </xf>
    <xf numFmtId="0" fontId="10" fillId="0" borderId="10" xfId="32" applyNumberFormat="1" applyFont="1" applyBorder="1" applyAlignment="1">
      <alignment horizontal="center" vertical="center"/>
    </xf>
    <xf numFmtId="41" fontId="10" fillId="0" borderId="10" xfId="32" applyFont="1" applyBorder="1" applyAlignment="1">
      <alignment horizontal="center" vertical="center"/>
    </xf>
    <xf numFmtId="41" fontId="10" fillId="0" borderId="24" xfId="32" applyFont="1" applyBorder="1" applyAlignment="1">
      <alignment horizontal="center" vertical="center"/>
    </xf>
    <xf numFmtId="41" fontId="10" fillId="0" borderId="13" xfId="32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2" xfId="32" applyNumberFormat="1" applyFont="1" applyBorder="1" applyAlignment="1">
      <alignment horizontal="center" vertical="center"/>
    </xf>
    <xf numFmtId="0" fontId="10" fillId="0" borderId="24" xfId="32" applyNumberFormat="1" applyFont="1" applyBorder="1" applyAlignment="1">
      <alignment horizontal="center" vertical="center"/>
    </xf>
    <xf numFmtId="0" fontId="10" fillId="0" borderId="13" xfId="32" applyNumberFormat="1" applyFont="1" applyBorder="1" applyAlignment="1">
      <alignment horizontal="center" vertical="center"/>
    </xf>
    <xf numFmtId="0" fontId="10" fillId="0" borderId="23" xfId="32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10" fillId="0" borderId="15" xfId="32" applyNumberFormat="1" applyFont="1" applyBorder="1" applyAlignment="1">
      <alignment horizontal="center" vertical="center"/>
    </xf>
    <xf numFmtId="0" fontId="10" fillId="0" borderId="18" xfId="32" applyNumberFormat="1" applyFont="1" applyBorder="1" applyAlignment="1">
      <alignment horizontal="center" vertical="center"/>
    </xf>
    <xf numFmtId="49" fontId="10" fillId="0" borderId="22" xfId="32" applyNumberFormat="1" applyFont="1" applyBorder="1" applyAlignment="1">
      <alignment horizontal="center" vertical="center"/>
    </xf>
    <xf numFmtId="49" fontId="10" fillId="0" borderId="23" xfId="32" applyNumberFormat="1" applyFont="1" applyBorder="1" applyAlignment="1">
      <alignment horizontal="center" vertical="center"/>
    </xf>
    <xf numFmtId="0" fontId="33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49" fontId="10" fillId="0" borderId="22" xfId="32" applyNumberFormat="1" applyFont="1" applyBorder="1" applyAlignment="1">
      <alignment horizontal="center" vertical="center" wrapText="1"/>
    </xf>
    <xf numFmtId="49" fontId="10" fillId="0" borderId="21" xfId="32" applyNumberFormat="1" applyFont="1" applyBorder="1" applyAlignment="1">
      <alignment horizontal="center" vertical="center" wrapText="1"/>
    </xf>
    <xf numFmtId="49" fontId="10" fillId="0" borderId="20" xfId="32" applyNumberFormat="1" applyFont="1" applyBorder="1" applyAlignment="1">
      <alignment horizontal="center" vertical="center"/>
    </xf>
    <xf numFmtId="49" fontId="10" fillId="0" borderId="15" xfId="32" applyNumberFormat="1" applyFont="1" applyBorder="1" applyAlignment="1">
      <alignment horizontal="center" vertical="center"/>
    </xf>
    <xf numFmtId="49" fontId="10" fillId="0" borderId="18" xfId="32" applyNumberFormat="1" applyFont="1" applyBorder="1" applyAlignment="1">
      <alignment horizontal="center" vertical="center"/>
    </xf>
    <xf numFmtId="41" fontId="10" fillId="0" borderId="17" xfId="0" applyNumberFormat="1" applyFont="1" applyFill="1" applyBorder="1" applyAlignment="1">
      <alignment horizontal="center" vertical="center"/>
    </xf>
    <xf numFmtId="41" fontId="10" fillId="0" borderId="0" xfId="0" applyNumberFormat="1" applyFont="1" applyFill="1" applyBorder="1" applyAlignment="1">
      <alignment horizontal="center" vertical="center"/>
    </xf>
    <xf numFmtId="41" fontId="10" fillId="0" borderId="16" xfId="0" applyNumberFormat="1" applyFont="1" applyFill="1" applyBorder="1" applyAlignment="1">
      <alignment horizontal="center" vertical="center"/>
    </xf>
    <xf numFmtId="41" fontId="10" fillId="0" borderId="17" xfId="0" applyNumberFormat="1" applyFont="1" applyFill="1" applyBorder="1" applyAlignment="1">
      <alignment horizontal="right" vertical="center" indent="1"/>
    </xf>
    <xf numFmtId="41" fontId="10" fillId="0" borderId="16" xfId="0" applyNumberFormat="1" applyFont="1" applyFill="1" applyBorder="1" applyAlignment="1">
      <alignment horizontal="right" vertical="center" indent="1"/>
    </xf>
    <xf numFmtId="41" fontId="10" fillId="0" borderId="0" xfId="0" applyNumberFormat="1" applyFont="1" applyFill="1" applyBorder="1" applyAlignment="1">
      <alignment horizontal="right" vertical="center" indent="1"/>
    </xf>
    <xf numFmtId="41" fontId="10" fillId="0" borderId="22" xfId="32" applyFont="1" applyBorder="1" applyAlignment="1">
      <alignment horizontal="center" vertical="center"/>
    </xf>
    <xf numFmtId="41" fontId="10" fillId="0" borderId="21" xfId="32" applyFont="1" applyBorder="1" applyAlignment="1">
      <alignment horizontal="center" vertical="center"/>
    </xf>
    <xf numFmtId="49" fontId="10" fillId="0" borderId="23" xfId="32" applyNumberFormat="1" applyFont="1" applyBorder="1" applyAlignment="1">
      <alignment horizontal="center" vertical="center" wrapText="1"/>
    </xf>
    <xf numFmtId="49" fontId="10" fillId="0" borderId="14" xfId="32" applyNumberFormat="1" applyFont="1" applyBorder="1" applyAlignment="1">
      <alignment horizontal="center" vertical="center" wrapText="1"/>
    </xf>
    <xf numFmtId="41" fontId="10" fillId="0" borderId="20" xfId="32" applyFont="1" applyBorder="1" applyAlignment="1">
      <alignment horizontal="center" vertical="center" wrapText="1"/>
    </xf>
    <xf numFmtId="41" fontId="10" fillId="0" borderId="18" xfId="32" applyFont="1" applyBorder="1" applyAlignment="1">
      <alignment horizontal="center" vertical="center" wrapText="1"/>
    </xf>
    <xf numFmtId="41" fontId="10" fillId="0" borderId="17" xfId="0" applyNumberFormat="1" applyFont="1" applyFill="1" applyBorder="1" applyAlignment="1">
      <alignment horizontal="right" vertical="center"/>
    </xf>
    <xf numFmtId="41" fontId="10" fillId="0" borderId="16" xfId="0" applyNumberFormat="1" applyFont="1" applyFill="1" applyBorder="1" applyAlignment="1">
      <alignment horizontal="right" vertical="center"/>
    </xf>
    <xf numFmtId="41" fontId="10" fillId="0" borderId="21" xfId="0" applyNumberFormat="1" applyFont="1" applyFill="1" applyBorder="1" applyAlignment="1">
      <alignment horizontal="center" vertical="center"/>
    </xf>
    <xf numFmtId="41" fontId="10" fillId="0" borderId="13" xfId="0" applyNumberFormat="1" applyFont="1" applyFill="1" applyBorder="1" applyAlignment="1">
      <alignment horizontal="center" vertical="center"/>
    </xf>
    <xf numFmtId="41" fontId="10" fillId="0" borderId="22" xfId="0" applyNumberFormat="1" applyFont="1" applyFill="1" applyBorder="1" applyAlignment="1">
      <alignment horizontal="right" vertical="center" indent="1"/>
    </xf>
    <xf numFmtId="41" fontId="10" fillId="0" borderId="23" xfId="0" applyNumberFormat="1" applyFont="1" applyFill="1" applyBorder="1" applyAlignment="1">
      <alignment horizontal="right" vertical="center" indent="1"/>
    </xf>
    <xf numFmtId="41" fontId="10" fillId="0" borderId="0" xfId="0" applyNumberFormat="1" applyFont="1" applyFill="1" applyBorder="1" applyAlignment="1">
      <alignment horizontal="right" vertical="center"/>
    </xf>
    <xf numFmtId="41" fontId="10" fillId="0" borderId="14" xfId="0" applyNumberFormat="1" applyFont="1" applyFill="1" applyBorder="1" applyAlignment="1">
      <alignment horizontal="center" vertical="center"/>
    </xf>
    <xf numFmtId="41" fontId="10" fillId="0" borderId="17" xfId="32" applyNumberFormat="1" applyFont="1" applyFill="1" applyBorder="1" applyAlignment="1">
      <alignment horizontal="center" vertical="center"/>
    </xf>
    <xf numFmtId="41" fontId="10" fillId="0" borderId="16" xfId="32" applyNumberFormat="1" applyFont="1" applyFill="1" applyBorder="1" applyAlignment="1">
      <alignment horizontal="center" vertical="center"/>
    </xf>
    <xf numFmtId="41" fontId="10" fillId="0" borderId="0" xfId="32" applyNumberFormat="1" applyFont="1" applyFill="1" applyBorder="1" applyAlignment="1">
      <alignment horizontal="center" vertical="center"/>
    </xf>
    <xf numFmtId="0" fontId="10" fillId="0" borderId="20" xfId="32" applyNumberFormat="1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0" fillId="0" borderId="24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/>
    </xf>
  </cellXfs>
  <cellStyles count="3815">
    <cellStyle name="20% - 강조색1" xfId="1" builtinId="30" customBuiltin="1"/>
    <cellStyle name="20% - 강조색1 10" xfId="483" xr:uid="{00000000-0005-0000-0000-000001000000}"/>
    <cellStyle name="20% - 강조색1 10 2" xfId="745" xr:uid="{00000000-0005-0000-0000-000002000000}"/>
    <cellStyle name="20% - 강조색1 10 2 2" xfId="1263" xr:uid="{00000000-0005-0000-0000-000003000000}"/>
    <cellStyle name="20% - 강조색1 10 2 2 2" xfId="2567" xr:uid="{00000000-0005-0000-0000-000004000000}"/>
    <cellStyle name="20% - 강조색1 10 2 2 3" xfId="3736" xr:uid="{00000000-0005-0000-0000-000005000000}"/>
    <cellStyle name="20% - 강조색1 10 2 3" xfId="2049" xr:uid="{00000000-0005-0000-0000-000006000000}"/>
    <cellStyle name="20% - 강조색1 10 2 4" xfId="3218" xr:uid="{00000000-0005-0000-0000-000007000000}"/>
    <cellStyle name="20% - 강조색1 10 3" xfId="1001" xr:uid="{00000000-0005-0000-0000-000008000000}"/>
    <cellStyle name="20% - 강조색1 10 3 2" xfId="2305" xr:uid="{00000000-0005-0000-0000-000009000000}"/>
    <cellStyle name="20% - 강조색1 10 3 3" xfId="3474" xr:uid="{00000000-0005-0000-0000-00000A000000}"/>
    <cellStyle name="20% - 강조색1 10 4" xfId="1787" xr:uid="{00000000-0005-0000-0000-00000B000000}"/>
    <cellStyle name="20% - 강조색1 10 5" xfId="2956" xr:uid="{00000000-0005-0000-0000-00000C000000}"/>
    <cellStyle name="20% - 강조색1 11" xfId="505" xr:uid="{00000000-0005-0000-0000-00000D000000}"/>
    <cellStyle name="20% - 강조색1 11 2" xfId="1023" xr:uid="{00000000-0005-0000-0000-00000E000000}"/>
    <cellStyle name="20% - 강조색1 11 2 2" xfId="2327" xr:uid="{00000000-0005-0000-0000-00000F000000}"/>
    <cellStyle name="20% - 강조색1 11 2 3" xfId="3496" xr:uid="{00000000-0005-0000-0000-000010000000}"/>
    <cellStyle name="20% - 강조색1 11 3" xfId="1809" xr:uid="{00000000-0005-0000-0000-000011000000}"/>
    <cellStyle name="20% - 강조색1 11 4" xfId="2978" xr:uid="{00000000-0005-0000-0000-000012000000}"/>
    <cellStyle name="20% - 강조색1 12" xfId="757" xr:uid="{00000000-0005-0000-0000-000013000000}"/>
    <cellStyle name="20% - 강조색1 12 2" xfId="2061" xr:uid="{00000000-0005-0000-0000-000014000000}"/>
    <cellStyle name="20% - 강조색1 12 3" xfId="3230" xr:uid="{00000000-0005-0000-0000-000015000000}"/>
    <cellStyle name="20% - 강조색1 13" xfId="209" xr:uid="{00000000-0005-0000-0000-000016000000}"/>
    <cellStyle name="20% - 강조색1 14" xfId="1532" xr:uid="{00000000-0005-0000-0000-000017000000}"/>
    <cellStyle name="20% - 강조색1 15" xfId="2701" xr:uid="{00000000-0005-0000-0000-000018000000}"/>
    <cellStyle name="20% - 강조색1 2" xfId="66" xr:uid="{00000000-0005-0000-0000-000019000000}"/>
    <cellStyle name="20% - 강조색1 2 2" xfId="389" xr:uid="{00000000-0005-0000-0000-00001A000000}"/>
    <cellStyle name="20% - 강조색1 2 2 2" xfId="651" xr:uid="{00000000-0005-0000-0000-00001B000000}"/>
    <cellStyle name="20% - 강조색1 2 2 2 2" xfId="1169" xr:uid="{00000000-0005-0000-0000-00001C000000}"/>
    <cellStyle name="20% - 강조색1 2 2 2 2 2" xfId="2473" xr:uid="{00000000-0005-0000-0000-00001D000000}"/>
    <cellStyle name="20% - 강조색1 2 2 2 2 3" xfId="3642" xr:uid="{00000000-0005-0000-0000-00001E000000}"/>
    <cellStyle name="20% - 강조색1 2 2 2 3" xfId="1955" xr:uid="{00000000-0005-0000-0000-00001F000000}"/>
    <cellStyle name="20% - 강조색1 2 2 2 4" xfId="3124" xr:uid="{00000000-0005-0000-0000-000020000000}"/>
    <cellStyle name="20% - 강조색1 2 2 3" xfId="907" xr:uid="{00000000-0005-0000-0000-000021000000}"/>
    <cellStyle name="20% - 강조색1 2 2 3 2" xfId="2211" xr:uid="{00000000-0005-0000-0000-000022000000}"/>
    <cellStyle name="20% - 강조색1 2 2 3 3" xfId="3380" xr:uid="{00000000-0005-0000-0000-000023000000}"/>
    <cellStyle name="20% - 강조색1 2 2 4" xfId="1693" xr:uid="{00000000-0005-0000-0000-000024000000}"/>
    <cellStyle name="20% - 강조색1 2 2 5" xfId="2862" xr:uid="{00000000-0005-0000-0000-000025000000}"/>
    <cellStyle name="20% - 강조색1 2 3" xfId="521" xr:uid="{00000000-0005-0000-0000-000026000000}"/>
    <cellStyle name="20% - 강조색1 2 3 2" xfId="1039" xr:uid="{00000000-0005-0000-0000-000027000000}"/>
    <cellStyle name="20% - 강조색1 2 3 2 2" xfId="2343" xr:uid="{00000000-0005-0000-0000-000028000000}"/>
    <cellStyle name="20% - 강조색1 2 3 2 3" xfId="3512" xr:uid="{00000000-0005-0000-0000-000029000000}"/>
    <cellStyle name="20% - 강조색1 2 3 3" xfId="1825" xr:uid="{00000000-0005-0000-0000-00002A000000}"/>
    <cellStyle name="20% - 강조색1 2 3 4" xfId="2994" xr:uid="{00000000-0005-0000-0000-00002B000000}"/>
    <cellStyle name="20% - 강조색1 2 4" xfId="777" xr:uid="{00000000-0005-0000-0000-00002C000000}"/>
    <cellStyle name="20% - 강조색1 2 4 2" xfId="2081" xr:uid="{00000000-0005-0000-0000-00002D000000}"/>
    <cellStyle name="20% - 강조색1 2 4 3" xfId="3250" xr:uid="{00000000-0005-0000-0000-00002E000000}"/>
    <cellStyle name="20% - 강조색1 2 5" xfId="258" xr:uid="{00000000-0005-0000-0000-00002F000000}"/>
    <cellStyle name="20% - 강조색1 2 5 2" xfId="1564" xr:uid="{00000000-0005-0000-0000-000030000000}"/>
    <cellStyle name="20% - 강조색1 2 5 3" xfId="2733" xr:uid="{00000000-0005-0000-0000-000031000000}"/>
    <cellStyle name="20% - 강조색1 3" xfId="282" xr:uid="{00000000-0005-0000-0000-000032000000}"/>
    <cellStyle name="20% - 강조색1 3 2" xfId="413" xr:uid="{00000000-0005-0000-0000-000033000000}"/>
    <cellStyle name="20% - 강조색1 3 2 2" xfId="675" xr:uid="{00000000-0005-0000-0000-000034000000}"/>
    <cellStyle name="20% - 강조색1 3 2 2 2" xfId="1193" xr:uid="{00000000-0005-0000-0000-000035000000}"/>
    <cellStyle name="20% - 강조색1 3 2 2 2 2" xfId="2497" xr:uid="{00000000-0005-0000-0000-000036000000}"/>
    <cellStyle name="20% - 강조색1 3 2 2 2 3" xfId="3666" xr:uid="{00000000-0005-0000-0000-000037000000}"/>
    <cellStyle name="20% - 강조색1 3 2 2 3" xfId="1979" xr:uid="{00000000-0005-0000-0000-000038000000}"/>
    <cellStyle name="20% - 강조색1 3 2 2 4" xfId="3148" xr:uid="{00000000-0005-0000-0000-000039000000}"/>
    <cellStyle name="20% - 강조색1 3 2 3" xfId="931" xr:uid="{00000000-0005-0000-0000-00003A000000}"/>
    <cellStyle name="20% - 강조색1 3 2 3 2" xfId="2235" xr:uid="{00000000-0005-0000-0000-00003B000000}"/>
    <cellStyle name="20% - 강조색1 3 2 3 3" xfId="3404" xr:uid="{00000000-0005-0000-0000-00003C000000}"/>
    <cellStyle name="20% - 강조색1 3 2 4" xfId="1717" xr:uid="{00000000-0005-0000-0000-00003D000000}"/>
    <cellStyle name="20% - 강조색1 3 2 5" xfId="2886" xr:uid="{00000000-0005-0000-0000-00003E000000}"/>
    <cellStyle name="20% - 강조색1 3 3" xfId="545" xr:uid="{00000000-0005-0000-0000-00003F000000}"/>
    <cellStyle name="20% - 강조색1 3 3 2" xfId="1063" xr:uid="{00000000-0005-0000-0000-000040000000}"/>
    <cellStyle name="20% - 강조색1 3 3 2 2" xfId="2367" xr:uid="{00000000-0005-0000-0000-000041000000}"/>
    <cellStyle name="20% - 강조색1 3 3 2 3" xfId="3536" xr:uid="{00000000-0005-0000-0000-000042000000}"/>
    <cellStyle name="20% - 강조색1 3 3 3" xfId="1849" xr:uid="{00000000-0005-0000-0000-000043000000}"/>
    <cellStyle name="20% - 강조색1 3 3 4" xfId="3018" xr:uid="{00000000-0005-0000-0000-000044000000}"/>
    <cellStyle name="20% - 강조색1 3 4" xfId="801" xr:uid="{00000000-0005-0000-0000-000045000000}"/>
    <cellStyle name="20% - 강조색1 3 4 2" xfId="2105" xr:uid="{00000000-0005-0000-0000-000046000000}"/>
    <cellStyle name="20% - 강조색1 3 4 3" xfId="3274" xr:uid="{00000000-0005-0000-0000-000047000000}"/>
    <cellStyle name="20% - 강조색1 3 5" xfId="1587" xr:uid="{00000000-0005-0000-0000-000048000000}"/>
    <cellStyle name="20% - 강조색1 3 6" xfId="2756" xr:uid="{00000000-0005-0000-0000-000049000000}"/>
    <cellStyle name="20% - 강조색1 4" xfId="297" xr:uid="{00000000-0005-0000-0000-00004A000000}"/>
    <cellStyle name="20% - 강조색1 4 2" xfId="427" xr:uid="{00000000-0005-0000-0000-00004B000000}"/>
    <cellStyle name="20% - 강조색1 4 2 2" xfId="689" xr:uid="{00000000-0005-0000-0000-00004C000000}"/>
    <cellStyle name="20% - 강조색1 4 2 2 2" xfId="1207" xr:uid="{00000000-0005-0000-0000-00004D000000}"/>
    <cellStyle name="20% - 강조색1 4 2 2 2 2" xfId="2511" xr:uid="{00000000-0005-0000-0000-00004E000000}"/>
    <cellStyle name="20% - 강조색1 4 2 2 2 3" xfId="3680" xr:uid="{00000000-0005-0000-0000-00004F000000}"/>
    <cellStyle name="20% - 강조색1 4 2 2 3" xfId="1993" xr:uid="{00000000-0005-0000-0000-000050000000}"/>
    <cellStyle name="20% - 강조색1 4 2 2 4" xfId="3162" xr:uid="{00000000-0005-0000-0000-000051000000}"/>
    <cellStyle name="20% - 강조색1 4 2 3" xfId="945" xr:uid="{00000000-0005-0000-0000-000052000000}"/>
    <cellStyle name="20% - 강조색1 4 2 3 2" xfId="2249" xr:uid="{00000000-0005-0000-0000-000053000000}"/>
    <cellStyle name="20% - 강조색1 4 2 3 3" xfId="3418" xr:uid="{00000000-0005-0000-0000-000054000000}"/>
    <cellStyle name="20% - 강조색1 4 2 4" xfId="1731" xr:uid="{00000000-0005-0000-0000-000055000000}"/>
    <cellStyle name="20% - 강조색1 4 2 5" xfId="2900" xr:uid="{00000000-0005-0000-0000-000056000000}"/>
    <cellStyle name="20% - 강조색1 4 3" xfId="559" xr:uid="{00000000-0005-0000-0000-000057000000}"/>
    <cellStyle name="20% - 강조색1 4 3 2" xfId="1077" xr:uid="{00000000-0005-0000-0000-000058000000}"/>
    <cellStyle name="20% - 강조색1 4 3 2 2" xfId="2381" xr:uid="{00000000-0005-0000-0000-000059000000}"/>
    <cellStyle name="20% - 강조색1 4 3 2 3" xfId="3550" xr:uid="{00000000-0005-0000-0000-00005A000000}"/>
    <cellStyle name="20% - 강조색1 4 3 3" xfId="1863" xr:uid="{00000000-0005-0000-0000-00005B000000}"/>
    <cellStyle name="20% - 강조색1 4 3 4" xfId="3032" xr:uid="{00000000-0005-0000-0000-00005C000000}"/>
    <cellStyle name="20% - 강조색1 4 4" xfId="815" xr:uid="{00000000-0005-0000-0000-00005D000000}"/>
    <cellStyle name="20% - 강조색1 4 4 2" xfId="2119" xr:uid="{00000000-0005-0000-0000-00005E000000}"/>
    <cellStyle name="20% - 강조색1 4 4 3" xfId="3288" xr:uid="{00000000-0005-0000-0000-00005F000000}"/>
    <cellStyle name="20% - 강조색1 4 5" xfId="1601" xr:uid="{00000000-0005-0000-0000-000060000000}"/>
    <cellStyle name="20% - 강조색1 4 6" xfId="2770" xr:uid="{00000000-0005-0000-0000-000061000000}"/>
    <cellStyle name="20% - 강조색1 5" xfId="311" xr:uid="{00000000-0005-0000-0000-000062000000}"/>
    <cellStyle name="20% - 강조색1 5 2" xfId="441" xr:uid="{00000000-0005-0000-0000-000063000000}"/>
    <cellStyle name="20% - 강조색1 5 2 2" xfId="703" xr:uid="{00000000-0005-0000-0000-000064000000}"/>
    <cellStyle name="20% - 강조색1 5 2 2 2" xfId="1221" xr:uid="{00000000-0005-0000-0000-000065000000}"/>
    <cellStyle name="20% - 강조색1 5 2 2 2 2" xfId="2525" xr:uid="{00000000-0005-0000-0000-000066000000}"/>
    <cellStyle name="20% - 강조색1 5 2 2 2 3" xfId="3694" xr:uid="{00000000-0005-0000-0000-000067000000}"/>
    <cellStyle name="20% - 강조색1 5 2 2 3" xfId="2007" xr:uid="{00000000-0005-0000-0000-000068000000}"/>
    <cellStyle name="20% - 강조색1 5 2 2 4" xfId="3176" xr:uid="{00000000-0005-0000-0000-000069000000}"/>
    <cellStyle name="20% - 강조색1 5 2 3" xfId="959" xr:uid="{00000000-0005-0000-0000-00006A000000}"/>
    <cellStyle name="20% - 강조색1 5 2 3 2" xfId="2263" xr:uid="{00000000-0005-0000-0000-00006B000000}"/>
    <cellStyle name="20% - 강조색1 5 2 3 3" xfId="3432" xr:uid="{00000000-0005-0000-0000-00006C000000}"/>
    <cellStyle name="20% - 강조색1 5 2 4" xfId="1745" xr:uid="{00000000-0005-0000-0000-00006D000000}"/>
    <cellStyle name="20% - 강조색1 5 2 5" xfId="2914" xr:uid="{00000000-0005-0000-0000-00006E000000}"/>
    <cellStyle name="20% - 강조색1 5 3" xfId="573" xr:uid="{00000000-0005-0000-0000-00006F000000}"/>
    <cellStyle name="20% - 강조색1 5 3 2" xfId="1091" xr:uid="{00000000-0005-0000-0000-000070000000}"/>
    <cellStyle name="20% - 강조색1 5 3 2 2" xfId="2395" xr:uid="{00000000-0005-0000-0000-000071000000}"/>
    <cellStyle name="20% - 강조색1 5 3 2 3" xfId="3564" xr:uid="{00000000-0005-0000-0000-000072000000}"/>
    <cellStyle name="20% - 강조색1 5 3 3" xfId="1877" xr:uid="{00000000-0005-0000-0000-000073000000}"/>
    <cellStyle name="20% - 강조색1 5 3 4" xfId="3046" xr:uid="{00000000-0005-0000-0000-000074000000}"/>
    <cellStyle name="20% - 강조색1 5 4" xfId="829" xr:uid="{00000000-0005-0000-0000-000075000000}"/>
    <cellStyle name="20% - 강조색1 5 4 2" xfId="2133" xr:uid="{00000000-0005-0000-0000-000076000000}"/>
    <cellStyle name="20% - 강조색1 5 4 3" xfId="3302" xr:uid="{00000000-0005-0000-0000-000077000000}"/>
    <cellStyle name="20% - 강조색1 5 5" xfId="1615" xr:uid="{00000000-0005-0000-0000-000078000000}"/>
    <cellStyle name="20% - 강조색1 5 6" xfId="2784" xr:uid="{00000000-0005-0000-0000-000079000000}"/>
    <cellStyle name="20% - 강조색1 6" xfId="325" xr:uid="{00000000-0005-0000-0000-00007A000000}"/>
    <cellStyle name="20% - 강조색1 6 2" xfId="455" xr:uid="{00000000-0005-0000-0000-00007B000000}"/>
    <cellStyle name="20% - 강조색1 6 2 2" xfId="717" xr:uid="{00000000-0005-0000-0000-00007C000000}"/>
    <cellStyle name="20% - 강조색1 6 2 2 2" xfId="1235" xr:uid="{00000000-0005-0000-0000-00007D000000}"/>
    <cellStyle name="20% - 강조색1 6 2 2 2 2" xfId="2539" xr:uid="{00000000-0005-0000-0000-00007E000000}"/>
    <cellStyle name="20% - 강조색1 6 2 2 2 3" xfId="3708" xr:uid="{00000000-0005-0000-0000-00007F000000}"/>
    <cellStyle name="20% - 강조색1 6 2 2 3" xfId="2021" xr:uid="{00000000-0005-0000-0000-000080000000}"/>
    <cellStyle name="20% - 강조색1 6 2 2 4" xfId="3190" xr:uid="{00000000-0005-0000-0000-000081000000}"/>
    <cellStyle name="20% - 강조색1 6 2 3" xfId="973" xr:uid="{00000000-0005-0000-0000-000082000000}"/>
    <cellStyle name="20% - 강조색1 6 2 3 2" xfId="2277" xr:uid="{00000000-0005-0000-0000-000083000000}"/>
    <cellStyle name="20% - 강조색1 6 2 3 3" xfId="3446" xr:uid="{00000000-0005-0000-0000-000084000000}"/>
    <cellStyle name="20% - 강조색1 6 2 4" xfId="1759" xr:uid="{00000000-0005-0000-0000-000085000000}"/>
    <cellStyle name="20% - 강조색1 6 2 5" xfId="2928" xr:uid="{00000000-0005-0000-0000-000086000000}"/>
    <cellStyle name="20% - 강조색1 6 3" xfId="587" xr:uid="{00000000-0005-0000-0000-000087000000}"/>
    <cellStyle name="20% - 강조색1 6 3 2" xfId="1105" xr:uid="{00000000-0005-0000-0000-000088000000}"/>
    <cellStyle name="20% - 강조색1 6 3 2 2" xfId="2409" xr:uid="{00000000-0005-0000-0000-000089000000}"/>
    <cellStyle name="20% - 강조색1 6 3 2 3" xfId="3578" xr:uid="{00000000-0005-0000-0000-00008A000000}"/>
    <cellStyle name="20% - 강조색1 6 3 3" xfId="1891" xr:uid="{00000000-0005-0000-0000-00008B000000}"/>
    <cellStyle name="20% - 강조색1 6 3 4" xfId="3060" xr:uid="{00000000-0005-0000-0000-00008C000000}"/>
    <cellStyle name="20% - 강조색1 6 4" xfId="843" xr:uid="{00000000-0005-0000-0000-00008D000000}"/>
    <cellStyle name="20% - 강조색1 6 4 2" xfId="2147" xr:uid="{00000000-0005-0000-0000-00008E000000}"/>
    <cellStyle name="20% - 강조색1 6 4 3" xfId="3316" xr:uid="{00000000-0005-0000-0000-00008F000000}"/>
    <cellStyle name="20% - 강조색1 6 5" xfId="1629" xr:uid="{00000000-0005-0000-0000-000090000000}"/>
    <cellStyle name="20% - 강조색1 6 6" xfId="2798" xr:uid="{00000000-0005-0000-0000-000091000000}"/>
    <cellStyle name="20% - 강조색1 7" xfId="339" xr:uid="{00000000-0005-0000-0000-000092000000}"/>
    <cellStyle name="20% - 강조색1 7 2" xfId="469" xr:uid="{00000000-0005-0000-0000-000093000000}"/>
    <cellStyle name="20% - 강조색1 7 2 2" xfId="731" xr:uid="{00000000-0005-0000-0000-000094000000}"/>
    <cellStyle name="20% - 강조색1 7 2 2 2" xfId="1249" xr:uid="{00000000-0005-0000-0000-000095000000}"/>
    <cellStyle name="20% - 강조색1 7 2 2 2 2" xfId="2553" xr:uid="{00000000-0005-0000-0000-000096000000}"/>
    <cellStyle name="20% - 강조색1 7 2 2 2 3" xfId="3722" xr:uid="{00000000-0005-0000-0000-000097000000}"/>
    <cellStyle name="20% - 강조색1 7 2 2 3" xfId="2035" xr:uid="{00000000-0005-0000-0000-000098000000}"/>
    <cellStyle name="20% - 강조색1 7 2 2 4" xfId="3204" xr:uid="{00000000-0005-0000-0000-000099000000}"/>
    <cellStyle name="20% - 강조색1 7 2 3" xfId="987" xr:uid="{00000000-0005-0000-0000-00009A000000}"/>
    <cellStyle name="20% - 강조색1 7 2 3 2" xfId="2291" xr:uid="{00000000-0005-0000-0000-00009B000000}"/>
    <cellStyle name="20% - 강조색1 7 2 3 3" xfId="3460" xr:uid="{00000000-0005-0000-0000-00009C000000}"/>
    <cellStyle name="20% - 강조색1 7 2 4" xfId="1773" xr:uid="{00000000-0005-0000-0000-00009D000000}"/>
    <cellStyle name="20% - 강조색1 7 2 5" xfId="2942" xr:uid="{00000000-0005-0000-0000-00009E000000}"/>
    <cellStyle name="20% - 강조색1 7 3" xfId="601" xr:uid="{00000000-0005-0000-0000-00009F000000}"/>
    <cellStyle name="20% - 강조색1 7 3 2" xfId="1119" xr:uid="{00000000-0005-0000-0000-0000A0000000}"/>
    <cellStyle name="20% - 강조색1 7 3 2 2" xfId="2423" xr:uid="{00000000-0005-0000-0000-0000A1000000}"/>
    <cellStyle name="20% - 강조색1 7 3 2 3" xfId="3592" xr:uid="{00000000-0005-0000-0000-0000A2000000}"/>
    <cellStyle name="20% - 강조색1 7 3 3" xfId="1905" xr:uid="{00000000-0005-0000-0000-0000A3000000}"/>
    <cellStyle name="20% - 강조색1 7 3 4" xfId="3074" xr:uid="{00000000-0005-0000-0000-0000A4000000}"/>
    <cellStyle name="20% - 강조색1 7 4" xfId="857" xr:uid="{00000000-0005-0000-0000-0000A5000000}"/>
    <cellStyle name="20% - 강조색1 7 4 2" xfId="2161" xr:uid="{00000000-0005-0000-0000-0000A6000000}"/>
    <cellStyle name="20% - 강조색1 7 4 3" xfId="3330" xr:uid="{00000000-0005-0000-0000-0000A7000000}"/>
    <cellStyle name="20% - 강조색1 7 5" xfId="1643" xr:uid="{00000000-0005-0000-0000-0000A8000000}"/>
    <cellStyle name="20% - 강조색1 7 6" xfId="2812" xr:uid="{00000000-0005-0000-0000-0000A9000000}"/>
    <cellStyle name="20% - 강조색1 8" xfId="353" xr:uid="{00000000-0005-0000-0000-0000AA000000}"/>
    <cellStyle name="20% - 강조색1 8 2" xfId="615" xr:uid="{00000000-0005-0000-0000-0000AB000000}"/>
    <cellStyle name="20% - 강조색1 8 2 2" xfId="1133" xr:uid="{00000000-0005-0000-0000-0000AC000000}"/>
    <cellStyle name="20% - 강조색1 8 2 2 2" xfId="2437" xr:uid="{00000000-0005-0000-0000-0000AD000000}"/>
    <cellStyle name="20% - 강조색1 8 2 2 3" xfId="3606" xr:uid="{00000000-0005-0000-0000-0000AE000000}"/>
    <cellStyle name="20% - 강조색1 8 2 3" xfId="1919" xr:uid="{00000000-0005-0000-0000-0000AF000000}"/>
    <cellStyle name="20% - 강조색1 8 2 4" xfId="3088" xr:uid="{00000000-0005-0000-0000-0000B0000000}"/>
    <cellStyle name="20% - 강조색1 8 3" xfId="871" xr:uid="{00000000-0005-0000-0000-0000B1000000}"/>
    <cellStyle name="20% - 강조색1 8 3 2" xfId="2175" xr:uid="{00000000-0005-0000-0000-0000B2000000}"/>
    <cellStyle name="20% - 강조색1 8 3 3" xfId="3344" xr:uid="{00000000-0005-0000-0000-0000B3000000}"/>
    <cellStyle name="20% - 강조색1 8 4" xfId="1657" xr:uid="{00000000-0005-0000-0000-0000B4000000}"/>
    <cellStyle name="20% - 강조색1 8 5" xfId="2826" xr:uid="{00000000-0005-0000-0000-0000B5000000}"/>
    <cellStyle name="20% - 강조색1 9" xfId="373" xr:uid="{00000000-0005-0000-0000-0000B6000000}"/>
    <cellStyle name="20% - 강조색1 9 2" xfId="635" xr:uid="{00000000-0005-0000-0000-0000B7000000}"/>
    <cellStyle name="20% - 강조색1 9 2 2" xfId="1153" xr:uid="{00000000-0005-0000-0000-0000B8000000}"/>
    <cellStyle name="20% - 강조색1 9 2 2 2" xfId="2457" xr:uid="{00000000-0005-0000-0000-0000B9000000}"/>
    <cellStyle name="20% - 강조색1 9 2 2 3" xfId="3626" xr:uid="{00000000-0005-0000-0000-0000BA000000}"/>
    <cellStyle name="20% - 강조색1 9 2 3" xfId="1939" xr:uid="{00000000-0005-0000-0000-0000BB000000}"/>
    <cellStyle name="20% - 강조색1 9 2 4" xfId="3108" xr:uid="{00000000-0005-0000-0000-0000BC000000}"/>
    <cellStyle name="20% - 강조색1 9 3" xfId="891" xr:uid="{00000000-0005-0000-0000-0000BD000000}"/>
    <cellStyle name="20% - 강조색1 9 3 2" xfId="2195" xr:uid="{00000000-0005-0000-0000-0000BE000000}"/>
    <cellStyle name="20% - 강조색1 9 3 3" xfId="3364" xr:uid="{00000000-0005-0000-0000-0000BF000000}"/>
    <cellStyle name="20% - 강조색1 9 4" xfId="1677" xr:uid="{00000000-0005-0000-0000-0000C0000000}"/>
    <cellStyle name="20% - 강조색1 9 5" xfId="2846" xr:uid="{00000000-0005-0000-0000-0000C1000000}"/>
    <cellStyle name="20% - 강조색2" xfId="2" builtinId="34" customBuiltin="1"/>
    <cellStyle name="20% - 강조색2 10" xfId="485" xr:uid="{00000000-0005-0000-0000-0000C3000000}"/>
    <cellStyle name="20% - 강조색2 10 2" xfId="747" xr:uid="{00000000-0005-0000-0000-0000C4000000}"/>
    <cellStyle name="20% - 강조색2 10 2 2" xfId="1265" xr:uid="{00000000-0005-0000-0000-0000C5000000}"/>
    <cellStyle name="20% - 강조색2 10 2 2 2" xfId="2569" xr:uid="{00000000-0005-0000-0000-0000C6000000}"/>
    <cellStyle name="20% - 강조색2 10 2 2 3" xfId="3738" xr:uid="{00000000-0005-0000-0000-0000C7000000}"/>
    <cellStyle name="20% - 강조색2 10 2 3" xfId="2051" xr:uid="{00000000-0005-0000-0000-0000C8000000}"/>
    <cellStyle name="20% - 강조색2 10 2 4" xfId="3220" xr:uid="{00000000-0005-0000-0000-0000C9000000}"/>
    <cellStyle name="20% - 강조색2 10 3" xfId="1003" xr:uid="{00000000-0005-0000-0000-0000CA000000}"/>
    <cellStyle name="20% - 강조색2 10 3 2" xfId="2307" xr:uid="{00000000-0005-0000-0000-0000CB000000}"/>
    <cellStyle name="20% - 강조색2 10 3 3" xfId="3476" xr:uid="{00000000-0005-0000-0000-0000CC000000}"/>
    <cellStyle name="20% - 강조색2 10 4" xfId="1789" xr:uid="{00000000-0005-0000-0000-0000CD000000}"/>
    <cellStyle name="20% - 강조색2 10 5" xfId="2958" xr:uid="{00000000-0005-0000-0000-0000CE000000}"/>
    <cellStyle name="20% - 강조색2 11" xfId="507" xr:uid="{00000000-0005-0000-0000-0000CF000000}"/>
    <cellStyle name="20% - 강조색2 11 2" xfId="1025" xr:uid="{00000000-0005-0000-0000-0000D0000000}"/>
    <cellStyle name="20% - 강조색2 11 2 2" xfId="2329" xr:uid="{00000000-0005-0000-0000-0000D1000000}"/>
    <cellStyle name="20% - 강조색2 11 2 3" xfId="3498" xr:uid="{00000000-0005-0000-0000-0000D2000000}"/>
    <cellStyle name="20% - 강조색2 11 3" xfId="1811" xr:uid="{00000000-0005-0000-0000-0000D3000000}"/>
    <cellStyle name="20% - 강조색2 11 4" xfId="2980" xr:uid="{00000000-0005-0000-0000-0000D4000000}"/>
    <cellStyle name="20% - 강조색2 12" xfId="759" xr:uid="{00000000-0005-0000-0000-0000D5000000}"/>
    <cellStyle name="20% - 강조색2 12 2" xfId="2063" xr:uid="{00000000-0005-0000-0000-0000D6000000}"/>
    <cellStyle name="20% - 강조색2 12 3" xfId="3232" xr:uid="{00000000-0005-0000-0000-0000D7000000}"/>
    <cellStyle name="20% - 강조색2 13" xfId="213" xr:uid="{00000000-0005-0000-0000-0000D8000000}"/>
    <cellStyle name="20% - 강조색2 14" xfId="1534" xr:uid="{00000000-0005-0000-0000-0000D9000000}"/>
    <cellStyle name="20% - 강조색2 15" xfId="2703" xr:uid="{00000000-0005-0000-0000-0000DA000000}"/>
    <cellStyle name="20% - 강조색2 2" xfId="67" xr:uid="{00000000-0005-0000-0000-0000DB000000}"/>
    <cellStyle name="20% - 강조색2 2 2" xfId="391" xr:uid="{00000000-0005-0000-0000-0000DC000000}"/>
    <cellStyle name="20% - 강조색2 2 2 2" xfId="653" xr:uid="{00000000-0005-0000-0000-0000DD000000}"/>
    <cellStyle name="20% - 강조색2 2 2 2 2" xfId="1171" xr:uid="{00000000-0005-0000-0000-0000DE000000}"/>
    <cellStyle name="20% - 강조색2 2 2 2 2 2" xfId="2475" xr:uid="{00000000-0005-0000-0000-0000DF000000}"/>
    <cellStyle name="20% - 강조색2 2 2 2 2 3" xfId="3644" xr:uid="{00000000-0005-0000-0000-0000E0000000}"/>
    <cellStyle name="20% - 강조색2 2 2 2 3" xfId="1957" xr:uid="{00000000-0005-0000-0000-0000E1000000}"/>
    <cellStyle name="20% - 강조색2 2 2 2 4" xfId="3126" xr:uid="{00000000-0005-0000-0000-0000E2000000}"/>
    <cellStyle name="20% - 강조색2 2 2 3" xfId="909" xr:uid="{00000000-0005-0000-0000-0000E3000000}"/>
    <cellStyle name="20% - 강조색2 2 2 3 2" xfId="2213" xr:uid="{00000000-0005-0000-0000-0000E4000000}"/>
    <cellStyle name="20% - 강조색2 2 2 3 3" xfId="3382" xr:uid="{00000000-0005-0000-0000-0000E5000000}"/>
    <cellStyle name="20% - 강조색2 2 2 4" xfId="1695" xr:uid="{00000000-0005-0000-0000-0000E6000000}"/>
    <cellStyle name="20% - 강조색2 2 2 5" xfId="2864" xr:uid="{00000000-0005-0000-0000-0000E7000000}"/>
    <cellStyle name="20% - 강조색2 2 3" xfId="523" xr:uid="{00000000-0005-0000-0000-0000E8000000}"/>
    <cellStyle name="20% - 강조색2 2 3 2" xfId="1041" xr:uid="{00000000-0005-0000-0000-0000E9000000}"/>
    <cellStyle name="20% - 강조색2 2 3 2 2" xfId="2345" xr:uid="{00000000-0005-0000-0000-0000EA000000}"/>
    <cellStyle name="20% - 강조색2 2 3 2 3" xfId="3514" xr:uid="{00000000-0005-0000-0000-0000EB000000}"/>
    <cellStyle name="20% - 강조색2 2 3 3" xfId="1827" xr:uid="{00000000-0005-0000-0000-0000EC000000}"/>
    <cellStyle name="20% - 강조색2 2 3 4" xfId="2996" xr:uid="{00000000-0005-0000-0000-0000ED000000}"/>
    <cellStyle name="20% - 강조색2 2 4" xfId="779" xr:uid="{00000000-0005-0000-0000-0000EE000000}"/>
    <cellStyle name="20% - 강조색2 2 4 2" xfId="2083" xr:uid="{00000000-0005-0000-0000-0000EF000000}"/>
    <cellStyle name="20% - 강조색2 2 4 3" xfId="3252" xr:uid="{00000000-0005-0000-0000-0000F0000000}"/>
    <cellStyle name="20% - 강조색2 2 5" xfId="260" xr:uid="{00000000-0005-0000-0000-0000F1000000}"/>
    <cellStyle name="20% - 강조색2 2 5 2" xfId="1566" xr:uid="{00000000-0005-0000-0000-0000F2000000}"/>
    <cellStyle name="20% - 강조색2 2 5 3" xfId="2735" xr:uid="{00000000-0005-0000-0000-0000F3000000}"/>
    <cellStyle name="20% - 강조색2 3" xfId="284" xr:uid="{00000000-0005-0000-0000-0000F4000000}"/>
    <cellStyle name="20% - 강조색2 3 2" xfId="415" xr:uid="{00000000-0005-0000-0000-0000F5000000}"/>
    <cellStyle name="20% - 강조색2 3 2 2" xfId="677" xr:uid="{00000000-0005-0000-0000-0000F6000000}"/>
    <cellStyle name="20% - 강조색2 3 2 2 2" xfId="1195" xr:uid="{00000000-0005-0000-0000-0000F7000000}"/>
    <cellStyle name="20% - 강조색2 3 2 2 2 2" xfId="2499" xr:uid="{00000000-0005-0000-0000-0000F8000000}"/>
    <cellStyle name="20% - 강조색2 3 2 2 2 3" xfId="3668" xr:uid="{00000000-0005-0000-0000-0000F9000000}"/>
    <cellStyle name="20% - 강조색2 3 2 2 3" xfId="1981" xr:uid="{00000000-0005-0000-0000-0000FA000000}"/>
    <cellStyle name="20% - 강조색2 3 2 2 4" xfId="3150" xr:uid="{00000000-0005-0000-0000-0000FB000000}"/>
    <cellStyle name="20% - 강조색2 3 2 3" xfId="933" xr:uid="{00000000-0005-0000-0000-0000FC000000}"/>
    <cellStyle name="20% - 강조색2 3 2 3 2" xfId="2237" xr:uid="{00000000-0005-0000-0000-0000FD000000}"/>
    <cellStyle name="20% - 강조색2 3 2 3 3" xfId="3406" xr:uid="{00000000-0005-0000-0000-0000FE000000}"/>
    <cellStyle name="20% - 강조색2 3 2 4" xfId="1719" xr:uid="{00000000-0005-0000-0000-0000FF000000}"/>
    <cellStyle name="20% - 강조색2 3 2 5" xfId="2888" xr:uid="{00000000-0005-0000-0000-000000010000}"/>
    <cellStyle name="20% - 강조색2 3 3" xfId="547" xr:uid="{00000000-0005-0000-0000-000001010000}"/>
    <cellStyle name="20% - 강조색2 3 3 2" xfId="1065" xr:uid="{00000000-0005-0000-0000-000002010000}"/>
    <cellStyle name="20% - 강조색2 3 3 2 2" xfId="2369" xr:uid="{00000000-0005-0000-0000-000003010000}"/>
    <cellStyle name="20% - 강조색2 3 3 2 3" xfId="3538" xr:uid="{00000000-0005-0000-0000-000004010000}"/>
    <cellStyle name="20% - 강조색2 3 3 3" xfId="1851" xr:uid="{00000000-0005-0000-0000-000005010000}"/>
    <cellStyle name="20% - 강조색2 3 3 4" xfId="3020" xr:uid="{00000000-0005-0000-0000-000006010000}"/>
    <cellStyle name="20% - 강조색2 3 4" xfId="803" xr:uid="{00000000-0005-0000-0000-000007010000}"/>
    <cellStyle name="20% - 강조색2 3 4 2" xfId="2107" xr:uid="{00000000-0005-0000-0000-000008010000}"/>
    <cellStyle name="20% - 강조색2 3 4 3" xfId="3276" xr:uid="{00000000-0005-0000-0000-000009010000}"/>
    <cellStyle name="20% - 강조색2 3 5" xfId="1589" xr:uid="{00000000-0005-0000-0000-00000A010000}"/>
    <cellStyle name="20% - 강조색2 3 6" xfId="2758" xr:uid="{00000000-0005-0000-0000-00000B010000}"/>
    <cellStyle name="20% - 강조색2 4" xfId="299" xr:uid="{00000000-0005-0000-0000-00000C010000}"/>
    <cellStyle name="20% - 강조색2 4 2" xfId="429" xr:uid="{00000000-0005-0000-0000-00000D010000}"/>
    <cellStyle name="20% - 강조색2 4 2 2" xfId="691" xr:uid="{00000000-0005-0000-0000-00000E010000}"/>
    <cellStyle name="20% - 강조색2 4 2 2 2" xfId="1209" xr:uid="{00000000-0005-0000-0000-00000F010000}"/>
    <cellStyle name="20% - 강조색2 4 2 2 2 2" xfId="2513" xr:uid="{00000000-0005-0000-0000-000010010000}"/>
    <cellStyle name="20% - 강조색2 4 2 2 2 3" xfId="3682" xr:uid="{00000000-0005-0000-0000-000011010000}"/>
    <cellStyle name="20% - 강조색2 4 2 2 3" xfId="1995" xr:uid="{00000000-0005-0000-0000-000012010000}"/>
    <cellStyle name="20% - 강조색2 4 2 2 4" xfId="3164" xr:uid="{00000000-0005-0000-0000-000013010000}"/>
    <cellStyle name="20% - 강조색2 4 2 3" xfId="947" xr:uid="{00000000-0005-0000-0000-000014010000}"/>
    <cellStyle name="20% - 강조색2 4 2 3 2" xfId="2251" xr:uid="{00000000-0005-0000-0000-000015010000}"/>
    <cellStyle name="20% - 강조색2 4 2 3 3" xfId="3420" xr:uid="{00000000-0005-0000-0000-000016010000}"/>
    <cellStyle name="20% - 강조색2 4 2 4" xfId="1733" xr:uid="{00000000-0005-0000-0000-000017010000}"/>
    <cellStyle name="20% - 강조색2 4 2 5" xfId="2902" xr:uid="{00000000-0005-0000-0000-000018010000}"/>
    <cellStyle name="20% - 강조색2 4 3" xfId="561" xr:uid="{00000000-0005-0000-0000-000019010000}"/>
    <cellStyle name="20% - 강조색2 4 3 2" xfId="1079" xr:uid="{00000000-0005-0000-0000-00001A010000}"/>
    <cellStyle name="20% - 강조색2 4 3 2 2" xfId="2383" xr:uid="{00000000-0005-0000-0000-00001B010000}"/>
    <cellStyle name="20% - 강조색2 4 3 2 3" xfId="3552" xr:uid="{00000000-0005-0000-0000-00001C010000}"/>
    <cellStyle name="20% - 강조색2 4 3 3" xfId="1865" xr:uid="{00000000-0005-0000-0000-00001D010000}"/>
    <cellStyle name="20% - 강조색2 4 3 4" xfId="3034" xr:uid="{00000000-0005-0000-0000-00001E010000}"/>
    <cellStyle name="20% - 강조색2 4 4" xfId="817" xr:uid="{00000000-0005-0000-0000-00001F010000}"/>
    <cellStyle name="20% - 강조색2 4 4 2" xfId="2121" xr:uid="{00000000-0005-0000-0000-000020010000}"/>
    <cellStyle name="20% - 강조색2 4 4 3" xfId="3290" xr:uid="{00000000-0005-0000-0000-000021010000}"/>
    <cellStyle name="20% - 강조색2 4 5" xfId="1603" xr:uid="{00000000-0005-0000-0000-000022010000}"/>
    <cellStyle name="20% - 강조색2 4 6" xfId="2772" xr:uid="{00000000-0005-0000-0000-000023010000}"/>
    <cellStyle name="20% - 강조색2 5" xfId="313" xr:uid="{00000000-0005-0000-0000-000024010000}"/>
    <cellStyle name="20% - 강조색2 5 2" xfId="443" xr:uid="{00000000-0005-0000-0000-000025010000}"/>
    <cellStyle name="20% - 강조색2 5 2 2" xfId="705" xr:uid="{00000000-0005-0000-0000-000026010000}"/>
    <cellStyle name="20% - 강조색2 5 2 2 2" xfId="1223" xr:uid="{00000000-0005-0000-0000-000027010000}"/>
    <cellStyle name="20% - 강조색2 5 2 2 2 2" xfId="2527" xr:uid="{00000000-0005-0000-0000-000028010000}"/>
    <cellStyle name="20% - 강조색2 5 2 2 2 3" xfId="3696" xr:uid="{00000000-0005-0000-0000-000029010000}"/>
    <cellStyle name="20% - 강조색2 5 2 2 3" xfId="2009" xr:uid="{00000000-0005-0000-0000-00002A010000}"/>
    <cellStyle name="20% - 강조색2 5 2 2 4" xfId="3178" xr:uid="{00000000-0005-0000-0000-00002B010000}"/>
    <cellStyle name="20% - 강조색2 5 2 3" xfId="961" xr:uid="{00000000-0005-0000-0000-00002C010000}"/>
    <cellStyle name="20% - 강조색2 5 2 3 2" xfId="2265" xr:uid="{00000000-0005-0000-0000-00002D010000}"/>
    <cellStyle name="20% - 강조색2 5 2 3 3" xfId="3434" xr:uid="{00000000-0005-0000-0000-00002E010000}"/>
    <cellStyle name="20% - 강조색2 5 2 4" xfId="1747" xr:uid="{00000000-0005-0000-0000-00002F010000}"/>
    <cellStyle name="20% - 강조색2 5 2 5" xfId="2916" xr:uid="{00000000-0005-0000-0000-000030010000}"/>
    <cellStyle name="20% - 강조색2 5 3" xfId="575" xr:uid="{00000000-0005-0000-0000-000031010000}"/>
    <cellStyle name="20% - 강조색2 5 3 2" xfId="1093" xr:uid="{00000000-0005-0000-0000-000032010000}"/>
    <cellStyle name="20% - 강조색2 5 3 2 2" xfId="2397" xr:uid="{00000000-0005-0000-0000-000033010000}"/>
    <cellStyle name="20% - 강조색2 5 3 2 3" xfId="3566" xr:uid="{00000000-0005-0000-0000-000034010000}"/>
    <cellStyle name="20% - 강조색2 5 3 3" xfId="1879" xr:uid="{00000000-0005-0000-0000-000035010000}"/>
    <cellStyle name="20% - 강조색2 5 3 4" xfId="3048" xr:uid="{00000000-0005-0000-0000-000036010000}"/>
    <cellStyle name="20% - 강조색2 5 4" xfId="831" xr:uid="{00000000-0005-0000-0000-000037010000}"/>
    <cellStyle name="20% - 강조색2 5 4 2" xfId="2135" xr:uid="{00000000-0005-0000-0000-000038010000}"/>
    <cellStyle name="20% - 강조색2 5 4 3" xfId="3304" xr:uid="{00000000-0005-0000-0000-000039010000}"/>
    <cellStyle name="20% - 강조색2 5 5" xfId="1617" xr:uid="{00000000-0005-0000-0000-00003A010000}"/>
    <cellStyle name="20% - 강조색2 5 6" xfId="2786" xr:uid="{00000000-0005-0000-0000-00003B010000}"/>
    <cellStyle name="20% - 강조색2 6" xfId="327" xr:uid="{00000000-0005-0000-0000-00003C010000}"/>
    <cellStyle name="20% - 강조색2 6 2" xfId="457" xr:uid="{00000000-0005-0000-0000-00003D010000}"/>
    <cellStyle name="20% - 강조색2 6 2 2" xfId="719" xr:uid="{00000000-0005-0000-0000-00003E010000}"/>
    <cellStyle name="20% - 강조색2 6 2 2 2" xfId="1237" xr:uid="{00000000-0005-0000-0000-00003F010000}"/>
    <cellStyle name="20% - 강조색2 6 2 2 2 2" xfId="2541" xr:uid="{00000000-0005-0000-0000-000040010000}"/>
    <cellStyle name="20% - 강조색2 6 2 2 2 3" xfId="3710" xr:uid="{00000000-0005-0000-0000-000041010000}"/>
    <cellStyle name="20% - 강조색2 6 2 2 3" xfId="2023" xr:uid="{00000000-0005-0000-0000-000042010000}"/>
    <cellStyle name="20% - 강조색2 6 2 2 4" xfId="3192" xr:uid="{00000000-0005-0000-0000-000043010000}"/>
    <cellStyle name="20% - 강조색2 6 2 3" xfId="975" xr:uid="{00000000-0005-0000-0000-000044010000}"/>
    <cellStyle name="20% - 강조색2 6 2 3 2" xfId="2279" xr:uid="{00000000-0005-0000-0000-000045010000}"/>
    <cellStyle name="20% - 강조색2 6 2 3 3" xfId="3448" xr:uid="{00000000-0005-0000-0000-000046010000}"/>
    <cellStyle name="20% - 강조색2 6 2 4" xfId="1761" xr:uid="{00000000-0005-0000-0000-000047010000}"/>
    <cellStyle name="20% - 강조색2 6 2 5" xfId="2930" xr:uid="{00000000-0005-0000-0000-000048010000}"/>
    <cellStyle name="20% - 강조색2 6 3" xfId="589" xr:uid="{00000000-0005-0000-0000-000049010000}"/>
    <cellStyle name="20% - 강조색2 6 3 2" xfId="1107" xr:uid="{00000000-0005-0000-0000-00004A010000}"/>
    <cellStyle name="20% - 강조색2 6 3 2 2" xfId="2411" xr:uid="{00000000-0005-0000-0000-00004B010000}"/>
    <cellStyle name="20% - 강조색2 6 3 2 3" xfId="3580" xr:uid="{00000000-0005-0000-0000-00004C010000}"/>
    <cellStyle name="20% - 강조색2 6 3 3" xfId="1893" xr:uid="{00000000-0005-0000-0000-00004D010000}"/>
    <cellStyle name="20% - 강조색2 6 3 4" xfId="3062" xr:uid="{00000000-0005-0000-0000-00004E010000}"/>
    <cellStyle name="20% - 강조색2 6 4" xfId="845" xr:uid="{00000000-0005-0000-0000-00004F010000}"/>
    <cellStyle name="20% - 강조색2 6 4 2" xfId="2149" xr:uid="{00000000-0005-0000-0000-000050010000}"/>
    <cellStyle name="20% - 강조색2 6 4 3" xfId="3318" xr:uid="{00000000-0005-0000-0000-000051010000}"/>
    <cellStyle name="20% - 강조색2 6 5" xfId="1631" xr:uid="{00000000-0005-0000-0000-000052010000}"/>
    <cellStyle name="20% - 강조색2 6 6" xfId="2800" xr:uid="{00000000-0005-0000-0000-000053010000}"/>
    <cellStyle name="20% - 강조색2 7" xfId="341" xr:uid="{00000000-0005-0000-0000-000054010000}"/>
    <cellStyle name="20% - 강조색2 7 2" xfId="471" xr:uid="{00000000-0005-0000-0000-000055010000}"/>
    <cellStyle name="20% - 강조색2 7 2 2" xfId="733" xr:uid="{00000000-0005-0000-0000-000056010000}"/>
    <cellStyle name="20% - 강조색2 7 2 2 2" xfId="1251" xr:uid="{00000000-0005-0000-0000-000057010000}"/>
    <cellStyle name="20% - 강조색2 7 2 2 2 2" xfId="2555" xr:uid="{00000000-0005-0000-0000-000058010000}"/>
    <cellStyle name="20% - 강조색2 7 2 2 2 3" xfId="3724" xr:uid="{00000000-0005-0000-0000-000059010000}"/>
    <cellStyle name="20% - 강조색2 7 2 2 3" xfId="2037" xr:uid="{00000000-0005-0000-0000-00005A010000}"/>
    <cellStyle name="20% - 강조색2 7 2 2 4" xfId="3206" xr:uid="{00000000-0005-0000-0000-00005B010000}"/>
    <cellStyle name="20% - 강조색2 7 2 3" xfId="989" xr:uid="{00000000-0005-0000-0000-00005C010000}"/>
    <cellStyle name="20% - 강조색2 7 2 3 2" xfId="2293" xr:uid="{00000000-0005-0000-0000-00005D010000}"/>
    <cellStyle name="20% - 강조색2 7 2 3 3" xfId="3462" xr:uid="{00000000-0005-0000-0000-00005E010000}"/>
    <cellStyle name="20% - 강조색2 7 2 4" xfId="1775" xr:uid="{00000000-0005-0000-0000-00005F010000}"/>
    <cellStyle name="20% - 강조색2 7 2 5" xfId="2944" xr:uid="{00000000-0005-0000-0000-000060010000}"/>
    <cellStyle name="20% - 강조색2 7 3" xfId="603" xr:uid="{00000000-0005-0000-0000-000061010000}"/>
    <cellStyle name="20% - 강조색2 7 3 2" xfId="1121" xr:uid="{00000000-0005-0000-0000-000062010000}"/>
    <cellStyle name="20% - 강조색2 7 3 2 2" xfId="2425" xr:uid="{00000000-0005-0000-0000-000063010000}"/>
    <cellStyle name="20% - 강조색2 7 3 2 3" xfId="3594" xr:uid="{00000000-0005-0000-0000-000064010000}"/>
    <cellStyle name="20% - 강조색2 7 3 3" xfId="1907" xr:uid="{00000000-0005-0000-0000-000065010000}"/>
    <cellStyle name="20% - 강조색2 7 3 4" xfId="3076" xr:uid="{00000000-0005-0000-0000-000066010000}"/>
    <cellStyle name="20% - 강조색2 7 4" xfId="859" xr:uid="{00000000-0005-0000-0000-000067010000}"/>
    <cellStyle name="20% - 강조색2 7 4 2" xfId="2163" xr:uid="{00000000-0005-0000-0000-000068010000}"/>
    <cellStyle name="20% - 강조색2 7 4 3" xfId="3332" xr:uid="{00000000-0005-0000-0000-000069010000}"/>
    <cellStyle name="20% - 강조색2 7 5" xfId="1645" xr:uid="{00000000-0005-0000-0000-00006A010000}"/>
    <cellStyle name="20% - 강조색2 7 6" xfId="2814" xr:uid="{00000000-0005-0000-0000-00006B010000}"/>
    <cellStyle name="20% - 강조색2 8" xfId="355" xr:uid="{00000000-0005-0000-0000-00006C010000}"/>
    <cellStyle name="20% - 강조색2 8 2" xfId="617" xr:uid="{00000000-0005-0000-0000-00006D010000}"/>
    <cellStyle name="20% - 강조색2 8 2 2" xfId="1135" xr:uid="{00000000-0005-0000-0000-00006E010000}"/>
    <cellStyle name="20% - 강조색2 8 2 2 2" xfId="2439" xr:uid="{00000000-0005-0000-0000-00006F010000}"/>
    <cellStyle name="20% - 강조색2 8 2 2 3" xfId="3608" xr:uid="{00000000-0005-0000-0000-000070010000}"/>
    <cellStyle name="20% - 강조색2 8 2 3" xfId="1921" xr:uid="{00000000-0005-0000-0000-000071010000}"/>
    <cellStyle name="20% - 강조색2 8 2 4" xfId="3090" xr:uid="{00000000-0005-0000-0000-000072010000}"/>
    <cellStyle name="20% - 강조색2 8 3" xfId="873" xr:uid="{00000000-0005-0000-0000-000073010000}"/>
    <cellStyle name="20% - 강조색2 8 3 2" xfId="2177" xr:uid="{00000000-0005-0000-0000-000074010000}"/>
    <cellStyle name="20% - 강조색2 8 3 3" xfId="3346" xr:uid="{00000000-0005-0000-0000-000075010000}"/>
    <cellStyle name="20% - 강조색2 8 4" xfId="1659" xr:uid="{00000000-0005-0000-0000-000076010000}"/>
    <cellStyle name="20% - 강조색2 8 5" xfId="2828" xr:uid="{00000000-0005-0000-0000-000077010000}"/>
    <cellStyle name="20% - 강조색2 9" xfId="375" xr:uid="{00000000-0005-0000-0000-000078010000}"/>
    <cellStyle name="20% - 강조색2 9 2" xfId="637" xr:uid="{00000000-0005-0000-0000-000079010000}"/>
    <cellStyle name="20% - 강조색2 9 2 2" xfId="1155" xr:uid="{00000000-0005-0000-0000-00007A010000}"/>
    <cellStyle name="20% - 강조색2 9 2 2 2" xfId="2459" xr:uid="{00000000-0005-0000-0000-00007B010000}"/>
    <cellStyle name="20% - 강조색2 9 2 2 3" xfId="3628" xr:uid="{00000000-0005-0000-0000-00007C010000}"/>
    <cellStyle name="20% - 강조색2 9 2 3" xfId="1941" xr:uid="{00000000-0005-0000-0000-00007D010000}"/>
    <cellStyle name="20% - 강조색2 9 2 4" xfId="3110" xr:uid="{00000000-0005-0000-0000-00007E010000}"/>
    <cellStyle name="20% - 강조색2 9 3" xfId="893" xr:uid="{00000000-0005-0000-0000-00007F010000}"/>
    <cellStyle name="20% - 강조색2 9 3 2" xfId="2197" xr:uid="{00000000-0005-0000-0000-000080010000}"/>
    <cellStyle name="20% - 강조색2 9 3 3" xfId="3366" xr:uid="{00000000-0005-0000-0000-000081010000}"/>
    <cellStyle name="20% - 강조색2 9 4" xfId="1679" xr:uid="{00000000-0005-0000-0000-000082010000}"/>
    <cellStyle name="20% - 강조색2 9 5" xfId="2848" xr:uid="{00000000-0005-0000-0000-000083010000}"/>
    <cellStyle name="20% - 강조색3" xfId="3" builtinId="38" customBuiltin="1"/>
    <cellStyle name="20% - 강조색3 10" xfId="487" xr:uid="{00000000-0005-0000-0000-000085010000}"/>
    <cellStyle name="20% - 강조색3 10 2" xfId="749" xr:uid="{00000000-0005-0000-0000-000086010000}"/>
    <cellStyle name="20% - 강조색3 10 2 2" xfId="1267" xr:uid="{00000000-0005-0000-0000-000087010000}"/>
    <cellStyle name="20% - 강조색3 10 2 2 2" xfId="2571" xr:uid="{00000000-0005-0000-0000-000088010000}"/>
    <cellStyle name="20% - 강조색3 10 2 2 3" xfId="3740" xr:uid="{00000000-0005-0000-0000-000089010000}"/>
    <cellStyle name="20% - 강조색3 10 2 3" xfId="2053" xr:uid="{00000000-0005-0000-0000-00008A010000}"/>
    <cellStyle name="20% - 강조색3 10 2 4" xfId="3222" xr:uid="{00000000-0005-0000-0000-00008B010000}"/>
    <cellStyle name="20% - 강조색3 10 3" xfId="1005" xr:uid="{00000000-0005-0000-0000-00008C010000}"/>
    <cellStyle name="20% - 강조색3 10 3 2" xfId="2309" xr:uid="{00000000-0005-0000-0000-00008D010000}"/>
    <cellStyle name="20% - 강조색3 10 3 3" xfId="3478" xr:uid="{00000000-0005-0000-0000-00008E010000}"/>
    <cellStyle name="20% - 강조색3 10 4" xfId="1791" xr:uid="{00000000-0005-0000-0000-00008F010000}"/>
    <cellStyle name="20% - 강조색3 10 5" xfId="2960" xr:uid="{00000000-0005-0000-0000-000090010000}"/>
    <cellStyle name="20% - 강조색3 11" xfId="509" xr:uid="{00000000-0005-0000-0000-000091010000}"/>
    <cellStyle name="20% - 강조색3 11 2" xfId="1027" xr:uid="{00000000-0005-0000-0000-000092010000}"/>
    <cellStyle name="20% - 강조색3 11 2 2" xfId="2331" xr:uid="{00000000-0005-0000-0000-000093010000}"/>
    <cellStyle name="20% - 강조색3 11 2 3" xfId="3500" xr:uid="{00000000-0005-0000-0000-000094010000}"/>
    <cellStyle name="20% - 강조색3 11 3" xfId="1813" xr:uid="{00000000-0005-0000-0000-000095010000}"/>
    <cellStyle name="20% - 강조색3 11 4" xfId="2982" xr:uid="{00000000-0005-0000-0000-000096010000}"/>
    <cellStyle name="20% - 강조색3 12" xfId="761" xr:uid="{00000000-0005-0000-0000-000097010000}"/>
    <cellStyle name="20% - 강조색3 12 2" xfId="2065" xr:uid="{00000000-0005-0000-0000-000098010000}"/>
    <cellStyle name="20% - 강조색3 12 3" xfId="3234" xr:uid="{00000000-0005-0000-0000-000099010000}"/>
    <cellStyle name="20% - 강조색3 13" xfId="217" xr:uid="{00000000-0005-0000-0000-00009A010000}"/>
    <cellStyle name="20% - 강조색3 14" xfId="1536" xr:uid="{00000000-0005-0000-0000-00009B010000}"/>
    <cellStyle name="20% - 강조색3 15" xfId="2705" xr:uid="{00000000-0005-0000-0000-00009C010000}"/>
    <cellStyle name="20% - 강조색3 2" xfId="68" xr:uid="{00000000-0005-0000-0000-00009D010000}"/>
    <cellStyle name="20% - 강조색3 2 2" xfId="393" xr:uid="{00000000-0005-0000-0000-00009E010000}"/>
    <cellStyle name="20% - 강조색3 2 2 2" xfId="655" xr:uid="{00000000-0005-0000-0000-00009F010000}"/>
    <cellStyle name="20% - 강조색3 2 2 2 2" xfId="1173" xr:uid="{00000000-0005-0000-0000-0000A0010000}"/>
    <cellStyle name="20% - 강조색3 2 2 2 2 2" xfId="2477" xr:uid="{00000000-0005-0000-0000-0000A1010000}"/>
    <cellStyle name="20% - 강조색3 2 2 2 2 3" xfId="3646" xr:uid="{00000000-0005-0000-0000-0000A2010000}"/>
    <cellStyle name="20% - 강조색3 2 2 2 3" xfId="1959" xr:uid="{00000000-0005-0000-0000-0000A3010000}"/>
    <cellStyle name="20% - 강조색3 2 2 2 4" xfId="3128" xr:uid="{00000000-0005-0000-0000-0000A4010000}"/>
    <cellStyle name="20% - 강조색3 2 2 3" xfId="911" xr:uid="{00000000-0005-0000-0000-0000A5010000}"/>
    <cellStyle name="20% - 강조색3 2 2 3 2" xfId="2215" xr:uid="{00000000-0005-0000-0000-0000A6010000}"/>
    <cellStyle name="20% - 강조색3 2 2 3 3" xfId="3384" xr:uid="{00000000-0005-0000-0000-0000A7010000}"/>
    <cellStyle name="20% - 강조색3 2 2 4" xfId="1697" xr:uid="{00000000-0005-0000-0000-0000A8010000}"/>
    <cellStyle name="20% - 강조색3 2 2 5" xfId="2866" xr:uid="{00000000-0005-0000-0000-0000A9010000}"/>
    <cellStyle name="20% - 강조색3 2 3" xfId="525" xr:uid="{00000000-0005-0000-0000-0000AA010000}"/>
    <cellStyle name="20% - 강조색3 2 3 2" xfId="1043" xr:uid="{00000000-0005-0000-0000-0000AB010000}"/>
    <cellStyle name="20% - 강조색3 2 3 2 2" xfId="2347" xr:uid="{00000000-0005-0000-0000-0000AC010000}"/>
    <cellStyle name="20% - 강조색3 2 3 2 3" xfId="3516" xr:uid="{00000000-0005-0000-0000-0000AD010000}"/>
    <cellStyle name="20% - 강조색3 2 3 3" xfId="1829" xr:uid="{00000000-0005-0000-0000-0000AE010000}"/>
    <cellStyle name="20% - 강조색3 2 3 4" xfId="2998" xr:uid="{00000000-0005-0000-0000-0000AF010000}"/>
    <cellStyle name="20% - 강조색3 2 4" xfId="781" xr:uid="{00000000-0005-0000-0000-0000B0010000}"/>
    <cellStyle name="20% - 강조색3 2 4 2" xfId="2085" xr:uid="{00000000-0005-0000-0000-0000B1010000}"/>
    <cellStyle name="20% - 강조색3 2 4 3" xfId="3254" xr:uid="{00000000-0005-0000-0000-0000B2010000}"/>
    <cellStyle name="20% - 강조색3 2 5" xfId="262" xr:uid="{00000000-0005-0000-0000-0000B3010000}"/>
    <cellStyle name="20% - 강조색3 2 5 2" xfId="1568" xr:uid="{00000000-0005-0000-0000-0000B4010000}"/>
    <cellStyle name="20% - 강조색3 2 5 3" xfId="2737" xr:uid="{00000000-0005-0000-0000-0000B5010000}"/>
    <cellStyle name="20% - 강조색3 3" xfId="286" xr:uid="{00000000-0005-0000-0000-0000B6010000}"/>
    <cellStyle name="20% - 강조색3 3 2" xfId="417" xr:uid="{00000000-0005-0000-0000-0000B7010000}"/>
    <cellStyle name="20% - 강조색3 3 2 2" xfId="679" xr:uid="{00000000-0005-0000-0000-0000B8010000}"/>
    <cellStyle name="20% - 강조색3 3 2 2 2" xfId="1197" xr:uid="{00000000-0005-0000-0000-0000B9010000}"/>
    <cellStyle name="20% - 강조색3 3 2 2 2 2" xfId="2501" xr:uid="{00000000-0005-0000-0000-0000BA010000}"/>
    <cellStyle name="20% - 강조색3 3 2 2 2 3" xfId="3670" xr:uid="{00000000-0005-0000-0000-0000BB010000}"/>
    <cellStyle name="20% - 강조색3 3 2 2 3" xfId="1983" xr:uid="{00000000-0005-0000-0000-0000BC010000}"/>
    <cellStyle name="20% - 강조색3 3 2 2 4" xfId="3152" xr:uid="{00000000-0005-0000-0000-0000BD010000}"/>
    <cellStyle name="20% - 강조색3 3 2 3" xfId="935" xr:uid="{00000000-0005-0000-0000-0000BE010000}"/>
    <cellStyle name="20% - 강조색3 3 2 3 2" xfId="2239" xr:uid="{00000000-0005-0000-0000-0000BF010000}"/>
    <cellStyle name="20% - 강조색3 3 2 3 3" xfId="3408" xr:uid="{00000000-0005-0000-0000-0000C0010000}"/>
    <cellStyle name="20% - 강조색3 3 2 4" xfId="1721" xr:uid="{00000000-0005-0000-0000-0000C1010000}"/>
    <cellStyle name="20% - 강조색3 3 2 5" xfId="2890" xr:uid="{00000000-0005-0000-0000-0000C2010000}"/>
    <cellStyle name="20% - 강조색3 3 3" xfId="549" xr:uid="{00000000-0005-0000-0000-0000C3010000}"/>
    <cellStyle name="20% - 강조색3 3 3 2" xfId="1067" xr:uid="{00000000-0005-0000-0000-0000C4010000}"/>
    <cellStyle name="20% - 강조색3 3 3 2 2" xfId="2371" xr:uid="{00000000-0005-0000-0000-0000C5010000}"/>
    <cellStyle name="20% - 강조색3 3 3 2 3" xfId="3540" xr:uid="{00000000-0005-0000-0000-0000C6010000}"/>
    <cellStyle name="20% - 강조색3 3 3 3" xfId="1853" xr:uid="{00000000-0005-0000-0000-0000C7010000}"/>
    <cellStyle name="20% - 강조색3 3 3 4" xfId="3022" xr:uid="{00000000-0005-0000-0000-0000C8010000}"/>
    <cellStyle name="20% - 강조색3 3 4" xfId="805" xr:uid="{00000000-0005-0000-0000-0000C9010000}"/>
    <cellStyle name="20% - 강조색3 3 4 2" xfId="2109" xr:uid="{00000000-0005-0000-0000-0000CA010000}"/>
    <cellStyle name="20% - 강조색3 3 4 3" xfId="3278" xr:uid="{00000000-0005-0000-0000-0000CB010000}"/>
    <cellStyle name="20% - 강조색3 3 5" xfId="1591" xr:uid="{00000000-0005-0000-0000-0000CC010000}"/>
    <cellStyle name="20% - 강조색3 3 6" xfId="2760" xr:uid="{00000000-0005-0000-0000-0000CD010000}"/>
    <cellStyle name="20% - 강조색3 4" xfId="301" xr:uid="{00000000-0005-0000-0000-0000CE010000}"/>
    <cellStyle name="20% - 강조색3 4 2" xfId="431" xr:uid="{00000000-0005-0000-0000-0000CF010000}"/>
    <cellStyle name="20% - 강조색3 4 2 2" xfId="693" xr:uid="{00000000-0005-0000-0000-0000D0010000}"/>
    <cellStyle name="20% - 강조색3 4 2 2 2" xfId="1211" xr:uid="{00000000-0005-0000-0000-0000D1010000}"/>
    <cellStyle name="20% - 강조색3 4 2 2 2 2" xfId="2515" xr:uid="{00000000-0005-0000-0000-0000D2010000}"/>
    <cellStyle name="20% - 강조색3 4 2 2 2 3" xfId="3684" xr:uid="{00000000-0005-0000-0000-0000D3010000}"/>
    <cellStyle name="20% - 강조색3 4 2 2 3" xfId="1997" xr:uid="{00000000-0005-0000-0000-0000D4010000}"/>
    <cellStyle name="20% - 강조색3 4 2 2 4" xfId="3166" xr:uid="{00000000-0005-0000-0000-0000D5010000}"/>
    <cellStyle name="20% - 강조색3 4 2 3" xfId="949" xr:uid="{00000000-0005-0000-0000-0000D6010000}"/>
    <cellStyle name="20% - 강조색3 4 2 3 2" xfId="2253" xr:uid="{00000000-0005-0000-0000-0000D7010000}"/>
    <cellStyle name="20% - 강조색3 4 2 3 3" xfId="3422" xr:uid="{00000000-0005-0000-0000-0000D8010000}"/>
    <cellStyle name="20% - 강조색3 4 2 4" xfId="1735" xr:uid="{00000000-0005-0000-0000-0000D9010000}"/>
    <cellStyle name="20% - 강조색3 4 2 5" xfId="2904" xr:uid="{00000000-0005-0000-0000-0000DA010000}"/>
    <cellStyle name="20% - 강조색3 4 3" xfId="563" xr:uid="{00000000-0005-0000-0000-0000DB010000}"/>
    <cellStyle name="20% - 강조색3 4 3 2" xfId="1081" xr:uid="{00000000-0005-0000-0000-0000DC010000}"/>
    <cellStyle name="20% - 강조색3 4 3 2 2" xfId="2385" xr:uid="{00000000-0005-0000-0000-0000DD010000}"/>
    <cellStyle name="20% - 강조색3 4 3 2 3" xfId="3554" xr:uid="{00000000-0005-0000-0000-0000DE010000}"/>
    <cellStyle name="20% - 강조색3 4 3 3" xfId="1867" xr:uid="{00000000-0005-0000-0000-0000DF010000}"/>
    <cellStyle name="20% - 강조색3 4 3 4" xfId="3036" xr:uid="{00000000-0005-0000-0000-0000E0010000}"/>
    <cellStyle name="20% - 강조색3 4 4" xfId="819" xr:uid="{00000000-0005-0000-0000-0000E1010000}"/>
    <cellStyle name="20% - 강조색3 4 4 2" xfId="2123" xr:uid="{00000000-0005-0000-0000-0000E2010000}"/>
    <cellStyle name="20% - 강조색3 4 4 3" xfId="3292" xr:uid="{00000000-0005-0000-0000-0000E3010000}"/>
    <cellStyle name="20% - 강조색3 4 5" xfId="1605" xr:uid="{00000000-0005-0000-0000-0000E4010000}"/>
    <cellStyle name="20% - 강조색3 4 6" xfId="2774" xr:uid="{00000000-0005-0000-0000-0000E5010000}"/>
    <cellStyle name="20% - 강조색3 5" xfId="315" xr:uid="{00000000-0005-0000-0000-0000E6010000}"/>
    <cellStyle name="20% - 강조색3 5 2" xfId="445" xr:uid="{00000000-0005-0000-0000-0000E7010000}"/>
    <cellStyle name="20% - 강조색3 5 2 2" xfId="707" xr:uid="{00000000-0005-0000-0000-0000E8010000}"/>
    <cellStyle name="20% - 강조색3 5 2 2 2" xfId="1225" xr:uid="{00000000-0005-0000-0000-0000E9010000}"/>
    <cellStyle name="20% - 강조색3 5 2 2 2 2" xfId="2529" xr:uid="{00000000-0005-0000-0000-0000EA010000}"/>
    <cellStyle name="20% - 강조색3 5 2 2 2 3" xfId="3698" xr:uid="{00000000-0005-0000-0000-0000EB010000}"/>
    <cellStyle name="20% - 강조색3 5 2 2 3" xfId="2011" xr:uid="{00000000-0005-0000-0000-0000EC010000}"/>
    <cellStyle name="20% - 강조색3 5 2 2 4" xfId="3180" xr:uid="{00000000-0005-0000-0000-0000ED010000}"/>
    <cellStyle name="20% - 강조색3 5 2 3" xfId="963" xr:uid="{00000000-0005-0000-0000-0000EE010000}"/>
    <cellStyle name="20% - 강조색3 5 2 3 2" xfId="2267" xr:uid="{00000000-0005-0000-0000-0000EF010000}"/>
    <cellStyle name="20% - 강조색3 5 2 3 3" xfId="3436" xr:uid="{00000000-0005-0000-0000-0000F0010000}"/>
    <cellStyle name="20% - 강조색3 5 2 4" xfId="1749" xr:uid="{00000000-0005-0000-0000-0000F1010000}"/>
    <cellStyle name="20% - 강조색3 5 2 5" xfId="2918" xr:uid="{00000000-0005-0000-0000-0000F2010000}"/>
    <cellStyle name="20% - 강조색3 5 3" xfId="577" xr:uid="{00000000-0005-0000-0000-0000F3010000}"/>
    <cellStyle name="20% - 강조색3 5 3 2" xfId="1095" xr:uid="{00000000-0005-0000-0000-0000F4010000}"/>
    <cellStyle name="20% - 강조색3 5 3 2 2" xfId="2399" xr:uid="{00000000-0005-0000-0000-0000F5010000}"/>
    <cellStyle name="20% - 강조색3 5 3 2 3" xfId="3568" xr:uid="{00000000-0005-0000-0000-0000F6010000}"/>
    <cellStyle name="20% - 강조색3 5 3 3" xfId="1881" xr:uid="{00000000-0005-0000-0000-0000F7010000}"/>
    <cellStyle name="20% - 강조색3 5 3 4" xfId="3050" xr:uid="{00000000-0005-0000-0000-0000F8010000}"/>
    <cellStyle name="20% - 강조색3 5 4" xfId="833" xr:uid="{00000000-0005-0000-0000-0000F9010000}"/>
    <cellStyle name="20% - 강조색3 5 4 2" xfId="2137" xr:uid="{00000000-0005-0000-0000-0000FA010000}"/>
    <cellStyle name="20% - 강조색3 5 4 3" xfId="3306" xr:uid="{00000000-0005-0000-0000-0000FB010000}"/>
    <cellStyle name="20% - 강조색3 5 5" xfId="1619" xr:uid="{00000000-0005-0000-0000-0000FC010000}"/>
    <cellStyle name="20% - 강조색3 5 6" xfId="2788" xr:uid="{00000000-0005-0000-0000-0000FD010000}"/>
    <cellStyle name="20% - 강조색3 6" xfId="329" xr:uid="{00000000-0005-0000-0000-0000FE010000}"/>
    <cellStyle name="20% - 강조색3 6 2" xfId="459" xr:uid="{00000000-0005-0000-0000-0000FF010000}"/>
    <cellStyle name="20% - 강조색3 6 2 2" xfId="721" xr:uid="{00000000-0005-0000-0000-000000020000}"/>
    <cellStyle name="20% - 강조색3 6 2 2 2" xfId="1239" xr:uid="{00000000-0005-0000-0000-000001020000}"/>
    <cellStyle name="20% - 강조색3 6 2 2 2 2" xfId="2543" xr:uid="{00000000-0005-0000-0000-000002020000}"/>
    <cellStyle name="20% - 강조색3 6 2 2 2 3" xfId="3712" xr:uid="{00000000-0005-0000-0000-000003020000}"/>
    <cellStyle name="20% - 강조색3 6 2 2 3" xfId="2025" xr:uid="{00000000-0005-0000-0000-000004020000}"/>
    <cellStyle name="20% - 강조색3 6 2 2 4" xfId="3194" xr:uid="{00000000-0005-0000-0000-000005020000}"/>
    <cellStyle name="20% - 강조색3 6 2 3" xfId="977" xr:uid="{00000000-0005-0000-0000-000006020000}"/>
    <cellStyle name="20% - 강조색3 6 2 3 2" xfId="2281" xr:uid="{00000000-0005-0000-0000-000007020000}"/>
    <cellStyle name="20% - 강조색3 6 2 3 3" xfId="3450" xr:uid="{00000000-0005-0000-0000-000008020000}"/>
    <cellStyle name="20% - 강조색3 6 2 4" xfId="1763" xr:uid="{00000000-0005-0000-0000-000009020000}"/>
    <cellStyle name="20% - 강조색3 6 2 5" xfId="2932" xr:uid="{00000000-0005-0000-0000-00000A020000}"/>
    <cellStyle name="20% - 강조색3 6 3" xfId="591" xr:uid="{00000000-0005-0000-0000-00000B020000}"/>
    <cellStyle name="20% - 강조색3 6 3 2" xfId="1109" xr:uid="{00000000-0005-0000-0000-00000C020000}"/>
    <cellStyle name="20% - 강조색3 6 3 2 2" xfId="2413" xr:uid="{00000000-0005-0000-0000-00000D020000}"/>
    <cellStyle name="20% - 강조색3 6 3 2 3" xfId="3582" xr:uid="{00000000-0005-0000-0000-00000E020000}"/>
    <cellStyle name="20% - 강조색3 6 3 3" xfId="1895" xr:uid="{00000000-0005-0000-0000-00000F020000}"/>
    <cellStyle name="20% - 강조색3 6 3 4" xfId="3064" xr:uid="{00000000-0005-0000-0000-000010020000}"/>
    <cellStyle name="20% - 강조색3 6 4" xfId="847" xr:uid="{00000000-0005-0000-0000-000011020000}"/>
    <cellStyle name="20% - 강조색3 6 4 2" xfId="2151" xr:uid="{00000000-0005-0000-0000-000012020000}"/>
    <cellStyle name="20% - 강조색3 6 4 3" xfId="3320" xr:uid="{00000000-0005-0000-0000-000013020000}"/>
    <cellStyle name="20% - 강조색3 6 5" xfId="1633" xr:uid="{00000000-0005-0000-0000-000014020000}"/>
    <cellStyle name="20% - 강조색3 6 6" xfId="2802" xr:uid="{00000000-0005-0000-0000-000015020000}"/>
    <cellStyle name="20% - 강조색3 7" xfId="343" xr:uid="{00000000-0005-0000-0000-000016020000}"/>
    <cellStyle name="20% - 강조색3 7 2" xfId="473" xr:uid="{00000000-0005-0000-0000-000017020000}"/>
    <cellStyle name="20% - 강조색3 7 2 2" xfId="735" xr:uid="{00000000-0005-0000-0000-000018020000}"/>
    <cellStyle name="20% - 강조색3 7 2 2 2" xfId="1253" xr:uid="{00000000-0005-0000-0000-000019020000}"/>
    <cellStyle name="20% - 강조색3 7 2 2 2 2" xfId="2557" xr:uid="{00000000-0005-0000-0000-00001A020000}"/>
    <cellStyle name="20% - 강조색3 7 2 2 2 3" xfId="3726" xr:uid="{00000000-0005-0000-0000-00001B020000}"/>
    <cellStyle name="20% - 강조색3 7 2 2 3" xfId="2039" xr:uid="{00000000-0005-0000-0000-00001C020000}"/>
    <cellStyle name="20% - 강조색3 7 2 2 4" xfId="3208" xr:uid="{00000000-0005-0000-0000-00001D020000}"/>
    <cellStyle name="20% - 강조색3 7 2 3" xfId="991" xr:uid="{00000000-0005-0000-0000-00001E020000}"/>
    <cellStyle name="20% - 강조색3 7 2 3 2" xfId="2295" xr:uid="{00000000-0005-0000-0000-00001F020000}"/>
    <cellStyle name="20% - 강조색3 7 2 3 3" xfId="3464" xr:uid="{00000000-0005-0000-0000-000020020000}"/>
    <cellStyle name="20% - 강조색3 7 2 4" xfId="1777" xr:uid="{00000000-0005-0000-0000-000021020000}"/>
    <cellStyle name="20% - 강조색3 7 2 5" xfId="2946" xr:uid="{00000000-0005-0000-0000-000022020000}"/>
    <cellStyle name="20% - 강조색3 7 3" xfId="605" xr:uid="{00000000-0005-0000-0000-000023020000}"/>
    <cellStyle name="20% - 강조색3 7 3 2" xfId="1123" xr:uid="{00000000-0005-0000-0000-000024020000}"/>
    <cellStyle name="20% - 강조색3 7 3 2 2" xfId="2427" xr:uid="{00000000-0005-0000-0000-000025020000}"/>
    <cellStyle name="20% - 강조색3 7 3 2 3" xfId="3596" xr:uid="{00000000-0005-0000-0000-000026020000}"/>
    <cellStyle name="20% - 강조색3 7 3 3" xfId="1909" xr:uid="{00000000-0005-0000-0000-000027020000}"/>
    <cellStyle name="20% - 강조색3 7 3 4" xfId="3078" xr:uid="{00000000-0005-0000-0000-000028020000}"/>
    <cellStyle name="20% - 강조색3 7 4" xfId="861" xr:uid="{00000000-0005-0000-0000-000029020000}"/>
    <cellStyle name="20% - 강조색3 7 4 2" xfId="2165" xr:uid="{00000000-0005-0000-0000-00002A020000}"/>
    <cellStyle name="20% - 강조색3 7 4 3" xfId="3334" xr:uid="{00000000-0005-0000-0000-00002B020000}"/>
    <cellStyle name="20% - 강조색3 7 5" xfId="1647" xr:uid="{00000000-0005-0000-0000-00002C020000}"/>
    <cellStyle name="20% - 강조색3 7 6" xfId="2816" xr:uid="{00000000-0005-0000-0000-00002D020000}"/>
    <cellStyle name="20% - 강조색3 8" xfId="357" xr:uid="{00000000-0005-0000-0000-00002E020000}"/>
    <cellStyle name="20% - 강조색3 8 2" xfId="619" xr:uid="{00000000-0005-0000-0000-00002F020000}"/>
    <cellStyle name="20% - 강조색3 8 2 2" xfId="1137" xr:uid="{00000000-0005-0000-0000-000030020000}"/>
    <cellStyle name="20% - 강조색3 8 2 2 2" xfId="2441" xr:uid="{00000000-0005-0000-0000-000031020000}"/>
    <cellStyle name="20% - 강조색3 8 2 2 3" xfId="3610" xr:uid="{00000000-0005-0000-0000-000032020000}"/>
    <cellStyle name="20% - 강조색3 8 2 3" xfId="1923" xr:uid="{00000000-0005-0000-0000-000033020000}"/>
    <cellStyle name="20% - 강조색3 8 2 4" xfId="3092" xr:uid="{00000000-0005-0000-0000-000034020000}"/>
    <cellStyle name="20% - 강조색3 8 3" xfId="875" xr:uid="{00000000-0005-0000-0000-000035020000}"/>
    <cellStyle name="20% - 강조색3 8 3 2" xfId="2179" xr:uid="{00000000-0005-0000-0000-000036020000}"/>
    <cellStyle name="20% - 강조색3 8 3 3" xfId="3348" xr:uid="{00000000-0005-0000-0000-000037020000}"/>
    <cellStyle name="20% - 강조색3 8 4" xfId="1661" xr:uid="{00000000-0005-0000-0000-000038020000}"/>
    <cellStyle name="20% - 강조색3 8 5" xfId="2830" xr:uid="{00000000-0005-0000-0000-000039020000}"/>
    <cellStyle name="20% - 강조색3 9" xfId="377" xr:uid="{00000000-0005-0000-0000-00003A020000}"/>
    <cellStyle name="20% - 강조색3 9 2" xfId="639" xr:uid="{00000000-0005-0000-0000-00003B020000}"/>
    <cellStyle name="20% - 강조색3 9 2 2" xfId="1157" xr:uid="{00000000-0005-0000-0000-00003C020000}"/>
    <cellStyle name="20% - 강조색3 9 2 2 2" xfId="2461" xr:uid="{00000000-0005-0000-0000-00003D020000}"/>
    <cellStyle name="20% - 강조색3 9 2 2 3" xfId="3630" xr:uid="{00000000-0005-0000-0000-00003E020000}"/>
    <cellStyle name="20% - 강조색3 9 2 3" xfId="1943" xr:uid="{00000000-0005-0000-0000-00003F020000}"/>
    <cellStyle name="20% - 강조색3 9 2 4" xfId="3112" xr:uid="{00000000-0005-0000-0000-000040020000}"/>
    <cellStyle name="20% - 강조색3 9 3" xfId="895" xr:uid="{00000000-0005-0000-0000-000041020000}"/>
    <cellStyle name="20% - 강조색3 9 3 2" xfId="2199" xr:uid="{00000000-0005-0000-0000-000042020000}"/>
    <cellStyle name="20% - 강조색3 9 3 3" xfId="3368" xr:uid="{00000000-0005-0000-0000-000043020000}"/>
    <cellStyle name="20% - 강조색3 9 4" xfId="1681" xr:uid="{00000000-0005-0000-0000-000044020000}"/>
    <cellStyle name="20% - 강조색3 9 5" xfId="2850" xr:uid="{00000000-0005-0000-0000-000045020000}"/>
    <cellStyle name="20% - 강조색4" xfId="4" builtinId="42" customBuiltin="1"/>
    <cellStyle name="20% - 강조색4 10" xfId="489" xr:uid="{00000000-0005-0000-0000-000047020000}"/>
    <cellStyle name="20% - 강조색4 10 2" xfId="751" xr:uid="{00000000-0005-0000-0000-000048020000}"/>
    <cellStyle name="20% - 강조색4 10 2 2" xfId="1269" xr:uid="{00000000-0005-0000-0000-000049020000}"/>
    <cellStyle name="20% - 강조색4 10 2 2 2" xfId="2573" xr:uid="{00000000-0005-0000-0000-00004A020000}"/>
    <cellStyle name="20% - 강조색4 10 2 2 3" xfId="3742" xr:uid="{00000000-0005-0000-0000-00004B020000}"/>
    <cellStyle name="20% - 강조색4 10 2 3" xfId="2055" xr:uid="{00000000-0005-0000-0000-00004C020000}"/>
    <cellStyle name="20% - 강조색4 10 2 4" xfId="3224" xr:uid="{00000000-0005-0000-0000-00004D020000}"/>
    <cellStyle name="20% - 강조색4 10 3" xfId="1007" xr:uid="{00000000-0005-0000-0000-00004E020000}"/>
    <cellStyle name="20% - 강조색4 10 3 2" xfId="2311" xr:uid="{00000000-0005-0000-0000-00004F020000}"/>
    <cellStyle name="20% - 강조색4 10 3 3" xfId="3480" xr:uid="{00000000-0005-0000-0000-000050020000}"/>
    <cellStyle name="20% - 강조색4 10 4" xfId="1793" xr:uid="{00000000-0005-0000-0000-000051020000}"/>
    <cellStyle name="20% - 강조색4 10 5" xfId="2962" xr:uid="{00000000-0005-0000-0000-000052020000}"/>
    <cellStyle name="20% - 강조색4 11" xfId="511" xr:uid="{00000000-0005-0000-0000-000053020000}"/>
    <cellStyle name="20% - 강조색4 11 2" xfId="1029" xr:uid="{00000000-0005-0000-0000-000054020000}"/>
    <cellStyle name="20% - 강조색4 11 2 2" xfId="2333" xr:uid="{00000000-0005-0000-0000-000055020000}"/>
    <cellStyle name="20% - 강조색4 11 2 3" xfId="3502" xr:uid="{00000000-0005-0000-0000-000056020000}"/>
    <cellStyle name="20% - 강조색4 11 3" xfId="1815" xr:uid="{00000000-0005-0000-0000-000057020000}"/>
    <cellStyle name="20% - 강조색4 11 4" xfId="2984" xr:uid="{00000000-0005-0000-0000-000058020000}"/>
    <cellStyle name="20% - 강조색4 12" xfId="763" xr:uid="{00000000-0005-0000-0000-000059020000}"/>
    <cellStyle name="20% - 강조색4 12 2" xfId="2067" xr:uid="{00000000-0005-0000-0000-00005A020000}"/>
    <cellStyle name="20% - 강조색4 12 3" xfId="3236" xr:uid="{00000000-0005-0000-0000-00005B020000}"/>
    <cellStyle name="20% - 강조색4 13" xfId="221" xr:uid="{00000000-0005-0000-0000-00005C020000}"/>
    <cellStyle name="20% - 강조색4 14" xfId="1538" xr:uid="{00000000-0005-0000-0000-00005D020000}"/>
    <cellStyle name="20% - 강조색4 15" xfId="2707" xr:uid="{00000000-0005-0000-0000-00005E020000}"/>
    <cellStyle name="20% - 강조색4 2" xfId="69" xr:uid="{00000000-0005-0000-0000-00005F020000}"/>
    <cellStyle name="20% - 강조색4 2 2" xfId="395" xr:uid="{00000000-0005-0000-0000-000060020000}"/>
    <cellStyle name="20% - 강조색4 2 2 2" xfId="657" xr:uid="{00000000-0005-0000-0000-000061020000}"/>
    <cellStyle name="20% - 강조색4 2 2 2 2" xfId="1175" xr:uid="{00000000-0005-0000-0000-000062020000}"/>
    <cellStyle name="20% - 강조색4 2 2 2 2 2" xfId="2479" xr:uid="{00000000-0005-0000-0000-000063020000}"/>
    <cellStyle name="20% - 강조색4 2 2 2 2 3" xfId="3648" xr:uid="{00000000-0005-0000-0000-000064020000}"/>
    <cellStyle name="20% - 강조색4 2 2 2 3" xfId="1961" xr:uid="{00000000-0005-0000-0000-000065020000}"/>
    <cellStyle name="20% - 강조색4 2 2 2 4" xfId="3130" xr:uid="{00000000-0005-0000-0000-000066020000}"/>
    <cellStyle name="20% - 강조색4 2 2 3" xfId="913" xr:uid="{00000000-0005-0000-0000-000067020000}"/>
    <cellStyle name="20% - 강조색4 2 2 3 2" xfId="2217" xr:uid="{00000000-0005-0000-0000-000068020000}"/>
    <cellStyle name="20% - 강조색4 2 2 3 3" xfId="3386" xr:uid="{00000000-0005-0000-0000-000069020000}"/>
    <cellStyle name="20% - 강조색4 2 2 4" xfId="1699" xr:uid="{00000000-0005-0000-0000-00006A020000}"/>
    <cellStyle name="20% - 강조색4 2 2 5" xfId="2868" xr:uid="{00000000-0005-0000-0000-00006B020000}"/>
    <cellStyle name="20% - 강조색4 2 3" xfId="527" xr:uid="{00000000-0005-0000-0000-00006C020000}"/>
    <cellStyle name="20% - 강조색4 2 3 2" xfId="1045" xr:uid="{00000000-0005-0000-0000-00006D020000}"/>
    <cellStyle name="20% - 강조색4 2 3 2 2" xfId="2349" xr:uid="{00000000-0005-0000-0000-00006E020000}"/>
    <cellStyle name="20% - 강조색4 2 3 2 3" xfId="3518" xr:uid="{00000000-0005-0000-0000-00006F020000}"/>
    <cellStyle name="20% - 강조색4 2 3 3" xfId="1831" xr:uid="{00000000-0005-0000-0000-000070020000}"/>
    <cellStyle name="20% - 강조색4 2 3 4" xfId="3000" xr:uid="{00000000-0005-0000-0000-000071020000}"/>
    <cellStyle name="20% - 강조색4 2 4" xfId="783" xr:uid="{00000000-0005-0000-0000-000072020000}"/>
    <cellStyle name="20% - 강조색4 2 4 2" xfId="2087" xr:uid="{00000000-0005-0000-0000-000073020000}"/>
    <cellStyle name="20% - 강조색4 2 4 3" xfId="3256" xr:uid="{00000000-0005-0000-0000-000074020000}"/>
    <cellStyle name="20% - 강조색4 2 5" xfId="264" xr:uid="{00000000-0005-0000-0000-000075020000}"/>
    <cellStyle name="20% - 강조색4 2 5 2" xfId="1570" xr:uid="{00000000-0005-0000-0000-000076020000}"/>
    <cellStyle name="20% - 강조색4 2 5 3" xfId="2739" xr:uid="{00000000-0005-0000-0000-000077020000}"/>
    <cellStyle name="20% - 강조색4 3" xfId="288" xr:uid="{00000000-0005-0000-0000-000078020000}"/>
    <cellStyle name="20% - 강조색4 3 2" xfId="419" xr:uid="{00000000-0005-0000-0000-000079020000}"/>
    <cellStyle name="20% - 강조색4 3 2 2" xfId="681" xr:uid="{00000000-0005-0000-0000-00007A020000}"/>
    <cellStyle name="20% - 강조색4 3 2 2 2" xfId="1199" xr:uid="{00000000-0005-0000-0000-00007B020000}"/>
    <cellStyle name="20% - 강조색4 3 2 2 2 2" xfId="2503" xr:uid="{00000000-0005-0000-0000-00007C020000}"/>
    <cellStyle name="20% - 강조색4 3 2 2 2 3" xfId="3672" xr:uid="{00000000-0005-0000-0000-00007D020000}"/>
    <cellStyle name="20% - 강조색4 3 2 2 3" xfId="1985" xr:uid="{00000000-0005-0000-0000-00007E020000}"/>
    <cellStyle name="20% - 강조색4 3 2 2 4" xfId="3154" xr:uid="{00000000-0005-0000-0000-00007F020000}"/>
    <cellStyle name="20% - 강조색4 3 2 3" xfId="937" xr:uid="{00000000-0005-0000-0000-000080020000}"/>
    <cellStyle name="20% - 강조색4 3 2 3 2" xfId="2241" xr:uid="{00000000-0005-0000-0000-000081020000}"/>
    <cellStyle name="20% - 강조색4 3 2 3 3" xfId="3410" xr:uid="{00000000-0005-0000-0000-000082020000}"/>
    <cellStyle name="20% - 강조색4 3 2 4" xfId="1723" xr:uid="{00000000-0005-0000-0000-000083020000}"/>
    <cellStyle name="20% - 강조색4 3 2 5" xfId="2892" xr:uid="{00000000-0005-0000-0000-000084020000}"/>
    <cellStyle name="20% - 강조색4 3 3" xfId="551" xr:uid="{00000000-0005-0000-0000-000085020000}"/>
    <cellStyle name="20% - 강조색4 3 3 2" xfId="1069" xr:uid="{00000000-0005-0000-0000-000086020000}"/>
    <cellStyle name="20% - 강조색4 3 3 2 2" xfId="2373" xr:uid="{00000000-0005-0000-0000-000087020000}"/>
    <cellStyle name="20% - 강조색4 3 3 2 3" xfId="3542" xr:uid="{00000000-0005-0000-0000-000088020000}"/>
    <cellStyle name="20% - 강조색4 3 3 3" xfId="1855" xr:uid="{00000000-0005-0000-0000-000089020000}"/>
    <cellStyle name="20% - 강조색4 3 3 4" xfId="3024" xr:uid="{00000000-0005-0000-0000-00008A020000}"/>
    <cellStyle name="20% - 강조색4 3 4" xfId="807" xr:uid="{00000000-0005-0000-0000-00008B020000}"/>
    <cellStyle name="20% - 강조색4 3 4 2" xfId="2111" xr:uid="{00000000-0005-0000-0000-00008C020000}"/>
    <cellStyle name="20% - 강조색4 3 4 3" xfId="3280" xr:uid="{00000000-0005-0000-0000-00008D020000}"/>
    <cellStyle name="20% - 강조색4 3 5" xfId="1593" xr:uid="{00000000-0005-0000-0000-00008E020000}"/>
    <cellStyle name="20% - 강조색4 3 6" xfId="2762" xr:uid="{00000000-0005-0000-0000-00008F020000}"/>
    <cellStyle name="20% - 강조색4 4" xfId="303" xr:uid="{00000000-0005-0000-0000-000090020000}"/>
    <cellStyle name="20% - 강조색4 4 2" xfId="433" xr:uid="{00000000-0005-0000-0000-000091020000}"/>
    <cellStyle name="20% - 강조색4 4 2 2" xfId="695" xr:uid="{00000000-0005-0000-0000-000092020000}"/>
    <cellStyle name="20% - 강조색4 4 2 2 2" xfId="1213" xr:uid="{00000000-0005-0000-0000-000093020000}"/>
    <cellStyle name="20% - 강조색4 4 2 2 2 2" xfId="2517" xr:uid="{00000000-0005-0000-0000-000094020000}"/>
    <cellStyle name="20% - 강조색4 4 2 2 2 3" xfId="3686" xr:uid="{00000000-0005-0000-0000-000095020000}"/>
    <cellStyle name="20% - 강조색4 4 2 2 3" xfId="1999" xr:uid="{00000000-0005-0000-0000-000096020000}"/>
    <cellStyle name="20% - 강조색4 4 2 2 4" xfId="3168" xr:uid="{00000000-0005-0000-0000-000097020000}"/>
    <cellStyle name="20% - 강조색4 4 2 3" xfId="951" xr:uid="{00000000-0005-0000-0000-000098020000}"/>
    <cellStyle name="20% - 강조색4 4 2 3 2" xfId="2255" xr:uid="{00000000-0005-0000-0000-000099020000}"/>
    <cellStyle name="20% - 강조색4 4 2 3 3" xfId="3424" xr:uid="{00000000-0005-0000-0000-00009A020000}"/>
    <cellStyle name="20% - 강조색4 4 2 4" xfId="1737" xr:uid="{00000000-0005-0000-0000-00009B020000}"/>
    <cellStyle name="20% - 강조색4 4 2 5" xfId="2906" xr:uid="{00000000-0005-0000-0000-00009C020000}"/>
    <cellStyle name="20% - 강조색4 4 3" xfId="565" xr:uid="{00000000-0005-0000-0000-00009D020000}"/>
    <cellStyle name="20% - 강조색4 4 3 2" xfId="1083" xr:uid="{00000000-0005-0000-0000-00009E020000}"/>
    <cellStyle name="20% - 강조색4 4 3 2 2" xfId="2387" xr:uid="{00000000-0005-0000-0000-00009F020000}"/>
    <cellStyle name="20% - 강조색4 4 3 2 3" xfId="3556" xr:uid="{00000000-0005-0000-0000-0000A0020000}"/>
    <cellStyle name="20% - 강조색4 4 3 3" xfId="1869" xr:uid="{00000000-0005-0000-0000-0000A1020000}"/>
    <cellStyle name="20% - 강조색4 4 3 4" xfId="3038" xr:uid="{00000000-0005-0000-0000-0000A2020000}"/>
    <cellStyle name="20% - 강조색4 4 4" xfId="821" xr:uid="{00000000-0005-0000-0000-0000A3020000}"/>
    <cellStyle name="20% - 강조색4 4 4 2" xfId="2125" xr:uid="{00000000-0005-0000-0000-0000A4020000}"/>
    <cellStyle name="20% - 강조색4 4 4 3" xfId="3294" xr:uid="{00000000-0005-0000-0000-0000A5020000}"/>
    <cellStyle name="20% - 강조색4 4 5" xfId="1607" xr:uid="{00000000-0005-0000-0000-0000A6020000}"/>
    <cellStyle name="20% - 강조색4 4 6" xfId="2776" xr:uid="{00000000-0005-0000-0000-0000A7020000}"/>
    <cellStyle name="20% - 강조색4 5" xfId="317" xr:uid="{00000000-0005-0000-0000-0000A8020000}"/>
    <cellStyle name="20% - 강조색4 5 2" xfId="447" xr:uid="{00000000-0005-0000-0000-0000A9020000}"/>
    <cellStyle name="20% - 강조색4 5 2 2" xfId="709" xr:uid="{00000000-0005-0000-0000-0000AA020000}"/>
    <cellStyle name="20% - 강조색4 5 2 2 2" xfId="1227" xr:uid="{00000000-0005-0000-0000-0000AB020000}"/>
    <cellStyle name="20% - 강조색4 5 2 2 2 2" xfId="2531" xr:uid="{00000000-0005-0000-0000-0000AC020000}"/>
    <cellStyle name="20% - 강조색4 5 2 2 2 3" xfId="3700" xr:uid="{00000000-0005-0000-0000-0000AD020000}"/>
    <cellStyle name="20% - 강조색4 5 2 2 3" xfId="2013" xr:uid="{00000000-0005-0000-0000-0000AE020000}"/>
    <cellStyle name="20% - 강조색4 5 2 2 4" xfId="3182" xr:uid="{00000000-0005-0000-0000-0000AF020000}"/>
    <cellStyle name="20% - 강조색4 5 2 3" xfId="965" xr:uid="{00000000-0005-0000-0000-0000B0020000}"/>
    <cellStyle name="20% - 강조색4 5 2 3 2" xfId="2269" xr:uid="{00000000-0005-0000-0000-0000B1020000}"/>
    <cellStyle name="20% - 강조색4 5 2 3 3" xfId="3438" xr:uid="{00000000-0005-0000-0000-0000B2020000}"/>
    <cellStyle name="20% - 강조색4 5 2 4" xfId="1751" xr:uid="{00000000-0005-0000-0000-0000B3020000}"/>
    <cellStyle name="20% - 강조색4 5 2 5" xfId="2920" xr:uid="{00000000-0005-0000-0000-0000B4020000}"/>
    <cellStyle name="20% - 강조색4 5 3" xfId="579" xr:uid="{00000000-0005-0000-0000-0000B5020000}"/>
    <cellStyle name="20% - 강조색4 5 3 2" xfId="1097" xr:uid="{00000000-0005-0000-0000-0000B6020000}"/>
    <cellStyle name="20% - 강조색4 5 3 2 2" xfId="2401" xr:uid="{00000000-0005-0000-0000-0000B7020000}"/>
    <cellStyle name="20% - 강조색4 5 3 2 3" xfId="3570" xr:uid="{00000000-0005-0000-0000-0000B8020000}"/>
    <cellStyle name="20% - 강조색4 5 3 3" xfId="1883" xr:uid="{00000000-0005-0000-0000-0000B9020000}"/>
    <cellStyle name="20% - 강조색4 5 3 4" xfId="3052" xr:uid="{00000000-0005-0000-0000-0000BA020000}"/>
    <cellStyle name="20% - 강조색4 5 4" xfId="835" xr:uid="{00000000-0005-0000-0000-0000BB020000}"/>
    <cellStyle name="20% - 강조색4 5 4 2" xfId="2139" xr:uid="{00000000-0005-0000-0000-0000BC020000}"/>
    <cellStyle name="20% - 강조색4 5 4 3" xfId="3308" xr:uid="{00000000-0005-0000-0000-0000BD020000}"/>
    <cellStyle name="20% - 강조색4 5 5" xfId="1621" xr:uid="{00000000-0005-0000-0000-0000BE020000}"/>
    <cellStyle name="20% - 강조색4 5 6" xfId="2790" xr:uid="{00000000-0005-0000-0000-0000BF020000}"/>
    <cellStyle name="20% - 강조색4 6" xfId="331" xr:uid="{00000000-0005-0000-0000-0000C0020000}"/>
    <cellStyle name="20% - 강조색4 6 2" xfId="461" xr:uid="{00000000-0005-0000-0000-0000C1020000}"/>
    <cellStyle name="20% - 강조색4 6 2 2" xfId="723" xr:uid="{00000000-0005-0000-0000-0000C2020000}"/>
    <cellStyle name="20% - 강조색4 6 2 2 2" xfId="1241" xr:uid="{00000000-0005-0000-0000-0000C3020000}"/>
    <cellStyle name="20% - 강조색4 6 2 2 2 2" xfId="2545" xr:uid="{00000000-0005-0000-0000-0000C4020000}"/>
    <cellStyle name="20% - 강조색4 6 2 2 2 3" xfId="3714" xr:uid="{00000000-0005-0000-0000-0000C5020000}"/>
    <cellStyle name="20% - 강조색4 6 2 2 3" xfId="2027" xr:uid="{00000000-0005-0000-0000-0000C6020000}"/>
    <cellStyle name="20% - 강조색4 6 2 2 4" xfId="3196" xr:uid="{00000000-0005-0000-0000-0000C7020000}"/>
    <cellStyle name="20% - 강조색4 6 2 3" xfId="979" xr:uid="{00000000-0005-0000-0000-0000C8020000}"/>
    <cellStyle name="20% - 강조색4 6 2 3 2" xfId="2283" xr:uid="{00000000-0005-0000-0000-0000C9020000}"/>
    <cellStyle name="20% - 강조색4 6 2 3 3" xfId="3452" xr:uid="{00000000-0005-0000-0000-0000CA020000}"/>
    <cellStyle name="20% - 강조색4 6 2 4" xfId="1765" xr:uid="{00000000-0005-0000-0000-0000CB020000}"/>
    <cellStyle name="20% - 강조색4 6 2 5" xfId="2934" xr:uid="{00000000-0005-0000-0000-0000CC020000}"/>
    <cellStyle name="20% - 강조색4 6 3" xfId="593" xr:uid="{00000000-0005-0000-0000-0000CD020000}"/>
    <cellStyle name="20% - 강조색4 6 3 2" xfId="1111" xr:uid="{00000000-0005-0000-0000-0000CE020000}"/>
    <cellStyle name="20% - 강조색4 6 3 2 2" xfId="2415" xr:uid="{00000000-0005-0000-0000-0000CF020000}"/>
    <cellStyle name="20% - 강조색4 6 3 2 3" xfId="3584" xr:uid="{00000000-0005-0000-0000-0000D0020000}"/>
    <cellStyle name="20% - 강조색4 6 3 3" xfId="1897" xr:uid="{00000000-0005-0000-0000-0000D1020000}"/>
    <cellStyle name="20% - 강조색4 6 3 4" xfId="3066" xr:uid="{00000000-0005-0000-0000-0000D2020000}"/>
    <cellStyle name="20% - 강조색4 6 4" xfId="849" xr:uid="{00000000-0005-0000-0000-0000D3020000}"/>
    <cellStyle name="20% - 강조색4 6 4 2" xfId="2153" xr:uid="{00000000-0005-0000-0000-0000D4020000}"/>
    <cellStyle name="20% - 강조색4 6 4 3" xfId="3322" xr:uid="{00000000-0005-0000-0000-0000D5020000}"/>
    <cellStyle name="20% - 강조색4 6 5" xfId="1635" xr:uid="{00000000-0005-0000-0000-0000D6020000}"/>
    <cellStyle name="20% - 강조색4 6 6" xfId="2804" xr:uid="{00000000-0005-0000-0000-0000D7020000}"/>
    <cellStyle name="20% - 강조색4 7" xfId="345" xr:uid="{00000000-0005-0000-0000-0000D8020000}"/>
    <cellStyle name="20% - 강조색4 7 2" xfId="475" xr:uid="{00000000-0005-0000-0000-0000D9020000}"/>
    <cellStyle name="20% - 강조색4 7 2 2" xfId="737" xr:uid="{00000000-0005-0000-0000-0000DA020000}"/>
    <cellStyle name="20% - 강조색4 7 2 2 2" xfId="1255" xr:uid="{00000000-0005-0000-0000-0000DB020000}"/>
    <cellStyle name="20% - 강조색4 7 2 2 2 2" xfId="2559" xr:uid="{00000000-0005-0000-0000-0000DC020000}"/>
    <cellStyle name="20% - 강조색4 7 2 2 2 3" xfId="3728" xr:uid="{00000000-0005-0000-0000-0000DD020000}"/>
    <cellStyle name="20% - 강조색4 7 2 2 3" xfId="2041" xr:uid="{00000000-0005-0000-0000-0000DE020000}"/>
    <cellStyle name="20% - 강조색4 7 2 2 4" xfId="3210" xr:uid="{00000000-0005-0000-0000-0000DF020000}"/>
    <cellStyle name="20% - 강조색4 7 2 3" xfId="993" xr:uid="{00000000-0005-0000-0000-0000E0020000}"/>
    <cellStyle name="20% - 강조색4 7 2 3 2" xfId="2297" xr:uid="{00000000-0005-0000-0000-0000E1020000}"/>
    <cellStyle name="20% - 강조색4 7 2 3 3" xfId="3466" xr:uid="{00000000-0005-0000-0000-0000E2020000}"/>
    <cellStyle name="20% - 강조색4 7 2 4" xfId="1779" xr:uid="{00000000-0005-0000-0000-0000E3020000}"/>
    <cellStyle name="20% - 강조색4 7 2 5" xfId="2948" xr:uid="{00000000-0005-0000-0000-0000E4020000}"/>
    <cellStyle name="20% - 강조색4 7 3" xfId="607" xr:uid="{00000000-0005-0000-0000-0000E5020000}"/>
    <cellStyle name="20% - 강조색4 7 3 2" xfId="1125" xr:uid="{00000000-0005-0000-0000-0000E6020000}"/>
    <cellStyle name="20% - 강조색4 7 3 2 2" xfId="2429" xr:uid="{00000000-0005-0000-0000-0000E7020000}"/>
    <cellStyle name="20% - 강조색4 7 3 2 3" xfId="3598" xr:uid="{00000000-0005-0000-0000-0000E8020000}"/>
    <cellStyle name="20% - 강조색4 7 3 3" xfId="1911" xr:uid="{00000000-0005-0000-0000-0000E9020000}"/>
    <cellStyle name="20% - 강조색4 7 3 4" xfId="3080" xr:uid="{00000000-0005-0000-0000-0000EA020000}"/>
    <cellStyle name="20% - 강조색4 7 4" xfId="863" xr:uid="{00000000-0005-0000-0000-0000EB020000}"/>
    <cellStyle name="20% - 강조색4 7 4 2" xfId="2167" xr:uid="{00000000-0005-0000-0000-0000EC020000}"/>
    <cellStyle name="20% - 강조색4 7 4 3" xfId="3336" xr:uid="{00000000-0005-0000-0000-0000ED020000}"/>
    <cellStyle name="20% - 강조색4 7 5" xfId="1649" xr:uid="{00000000-0005-0000-0000-0000EE020000}"/>
    <cellStyle name="20% - 강조색4 7 6" xfId="2818" xr:uid="{00000000-0005-0000-0000-0000EF020000}"/>
    <cellStyle name="20% - 강조색4 8" xfId="359" xr:uid="{00000000-0005-0000-0000-0000F0020000}"/>
    <cellStyle name="20% - 강조색4 8 2" xfId="621" xr:uid="{00000000-0005-0000-0000-0000F1020000}"/>
    <cellStyle name="20% - 강조색4 8 2 2" xfId="1139" xr:uid="{00000000-0005-0000-0000-0000F2020000}"/>
    <cellStyle name="20% - 강조색4 8 2 2 2" xfId="2443" xr:uid="{00000000-0005-0000-0000-0000F3020000}"/>
    <cellStyle name="20% - 강조색4 8 2 2 3" xfId="3612" xr:uid="{00000000-0005-0000-0000-0000F4020000}"/>
    <cellStyle name="20% - 강조색4 8 2 3" xfId="1925" xr:uid="{00000000-0005-0000-0000-0000F5020000}"/>
    <cellStyle name="20% - 강조색4 8 2 4" xfId="3094" xr:uid="{00000000-0005-0000-0000-0000F6020000}"/>
    <cellStyle name="20% - 강조색4 8 3" xfId="877" xr:uid="{00000000-0005-0000-0000-0000F7020000}"/>
    <cellStyle name="20% - 강조색4 8 3 2" xfId="2181" xr:uid="{00000000-0005-0000-0000-0000F8020000}"/>
    <cellStyle name="20% - 강조색4 8 3 3" xfId="3350" xr:uid="{00000000-0005-0000-0000-0000F9020000}"/>
    <cellStyle name="20% - 강조색4 8 4" xfId="1663" xr:uid="{00000000-0005-0000-0000-0000FA020000}"/>
    <cellStyle name="20% - 강조색4 8 5" xfId="2832" xr:uid="{00000000-0005-0000-0000-0000FB020000}"/>
    <cellStyle name="20% - 강조색4 9" xfId="379" xr:uid="{00000000-0005-0000-0000-0000FC020000}"/>
    <cellStyle name="20% - 강조색4 9 2" xfId="641" xr:uid="{00000000-0005-0000-0000-0000FD020000}"/>
    <cellStyle name="20% - 강조색4 9 2 2" xfId="1159" xr:uid="{00000000-0005-0000-0000-0000FE020000}"/>
    <cellStyle name="20% - 강조색4 9 2 2 2" xfId="2463" xr:uid="{00000000-0005-0000-0000-0000FF020000}"/>
    <cellStyle name="20% - 강조색4 9 2 2 3" xfId="3632" xr:uid="{00000000-0005-0000-0000-000000030000}"/>
    <cellStyle name="20% - 강조색4 9 2 3" xfId="1945" xr:uid="{00000000-0005-0000-0000-000001030000}"/>
    <cellStyle name="20% - 강조색4 9 2 4" xfId="3114" xr:uid="{00000000-0005-0000-0000-000002030000}"/>
    <cellStyle name="20% - 강조색4 9 3" xfId="897" xr:uid="{00000000-0005-0000-0000-000003030000}"/>
    <cellStyle name="20% - 강조색4 9 3 2" xfId="2201" xr:uid="{00000000-0005-0000-0000-000004030000}"/>
    <cellStyle name="20% - 강조색4 9 3 3" xfId="3370" xr:uid="{00000000-0005-0000-0000-000005030000}"/>
    <cellStyle name="20% - 강조색4 9 4" xfId="1683" xr:uid="{00000000-0005-0000-0000-000006030000}"/>
    <cellStyle name="20% - 강조색4 9 5" xfId="2852" xr:uid="{00000000-0005-0000-0000-000007030000}"/>
    <cellStyle name="20% - 강조색5" xfId="5" builtinId="46" customBuiltin="1"/>
    <cellStyle name="20% - 강조색5 10" xfId="491" xr:uid="{00000000-0005-0000-0000-000009030000}"/>
    <cellStyle name="20% - 강조색5 10 2" xfId="753" xr:uid="{00000000-0005-0000-0000-00000A030000}"/>
    <cellStyle name="20% - 강조색5 10 2 2" xfId="1271" xr:uid="{00000000-0005-0000-0000-00000B030000}"/>
    <cellStyle name="20% - 강조색5 10 2 2 2" xfId="2575" xr:uid="{00000000-0005-0000-0000-00000C030000}"/>
    <cellStyle name="20% - 강조색5 10 2 2 3" xfId="3744" xr:uid="{00000000-0005-0000-0000-00000D030000}"/>
    <cellStyle name="20% - 강조색5 10 2 3" xfId="2057" xr:uid="{00000000-0005-0000-0000-00000E030000}"/>
    <cellStyle name="20% - 강조색5 10 2 4" xfId="3226" xr:uid="{00000000-0005-0000-0000-00000F030000}"/>
    <cellStyle name="20% - 강조색5 10 3" xfId="1009" xr:uid="{00000000-0005-0000-0000-000010030000}"/>
    <cellStyle name="20% - 강조색5 10 3 2" xfId="2313" xr:uid="{00000000-0005-0000-0000-000011030000}"/>
    <cellStyle name="20% - 강조색5 10 3 3" xfId="3482" xr:uid="{00000000-0005-0000-0000-000012030000}"/>
    <cellStyle name="20% - 강조색5 10 4" xfId="1795" xr:uid="{00000000-0005-0000-0000-000013030000}"/>
    <cellStyle name="20% - 강조색5 10 5" xfId="2964" xr:uid="{00000000-0005-0000-0000-000014030000}"/>
    <cellStyle name="20% - 강조색5 11" xfId="513" xr:uid="{00000000-0005-0000-0000-000015030000}"/>
    <cellStyle name="20% - 강조색5 11 2" xfId="1031" xr:uid="{00000000-0005-0000-0000-000016030000}"/>
    <cellStyle name="20% - 강조색5 11 2 2" xfId="2335" xr:uid="{00000000-0005-0000-0000-000017030000}"/>
    <cellStyle name="20% - 강조색5 11 2 3" xfId="3504" xr:uid="{00000000-0005-0000-0000-000018030000}"/>
    <cellStyle name="20% - 강조색5 11 3" xfId="1817" xr:uid="{00000000-0005-0000-0000-000019030000}"/>
    <cellStyle name="20% - 강조색5 11 4" xfId="2986" xr:uid="{00000000-0005-0000-0000-00001A030000}"/>
    <cellStyle name="20% - 강조색5 12" xfId="765" xr:uid="{00000000-0005-0000-0000-00001B030000}"/>
    <cellStyle name="20% - 강조색5 12 2" xfId="2069" xr:uid="{00000000-0005-0000-0000-00001C030000}"/>
    <cellStyle name="20% - 강조색5 12 3" xfId="3238" xr:uid="{00000000-0005-0000-0000-00001D030000}"/>
    <cellStyle name="20% - 강조색5 13" xfId="225" xr:uid="{00000000-0005-0000-0000-00001E030000}"/>
    <cellStyle name="20% - 강조색5 14" xfId="1540" xr:uid="{00000000-0005-0000-0000-00001F030000}"/>
    <cellStyle name="20% - 강조색5 15" xfId="2709" xr:uid="{00000000-0005-0000-0000-000020030000}"/>
    <cellStyle name="20% - 강조색5 2" xfId="70" xr:uid="{00000000-0005-0000-0000-000021030000}"/>
    <cellStyle name="20% - 강조색5 2 2" xfId="397" xr:uid="{00000000-0005-0000-0000-000022030000}"/>
    <cellStyle name="20% - 강조색5 2 2 2" xfId="659" xr:uid="{00000000-0005-0000-0000-000023030000}"/>
    <cellStyle name="20% - 강조색5 2 2 2 2" xfId="1177" xr:uid="{00000000-0005-0000-0000-000024030000}"/>
    <cellStyle name="20% - 강조색5 2 2 2 2 2" xfId="2481" xr:uid="{00000000-0005-0000-0000-000025030000}"/>
    <cellStyle name="20% - 강조색5 2 2 2 2 3" xfId="3650" xr:uid="{00000000-0005-0000-0000-000026030000}"/>
    <cellStyle name="20% - 강조색5 2 2 2 3" xfId="1963" xr:uid="{00000000-0005-0000-0000-000027030000}"/>
    <cellStyle name="20% - 강조색5 2 2 2 4" xfId="3132" xr:uid="{00000000-0005-0000-0000-000028030000}"/>
    <cellStyle name="20% - 강조색5 2 2 3" xfId="915" xr:uid="{00000000-0005-0000-0000-000029030000}"/>
    <cellStyle name="20% - 강조색5 2 2 3 2" xfId="2219" xr:uid="{00000000-0005-0000-0000-00002A030000}"/>
    <cellStyle name="20% - 강조색5 2 2 3 3" xfId="3388" xr:uid="{00000000-0005-0000-0000-00002B030000}"/>
    <cellStyle name="20% - 강조색5 2 2 4" xfId="1701" xr:uid="{00000000-0005-0000-0000-00002C030000}"/>
    <cellStyle name="20% - 강조색5 2 2 5" xfId="2870" xr:uid="{00000000-0005-0000-0000-00002D030000}"/>
    <cellStyle name="20% - 강조색5 2 3" xfId="529" xr:uid="{00000000-0005-0000-0000-00002E030000}"/>
    <cellStyle name="20% - 강조색5 2 3 2" xfId="1047" xr:uid="{00000000-0005-0000-0000-00002F030000}"/>
    <cellStyle name="20% - 강조색5 2 3 2 2" xfId="2351" xr:uid="{00000000-0005-0000-0000-000030030000}"/>
    <cellStyle name="20% - 강조색5 2 3 2 3" xfId="3520" xr:uid="{00000000-0005-0000-0000-000031030000}"/>
    <cellStyle name="20% - 강조색5 2 3 3" xfId="1833" xr:uid="{00000000-0005-0000-0000-000032030000}"/>
    <cellStyle name="20% - 강조색5 2 3 4" xfId="3002" xr:uid="{00000000-0005-0000-0000-000033030000}"/>
    <cellStyle name="20% - 강조색5 2 4" xfId="785" xr:uid="{00000000-0005-0000-0000-000034030000}"/>
    <cellStyle name="20% - 강조색5 2 4 2" xfId="2089" xr:uid="{00000000-0005-0000-0000-000035030000}"/>
    <cellStyle name="20% - 강조색5 2 4 3" xfId="3258" xr:uid="{00000000-0005-0000-0000-000036030000}"/>
    <cellStyle name="20% - 강조색5 2 5" xfId="266" xr:uid="{00000000-0005-0000-0000-000037030000}"/>
    <cellStyle name="20% - 강조색5 2 5 2" xfId="1572" xr:uid="{00000000-0005-0000-0000-000038030000}"/>
    <cellStyle name="20% - 강조색5 2 5 3" xfId="2741" xr:uid="{00000000-0005-0000-0000-000039030000}"/>
    <cellStyle name="20% - 강조색5 3" xfId="290" xr:uid="{00000000-0005-0000-0000-00003A030000}"/>
    <cellStyle name="20% - 강조색5 3 2" xfId="421" xr:uid="{00000000-0005-0000-0000-00003B030000}"/>
    <cellStyle name="20% - 강조색5 3 2 2" xfId="683" xr:uid="{00000000-0005-0000-0000-00003C030000}"/>
    <cellStyle name="20% - 강조색5 3 2 2 2" xfId="1201" xr:uid="{00000000-0005-0000-0000-00003D030000}"/>
    <cellStyle name="20% - 강조색5 3 2 2 2 2" xfId="2505" xr:uid="{00000000-0005-0000-0000-00003E030000}"/>
    <cellStyle name="20% - 강조색5 3 2 2 2 3" xfId="3674" xr:uid="{00000000-0005-0000-0000-00003F030000}"/>
    <cellStyle name="20% - 강조색5 3 2 2 3" xfId="1987" xr:uid="{00000000-0005-0000-0000-000040030000}"/>
    <cellStyle name="20% - 강조색5 3 2 2 4" xfId="3156" xr:uid="{00000000-0005-0000-0000-000041030000}"/>
    <cellStyle name="20% - 강조색5 3 2 3" xfId="939" xr:uid="{00000000-0005-0000-0000-000042030000}"/>
    <cellStyle name="20% - 강조색5 3 2 3 2" xfId="2243" xr:uid="{00000000-0005-0000-0000-000043030000}"/>
    <cellStyle name="20% - 강조색5 3 2 3 3" xfId="3412" xr:uid="{00000000-0005-0000-0000-000044030000}"/>
    <cellStyle name="20% - 강조색5 3 2 4" xfId="1725" xr:uid="{00000000-0005-0000-0000-000045030000}"/>
    <cellStyle name="20% - 강조색5 3 2 5" xfId="2894" xr:uid="{00000000-0005-0000-0000-000046030000}"/>
    <cellStyle name="20% - 강조색5 3 3" xfId="553" xr:uid="{00000000-0005-0000-0000-000047030000}"/>
    <cellStyle name="20% - 강조색5 3 3 2" xfId="1071" xr:uid="{00000000-0005-0000-0000-000048030000}"/>
    <cellStyle name="20% - 강조색5 3 3 2 2" xfId="2375" xr:uid="{00000000-0005-0000-0000-000049030000}"/>
    <cellStyle name="20% - 강조색5 3 3 2 3" xfId="3544" xr:uid="{00000000-0005-0000-0000-00004A030000}"/>
    <cellStyle name="20% - 강조색5 3 3 3" xfId="1857" xr:uid="{00000000-0005-0000-0000-00004B030000}"/>
    <cellStyle name="20% - 강조색5 3 3 4" xfId="3026" xr:uid="{00000000-0005-0000-0000-00004C030000}"/>
    <cellStyle name="20% - 강조색5 3 4" xfId="809" xr:uid="{00000000-0005-0000-0000-00004D030000}"/>
    <cellStyle name="20% - 강조색5 3 4 2" xfId="2113" xr:uid="{00000000-0005-0000-0000-00004E030000}"/>
    <cellStyle name="20% - 강조색5 3 4 3" xfId="3282" xr:uid="{00000000-0005-0000-0000-00004F030000}"/>
    <cellStyle name="20% - 강조색5 3 5" xfId="1595" xr:uid="{00000000-0005-0000-0000-000050030000}"/>
    <cellStyle name="20% - 강조색5 3 6" xfId="2764" xr:uid="{00000000-0005-0000-0000-000051030000}"/>
    <cellStyle name="20% - 강조색5 4" xfId="305" xr:uid="{00000000-0005-0000-0000-000052030000}"/>
    <cellStyle name="20% - 강조색5 4 2" xfId="435" xr:uid="{00000000-0005-0000-0000-000053030000}"/>
    <cellStyle name="20% - 강조색5 4 2 2" xfId="697" xr:uid="{00000000-0005-0000-0000-000054030000}"/>
    <cellStyle name="20% - 강조색5 4 2 2 2" xfId="1215" xr:uid="{00000000-0005-0000-0000-000055030000}"/>
    <cellStyle name="20% - 강조색5 4 2 2 2 2" xfId="2519" xr:uid="{00000000-0005-0000-0000-000056030000}"/>
    <cellStyle name="20% - 강조색5 4 2 2 2 3" xfId="3688" xr:uid="{00000000-0005-0000-0000-000057030000}"/>
    <cellStyle name="20% - 강조색5 4 2 2 3" xfId="2001" xr:uid="{00000000-0005-0000-0000-000058030000}"/>
    <cellStyle name="20% - 강조색5 4 2 2 4" xfId="3170" xr:uid="{00000000-0005-0000-0000-000059030000}"/>
    <cellStyle name="20% - 강조색5 4 2 3" xfId="953" xr:uid="{00000000-0005-0000-0000-00005A030000}"/>
    <cellStyle name="20% - 강조색5 4 2 3 2" xfId="2257" xr:uid="{00000000-0005-0000-0000-00005B030000}"/>
    <cellStyle name="20% - 강조색5 4 2 3 3" xfId="3426" xr:uid="{00000000-0005-0000-0000-00005C030000}"/>
    <cellStyle name="20% - 강조색5 4 2 4" xfId="1739" xr:uid="{00000000-0005-0000-0000-00005D030000}"/>
    <cellStyle name="20% - 강조색5 4 2 5" xfId="2908" xr:uid="{00000000-0005-0000-0000-00005E030000}"/>
    <cellStyle name="20% - 강조색5 4 3" xfId="567" xr:uid="{00000000-0005-0000-0000-00005F030000}"/>
    <cellStyle name="20% - 강조색5 4 3 2" xfId="1085" xr:uid="{00000000-0005-0000-0000-000060030000}"/>
    <cellStyle name="20% - 강조색5 4 3 2 2" xfId="2389" xr:uid="{00000000-0005-0000-0000-000061030000}"/>
    <cellStyle name="20% - 강조색5 4 3 2 3" xfId="3558" xr:uid="{00000000-0005-0000-0000-000062030000}"/>
    <cellStyle name="20% - 강조색5 4 3 3" xfId="1871" xr:uid="{00000000-0005-0000-0000-000063030000}"/>
    <cellStyle name="20% - 강조색5 4 3 4" xfId="3040" xr:uid="{00000000-0005-0000-0000-000064030000}"/>
    <cellStyle name="20% - 강조색5 4 4" xfId="823" xr:uid="{00000000-0005-0000-0000-000065030000}"/>
    <cellStyle name="20% - 강조색5 4 4 2" xfId="2127" xr:uid="{00000000-0005-0000-0000-000066030000}"/>
    <cellStyle name="20% - 강조색5 4 4 3" xfId="3296" xr:uid="{00000000-0005-0000-0000-000067030000}"/>
    <cellStyle name="20% - 강조색5 4 5" xfId="1609" xr:uid="{00000000-0005-0000-0000-000068030000}"/>
    <cellStyle name="20% - 강조색5 4 6" xfId="2778" xr:uid="{00000000-0005-0000-0000-000069030000}"/>
    <cellStyle name="20% - 강조색5 5" xfId="319" xr:uid="{00000000-0005-0000-0000-00006A030000}"/>
    <cellStyle name="20% - 강조색5 5 2" xfId="449" xr:uid="{00000000-0005-0000-0000-00006B030000}"/>
    <cellStyle name="20% - 강조색5 5 2 2" xfId="711" xr:uid="{00000000-0005-0000-0000-00006C030000}"/>
    <cellStyle name="20% - 강조색5 5 2 2 2" xfId="1229" xr:uid="{00000000-0005-0000-0000-00006D030000}"/>
    <cellStyle name="20% - 강조색5 5 2 2 2 2" xfId="2533" xr:uid="{00000000-0005-0000-0000-00006E030000}"/>
    <cellStyle name="20% - 강조색5 5 2 2 2 3" xfId="3702" xr:uid="{00000000-0005-0000-0000-00006F030000}"/>
    <cellStyle name="20% - 강조색5 5 2 2 3" xfId="2015" xr:uid="{00000000-0005-0000-0000-000070030000}"/>
    <cellStyle name="20% - 강조색5 5 2 2 4" xfId="3184" xr:uid="{00000000-0005-0000-0000-000071030000}"/>
    <cellStyle name="20% - 강조색5 5 2 3" xfId="967" xr:uid="{00000000-0005-0000-0000-000072030000}"/>
    <cellStyle name="20% - 강조색5 5 2 3 2" xfId="2271" xr:uid="{00000000-0005-0000-0000-000073030000}"/>
    <cellStyle name="20% - 강조색5 5 2 3 3" xfId="3440" xr:uid="{00000000-0005-0000-0000-000074030000}"/>
    <cellStyle name="20% - 강조색5 5 2 4" xfId="1753" xr:uid="{00000000-0005-0000-0000-000075030000}"/>
    <cellStyle name="20% - 강조색5 5 2 5" xfId="2922" xr:uid="{00000000-0005-0000-0000-000076030000}"/>
    <cellStyle name="20% - 강조색5 5 3" xfId="581" xr:uid="{00000000-0005-0000-0000-000077030000}"/>
    <cellStyle name="20% - 강조색5 5 3 2" xfId="1099" xr:uid="{00000000-0005-0000-0000-000078030000}"/>
    <cellStyle name="20% - 강조색5 5 3 2 2" xfId="2403" xr:uid="{00000000-0005-0000-0000-000079030000}"/>
    <cellStyle name="20% - 강조색5 5 3 2 3" xfId="3572" xr:uid="{00000000-0005-0000-0000-00007A030000}"/>
    <cellStyle name="20% - 강조색5 5 3 3" xfId="1885" xr:uid="{00000000-0005-0000-0000-00007B030000}"/>
    <cellStyle name="20% - 강조색5 5 3 4" xfId="3054" xr:uid="{00000000-0005-0000-0000-00007C030000}"/>
    <cellStyle name="20% - 강조색5 5 4" xfId="837" xr:uid="{00000000-0005-0000-0000-00007D030000}"/>
    <cellStyle name="20% - 강조색5 5 4 2" xfId="2141" xr:uid="{00000000-0005-0000-0000-00007E030000}"/>
    <cellStyle name="20% - 강조색5 5 4 3" xfId="3310" xr:uid="{00000000-0005-0000-0000-00007F030000}"/>
    <cellStyle name="20% - 강조색5 5 5" xfId="1623" xr:uid="{00000000-0005-0000-0000-000080030000}"/>
    <cellStyle name="20% - 강조색5 5 6" xfId="2792" xr:uid="{00000000-0005-0000-0000-000081030000}"/>
    <cellStyle name="20% - 강조색5 6" xfId="333" xr:uid="{00000000-0005-0000-0000-000082030000}"/>
    <cellStyle name="20% - 강조색5 6 2" xfId="463" xr:uid="{00000000-0005-0000-0000-000083030000}"/>
    <cellStyle name="20% - 강조색5 6 2 2" xfId="725" xr:uid="{00000000-0005-0000-0000-000084030000}"/>
    <cellStyle name="20% - 강조색5 6 2 2 2" xfId="1243" xr:uid="{00000000-0005-0000-0000-000085030000}"/>
    <cellStyle name="20% - 강조색5 6 2 2 2 2" xfId="2547" xr:uid="{00000000-0005-0000-0000-000086030000}"/>
    <cellStyle name="20% - 강조색5 6 2 2 2 3" xfId="3716" xr:uid="{00000000-0005-0000-0000-000087030000}"/>
    <cellStyle name="20% - 강조색5 6 2 2 3" xfId="2029" xr:uid="{00000000-0005-0000-0000-000088030000}"/>
    <cellStyle name="20% - 강조색5 6 2 2 4" xfId="3198" xr:uid="{00000000-0005-0000-0000-000089030000}"/>
    <cellStyle name="20% - 강조색5 6 2 3" xfId="981" xr:uid="{00000000-0005-0000-0000-00008A030000}"/>
    <cellStyle name="20% - 강조색5 6 2 3 2" xfId="2285" xr:uid="{00000000-0005-0000-0000-00008B030000}"/>
    <cellStyle name="20% - 강조색5 6 2 3 3" xfId="3454" xr:uid="{00000000-0005-0000-0000-00008C030000}"/>
    <cellStyle name="20% - 강조색5 6 2 4" xfId="1767" xr:uid="{00000000-0005-0000-0000-00008D030000}"/>
    <cellStyle name="20% - 강조색5 6 2 5" xfId="2936" xr:uid="{00000000-0005-0000-0000-00008E030000}"/>
    <cellStyle name="20% - 강조색5 6 3" xfId="595" xr:uid="{00000000-0005-0000-0000-00008F030000}"/>
    <cellStyle name="20% - 강조색5 6 3 2" xfId="1113" xr:uid="{00000000-0005-0000-0000-000090030000}"/>
    <cellStyle name="20% - 강조색5 6 3 2 2" xfId="2417" xr:uid="{00000000-0005-0000-0000-000091030000}"/>
    <cellStyle name="20% - 강조색5 6 3 2 3" xfId="3586" xr:uid="{00000000-0005-0000-0000-000092030000}"/>
    <cellStyle name="20% - 강조색5 6 3 3" xfId="1899" xr:uid="{00000000-0005-0000-0000-000093030000}"/>
    <cellStyle name="20% - 강조색5 6 3 4" xfId="3068" xr:uid="{00000000-0005-0000-0000-000094030000}"/>
    <cellStyle name="20% - 강조색5 6 4" xfId="851" xr:uid="{00000000-0005-0000-0000-000095030000}"/>
    <cellStyle name="20% - 강조색5 6 4 2" xfId="2155" xr:uid="{00000000-0005-0000-0000-000096030000}"/>
    <cellStyle name="20% - 강조색5 6 4 3" xfId="3324" xr:uid="{00000000-0005-0000-0000-000097030000}"/>
    <cellStyle name="20% - 강조색5 6 5" xfId="1637" xr:uid="{00000000-0005-0000-0000-000098030000}"/>
    <cellStyle name="20% - 강조색5 6 6" xfId="2806" xr:uid="{00000000-0005-0000-0000-000099030000}"/>
    <cellStyle name="20% - 강조색5 7" xfId="347" xr:uid="{00000000-0005-0000-0000-00009A030000}"/>
    <cellStyle name="20% - 강조색5 7 2" xfId="477" xr:uid="{00000000-0005-0000-0000-00009B030000}"/>
    <cellStyle name="20% - 강조색5 7 2 2" xfId="739" xr:uid="{00000000-0005-0000-0000-00009C030000}"/>
    <cellStyle name="20% - 강조색5 7 2 2 2" xfId="1257" xr:uid="{00000000-0005-0000-0000-00009D030000}"/>
    <cellStyle name="20% - 강조색5 7 2 2 2 2" xfId="2561" xr:uid="{00000000-0005-0000-0000-00009E030000}"/>
    <cellStyle name="20% - 강조색5 7 2 2 2 3" xfId="3730" xr:uid="{00000000-0005-0000-0000-00009F030000}"/>
    <cellStyle name="20% - 강조색5 7 2 2 3" xfId="2043" xr:uid="{00000000-0005-0000-0000-0000A0030000}"/>
    <cellStyle name="20% - 강조색5 7 2 2 4" xfId="3212" xr:uid="{00000000-0005-0000-0000-0000A1030000}"/>
    <cellStyle name="20% - 강조색5 7 2 3" xfId="995" xr:uid="{00000000-0005-0000-0000-0000A2030000}"/>
    <cellStyle name="20% - 강조색5 7 2 3 2" xfId="2299" xr:uid="{00000000-0005-0000-0000-0000A3030000}"/>
    <cellStyle name="20% - 강조색5 7 2 3 3" xfId="3468" xr:uid="{00000000-0005-0000-0000-0000A4030000}"/>
    <cellStyle name="20% - 강조색5 7 2 4" xfId="1781" xr:uid="{00000000-0005-0000-0000-0000A5030000}"/>
    <cellStyle name="20% - 강조색5 7 2 5" xfId="2950" xr:uid="{00000000-0005-0000-0000-0000A6030000}"/>
    <cellStyle name="20% - 강조색5 7 3" xfId="609" xr:uid="{00000000-0005-0000-0000-0000A7030000}"/>
    <cellStyle name="20% - 강조색5 7 3 2" xfId="1127" xr:uid="{00000000-0005-0000-0000-0000A8030000}"/>
    <cellStyle name="20% - 강조색5 7 3 2 2" xfId="2431" xr:uid="{00000000-0005-0000-0000-0000A9030000}"/>
    <cellStyle name="20% - 강조색5 7 3 2 3" xfId="3600" xr:uid="{00000000-0005-0000-0000-0000AA030000}"/>
    <cellStyle name="20% - 강조색5 7 3 3" xfId="1913" xr:uid="{00000000-0005-0000-0000-0000AB030000}"/>
    <cellStyle name="20% - 강조색5 7 3 4" xfId="3082" xr:uid="{00000000-0005-0000-0000-0000AC030000}"/>
    <cellStyle name="20% - 강조색5 7 4" xfId="865" xr:uid="{00000000-0005-0000-0000-0000AD030000}"/>
    <cellStyle name="20% - 강조색5 7 4 2" xfId="2169" xr:uid="{00000000-0005-0000-0000-0000AE030000}"/>
    <cellStyle name="20% - 강조색5 7 4 3" xfId="3338" xr:uid="{00000000-0005-0000-0000-0000AF030000}"/>
    <cellStyle name="20% - 강조색5 7 5" xfId="1651" xr:uid="{00000000-0005-0000-0000-0000B0030000}"/>
    <cellStyle name="20% - 강조색5 7 6" xfId="2820" xr:uid="{00000000-0005-0000-0000-0000B1030000}"/>
    <cellStyle name="20% - 강조색5 8" xfId="361" xr:uid="{00000000-0005-0000-0000-0000B2030000}"/>
    <cellStyle name="20% - 강조색5 8 2" xfId="623" xr:uid="{00000000-0005-0000-0000-0000B3030000}"/>
    <cellStyle name="20% - 강조색5 8 2 2" xfId="1141" xr:uid="{00000000-0005-0000-0000-0000B4030000}"/>
    <cellStyle name="20% - 강조색5 8 2 2 2" xfId="2445" xr:uid="{00000000-0005-0000-0000-0000B5030000}"/>
    <cellStyle name="20% - 강조색5 8 2 2 3" xfId="3614" xr:uid="{00000000-0005-0000-0000-0000B6030000}"/>
    <cellStyle name="20% - 강조색5 8 2 3" xfId="1927" xr:uid="{00000000-0005-0000-0000-0000B7030000}"/>
    <cellStyle name="20% - 강조색5 8 2 4" xfId="3096" xr:uid="{00000000-0005-0000-0000-0000B8030000}"/>
    <cellStyle name="20% - 강조색5 8 3" xfId="879" xr:uid="{00000000-0005-0000-0000-0000B9030000}"/>
    <cellStyle name="20% - 강조색5 8 3 2" xfId="2183" xr:uid="{00000000-0005-0000-0000-0000BA030000}"/>
    <cellStyle name="20% - 강조색5 8 3 3" xfId="3352" xr:uid="{00000000-0005-0000-0000-0000BB030000}"/>
    <cellStyle name="20% - 강조색5 8 4" xfId="1665" xr:uid="{00000000-0005-0000-0000-0000BC030000}"/>
    <cellStyle name="20% - 강조색5 8 5" xfId="2834" xr:uid="{00000000-0005-0000-0000-0000BD030000}"/>
    <cellStyle name="20% - 강조색5 9" xfId="381" xr:uid="{00000000-0005-0000-0000-0000BE030000}"/>
    <cellStyle name="20% - 강조색5 9 2" xfId="643" xr:uid="{00000000-0005-0000-0000-0000BF030000}"/>
    <cellStyle name="20% - 강조색5 9 2 2" xfId="1161" xr:uid="{00000000-0005-0000-0000-0000C0030000}"/>
    <cellStyle name="20% - 강조색5 9 2 2 2" xfId="2465" xr:uid="{00000000-0005-0000-0000-0000C1030000}"/>
    <cellStyle name="20% - 강조색5 9 2 2 3" xfId="3634" xr:uid="{00000000-0005-0000-0000-0000C2030000}"/>
    <cellStyle name="20% - 강조색5 9 2 3" xfId="1947" xr:uid="{00000000-0005-0000-0000-0000C3030000}"/>
    <cellStyle name="20% - 강조색5 9 2 4" xfId="3116" xr:uid="{00000000-0005-0000-0000-0000C4030000}"/>
    <cellStyle name="20% - 강조색5 9 3" xfId="899" xr:uid="{00000000-0005-0000-0000-0000C5030000}"/>
    <cellStyle name="20% - 강조색5 9 3 2" xfId="2203" xr:uid="{00000000-0005-0000-0000-0000C6030000}"/>
    <cellStyle name="20% - 강조색5 9 3 3" xfId="3372" xr:uid="{00000000-0005-0000-0000-0000C7030000}"/>
    <cellStyle name="20% - 강조색5 9 4" xfId="1685" xr:uid="{00000000-0005-0000-0000-0000C8030000}"/>
    <cellStyle name="20% - 강조색5 9 5" xfId="2854" xr:uid="{00000000-0005-0000-0000-0000C9030000}"/>
    <cellStyle name="20% - 강조색6" xfId="6" builtinId="50" customBuiltin="1"/>
    <cellStyle name="20% - 강조색6 10" xfId="493" xr:uid="{00000000-0005-0000-0000-0000CB030000}"/>
    <cellStyle name="20% - 강조색6 10 2" xfId="755" xr:uid="{00000000-0005-0000-0000-0000CC030000}"/>
    <cellStyle name="20% - 강조색6 10 2 2" xfId="1273" xr:uid="{00000000-0005-0000-0000-0000CD030000}"/>
    <cellStyle name="20% - 강조색6 10 2 2 2" xfId="2577" xr:uid="{00000000-0005-0000-0000-0000CE030000}"/>
    <cellStyle name="20% - 강조색6 10 2 2 3" xfId="3746" xr:uid="{00000000-0005-0000-0000-0000CF030000}"/>
    <cellStyle name="20% - 강조색6 10 2 3" xfId="2059" xr:uid="{00000000-0005-0000-0000-0000D0030000}"/>
    <cellStyle name="20% - 강조색6 10 2 4" xfId="3228" xr:uid="{00000000-0005-0000-0000-0000D1030000}"/>
    <cellStyle name="20% - 강조색6 10 3" xfId="1011" xr:uid="{00000000-0005-0000-0000-0000D2030000}"/>
    <cellStyle name="20% - 강조색6 10 3 2" xfId="2315" xr:uid="{00000000-0005-0000-0000-0000D3030000}"/>
    <cellStyle name="20% - 강조색6 10 3 3" xfId="3484" xr:uid="{00000000-0005-0000-0000-0000D4030000}"/>
    <cellStyle name="20% - 강조색6 10 4" xfId="1797" xr:uid="{00000000-0005-0000-0000-0000D5030000}"/>
    <cellStyle name="20% - 강조색6 10 5" xfId="2966" xr:uid="{00000000-0005-0000-0000-0000D6030000}"/>
    <cellStyle name="20% - 강조색6 11" xfId="515" xr:uid="{00000000-0005-0000-0000-0000D7030000}"/>
    <cellStyle name="20% - 강조색6 11 2" xfId="1033" xr:uid="{00000000-0005-0000-0000-0000D8030000}"/>
    <cellStyle name="20% - 강조색6 11 2 2" xfId="2337" xr:uid="{00000000-0005-0000-0000-0000D9030000}"/>
    <cellStyle name="20% - 강조색6 11 2 3" xfId="3506" xr:uid="{00000000-0005-0000-0000-0000DA030000}"/>
    <cellStyle name="20% - 강조색6 11 3" xfId="1819" xr:uid="{00000000-0005-0000-0000-0000DB030000}"/>
    <cellStyle name="20% - 강조색6 11 4" xfId="2988" xr:uid="{00000000-0005-0000-0000-0000DC030000}"/>
    <cellStyle name="20% - 강조색6 12" xfId="767" xr:uid="{00000000-0005-0000-0000-0000DD030000}"/>
    <cellStyle name="20% - 강조색6 12 2" xfId="2071" xr:uid="{00000000-0005-0000-0000-0000DE030000}"/>
    <cellStyle name="20% - 강조색6 12 3" xfId="3240" xr:uid="{00000000-0005-0000-0000-0000DF030000}"/>
    <cellStyle name="20% - 강조색6 13" xfId="229" xr:uid="{00000000-0005-0000-0000-0000E0030000}"/>
    <cellStyle name="20% - 강조색6 14" xfId="1542" xr:uid="{00000000-0005-0000-0000-0000E1030000}"/>
    <cellStyle name="20% - 강조색6 15" xfId="2711" xr:uid="{00000000-0005-0000-0000-0000E2030000}"/>
    <cellStyle name="20% - 강조색6 2" xfId="71" xr:uid="{00000000-0005-0000-0000-0000E3030000}"/>
    <cellStyle name="20% - 강조색6 2 2" xfId="399" xr:uid="{00000000-0005-0000-0000-0000E4030000}"/>
    <cellStyle name="20% - 강조색6 2 2 2" xfId="661" xr:uid="{00000000-0005-0000-0000-0000E5030000}"/>
    <cellStyle name="20% - 강조색6 2 2 2 2" xfId="1179" xr:uid="{00000000-0005-0000-0000-0000E6030000}"/>
    <cellStyle name="20% - 강조색6 2 2 2 2 2" xfId="2483" xr:uid="{00000000-0005-0000-0000-0000E7030000}"/>
    <cellStyle name="20% - 강조색6 2 2 2 2 3" xfId="3652" xr:uid="{00000000-0005-0000-0000-0000E8030000}"/>
    <cellStyle name="20% - 강조색6 2 2 2 3" xfId="1965" xr:uid="{00000000-0005-0000-0000-0000E9030000}"/>
    <cellStyle name="20% - 강조색6 2 2 2 4" xfId="3134" xr:uid="{00000000-0005-0000-0000-0000EA030000}"/>
    <cellStyle name="20% - 강조색6 2 2 3" xfId="917" xr:uid="{00000000-0005-0000-0000-0000EB030000}"/>
    <cellStyle name="20% - 강조색6 2 2 3 2" xfId="2221" xr:uid="{00000000-0005-0000-0000-0000EC030000}"/>
    <cellStyle name="20% - 강조색6 2 2 3 3" xfId="3390" xr:uid="{00000000-0005-0000-0000-0000ED030000}"/>
    <cellStyle name="20% - 강조색6 2 2 4" xfId="1703" xr:uid="{00000000-0005-0000-0000-0000EE030000}"/>
    <cellStyle name="20% - 강조색6 2 2 5" xfId="2872" xr:uid="{00000000-0005-0000-0000-0000EF030000}"/>
    <cellStyle name="20% - 강조색6 2 3" xfId="531" xr:uid="{00000000-0005-0000-0000-0000F0030000}"/>
    <cellStyle name="20% - 강조색6 2 3 2" xfId="1049" xr:uid="{00000000-0005-0000-0000-0000F1030000}"/>
    <cellStyle name="20% - 강조색6 2 3 2 2" xfId="2353" xr:uid="{00000000-0005-0000-0000-0000F2030000}"/>
    <cellStyle name="20% - 강조색6 2 3 2 3" xfId="3522" xr:uid="{00000000-0005-0000-0000-0000F3030000}"/>
    <cellStyle name="20% - 강조색6 2 3 3" xfId="1835" xr:uid="{00000000-0005-0000-0000-0000F4030000}"/>
    <cellStyle name="20% - 강조색6 2 3 4" xfId="3004" xr:uid="{00000000-0005-0000-0000-0000F5030000}"/>
    <cellStyle name="20% - 강조색6 2 4" xfId="787" xr:uid="{00000000-0005-0000-0000-0000F6030000}"/>
    <cellStyle name="20% - 강조색6 2 4 2" xfId="2091" xr:uid="{00000000-0005-0000-0000-0000F7030000}"/>
    <cellStyle name="20% - 강조색6 2 4 3" xfId="3260" xr:uid="{00000000-0005-0000-0000-0000F8030000}"/>
    <cellStyle name="20% - 강조색6 2 5" xfId="268" xr:uid="{00000000-0005-0000-0000-0000F9030000}"/>
    <cellStyle name="20% - 강조색6 2 5 2" xfId="1574" xr:uid="{00000000-0005-0000-0000-0000FA030000}"/>
    <cellStyle name="20% - 강조색6 2 5 3" xfId="2743" xr:uid="{00000000-0005-0000-0000-0000FB030000}"/>
    <cellStyle name="20% - 강조색6 3" xfId="292" xr:uid="{00000000-0005-0000-0000-0000FC030000}"/>
    <cellStyle name="20% - 강조색6 3 2" xfId="423" xr:uid="{00000000-0005-0000-0000-0000FD030000}"/>
    <cellStyle name="20% - 강조색6 3 2 2" xfId="685" xr:uid="{00000000-0005-0000-0000-0000FE030000}"/>
    <cellStyle name="20% - 강조색6 3 2 2 2" xfId="1203" xr:uid="{00000000-0005-0000-0000-0000FF030000}"/>
    <cellStyle name="20% - 강조색6 3 2 2 2 2" xfId="2507" xr:uid="{00000000-0005-0000-0000-000000040000}"/>
    <cellStyle name="20% - 강조색6 3 2 2 2 3" xfId="3676" xr:uid="{00000000-0005-0000-0000-000001040000}"/>
    <cellStyle name="20% - 강조색6 3 2 2 3" xfId="1989" xr:uid="{00000000-0005-0000-0000-000002040000}"/>
    <cellStyle name="20% - 강조색6 3 2 2 4" xfId="3158" xr:uid="{00000000-0005-0000-0000-000003040000}"/>
    <cellStyle name="20% - 강조색6 3 2 3" xfId="941" xr:uid="{00000000-0005-0000-0000-000004040000}"/>
    <cellStyle name="20% - 강조색6 3 2 3 2" xfId="2245" xr:uid="{00000000-0005-0000-0000-000005040000}"/>
    <cellStyle name="20% - 강조색6 3 2 3 3" xfId="3414" xr:uid="{00000000-0005-0000-0000-000006040000}"/>
    <cellStyle name="20% - 강조색6 3 2 4" xfId="1727" xr:uid="{00000000-0005-0000-0000-000007040000}"/>
    <cellStyle name="20% - 강조색6 3 2 5" xfId="2896" xr:uid="{00000000-0005-0000-0000-000008040000}"/>
    <cellStyle name="20% - 강조색6 3 3" xfId="555" xr:uid="{00000000-0005-0000-0000-000009040000}"/>
    <cellStyle name="20% - 강조색6 3 3 2" xfId="1073" xr:uid="{00000000-0005-0000-0000-00000A040000}"/>
    <cellStyle name="20% - 강조색6 3 3 2 2" xfId="2377" xr:uid="{00000000-0005-0000-0000-00000B040000}"/>
    <cellStyle name="20% - 강조색6 3 3 2 3" xfId="3546" xr:uid="{00000000-0005-0000-0000-00000C040000}"/>
    <cellStyle name="20% - 강조색6 3 3 3" xfId="1859" xr:uid="{00000000-0005-0000-0000-00000D040000}"/>
    <cellStyle name="20% - 강조색6 3 3 4" xfId="3028" xr:uid="{00000000-0005-0000-0000-00000E040000}"/>
    <cellStyle name="20% - 강조색6 3 4" xfId="811" xr:uid="{00000000-0005-0000-0000-00000F040000}"/>
    <cellStyle name="20% - 강조색6 3 4 2" xfId="2115" xr:uid="{00000000-0005-0000-0000-000010040000}"/>
    <cellStyle name="20% - 강조색6 3 4 3" xfId="3284" xr:uid="{00000000-0005-0000-0000-000011040000}"/>
    <cellStyle name="20% - 강조색6 3 5" xfId="1597" xr:uid="{00000000-0005-0000-0000-000012040000}"/>
    <cellStyle name="20% - 강조색6 3 6" xfId="2766" xr:uid="{00000000-0005-0000-0000-000013040000}"/>
    <cellStyle name="20% - 강조색6 4" xfId="307" xr:uid="{00000000-0005-0000-0000-000014040000}"/>
    <cellStyle name="20% - 강조색6 4 2" xfId="437" xr:uid="{00000000-0005-0000-0000-000015040000}"/>
    <cellStyle name="20% - 강조색6 4 2 2" xfId="699" xr:uid="{00000000-0005-0000-0000-000016040000}"/>
    <cellStyle name="20% - 강조색6 4 2 2 2" xfId="1217" xr:uid="{00000000-0005-0000-0000-000017040000}"/>
    <cellStyle name="20% - 강조색6 4 2 2 2 2" xfId="2521" xr:uid="{00000000-0005-0000-0000-000018040000}"/>
    <cellStyle name="20% - 강조색6 4 2 2 2 3" xfId="3690" xr:uid="{00000000-0005-0000-0000-000019040000}"/>
    <cellStyle name="20% - 강조색6 4 2 2 3" xfId="2003" xr:uid="{00000000-0005-0000-0000-00001A040000}"/>
    <cellStyle name="20% - 강조색6 4 2 2 4" xfId="3172" xr:uid="{00000000-0005-0000-0000-00001B040000}"/>
    <cellStyle name="20% - 강조색6 4 2 3" xfId="955" xr:uid="{00000000-0005-0000-0000-00001C040000}"/>
    <cellStyle name="20% - 강조색6 4 2 3 2" xfId="2259" xr:uid="{00000000-0005-0000-0000-00001D040000}"/>
    <cellStyle name="20% - 강조색6 4 2 3 3" xfId="3428" xr:uid="{00000000-0005-0000-0000-00001E040000}"/>
    <cellStyle name="20% - 강조색6 4 2 4" xfId="1741" xr:uid="{00000000-0005-0000-0000-00001F040000}"/>
    <cellStyle name="20% - 강조색6 4 2 5" xfId="2910" xr:uid="{00000000-0005-0000-0000-000020040000}"/>
    <cellStyle name="20% - 강조색6 4 3" xfId="569" xr:uid="{00000000-0005-0000-0000-000021040000}"/>
    <cellStyle name="20% - 강조색6 4 3 2" xfId="1087" xr:uid="{00000000-0005-0000-0000-000022040000}"/>
    <cellStyle name="20% - 강조색6 4 3 2 2" xfId="2391" xr:uid="{00000000-0005-0000-0000-000023040000}"/>
    <cellStyle name="20% - 강조색6 4 3 2 3" xfId="3560" xr:uid="{00000000-0005-0000-0000-000024040000}"/>
    <cellStyle name="20% - 강조색6 4 3 3" xfId="1873" xr:uid="{00000000-0005-0000-0000-000025040000}"/>
    <cellStyle name="20% - 강조색6 4 3 4" xfId="3042" xr:uid="{00000000-0005-0000-0000-000026040000}"/>
    <cellStyle name="20% - 강조색6 4 4" xfId="825" xr:uid="{00000000-0005-0000-0000-000027040000}"/>
    <cellStyle name="20% - 강조색6 4 4 2" xfId="2129" xr:uid="{00000000-0005-0000-0000-000028040000}"/>
    <cellStyle name="20% - 강조색6 4 4 3" xfId="3298" xr:uid="{00000000-0005-0000-0000-000029040000}"/>
    <cellStyle name="20% - 강조색6 4 5" xfId="1611" xr:uid="{00000000-0005-0000-0000-00002A040000}"/>
    <cellStyle name="20% - 강조색6 4 6" xfId="2780" xr:uid="{00000000-0005-0000-0000-00002B040000}"/>
    <cellStyle name="20% - 강조색6 5" xfId="321" xr:uid="{00000000-0005-0000-0000-00002C040000}"/>
    <cellStyle name="20% - 강조색6 5 2" xfId="451" xr:uid="{00000000-0005-0000-0000-00002D040000}"/>
    <cellStyle name="20% - 강조색6 5 2 2" xfId="713" xr:uid="{00000000-0005-0000-0000-00002E040000}"/>
    <cellStyle name="20% - 강조색6 5 2 2 2" xfId="1231" xr:uid="{00000000-0005-0000-0000-00002F040000}"/>
    <cellStyle name="20% - 강조색6 5 2 2 2 2" xfId="2535" xr:uid="{00000000-0005-0000-0000-000030040000}"/>
    <cellStyle name="20% - 강조색6 5 2 2 2 3" xfId="3704" xr:uid="{00000000-0005-0000-0000-000031040000}"/>
    <cellStyle name="20% - 강조색6 5 2 2 3" xfId="2017" xr:uid="{00000000-0005-0000-0000-000032040000}"/>
    <cellStyle name="20% - 강조색6 5 2 2 4" xfId="3186" xr:uid="{00000000-0005-0000-0000-000033040000}"/>
    <cellStyle name="20% - 강조색6 5 2 3" xfId="969" xr:uid="{00000000-0005-0000-0000-000034040000}"/>
    <cellStyle name="20% - 강조색6 5 2 3 2" xfId="2273" xr:uid="{00000000-0005-0000-0000-000035040000}"/>
    <cellStyle name="20% - 강조색6 5 2 3 3" xfId="3442" xr:uid="{00000000-0005-0000-0000-000036040000}"/>
    <cellStyle name="20% - 강조색6 5 2 4" xfId="1755" xr:uid="{00000000-0005-0000-0000-000037040000}"/>
    <cellStyle name="20% - 강조색6 5 2 5" xfId="2924" xr:uid="{00000000-0005-0000-0000-000038040000}"/>
    <cellStyle name="20% - 강조색6 5 3" xfId="583" xr:uid="{00000000-0005-0000-0000-000039040000}"/>
    <cellStyle name="20% - 강조색6 5 3 2" xfId="1101" xr:uid="{00000000-0005-0000-0000-00003A040000}"/>
    <cellStyle name="20% - 강조색6 5 3 2 2" xfId="2405" xr:uid="{00000000-0005-0000-0000-00003B040000}"/>
    <cellStyle name="20% - 강조색6 5 3 2 3" xfId="3574" xr:uid="{00000000-0005-0000-0000-00003C040000}"/>
    <cellStyle name="20% - 강조색6 5 3 3" xfId="1887" xr:uid="{00000000-0005-0000-0000-00003D040000}"/>
    <cellStyle name="20% - 강조색6 5 3 4" xfId="3056" xr:uid="{00000000-0005-0000-0000-00003E040000}"/>
    <cellStyle name="20% - 강조색6 5 4" xfId="839" xr:uid="{00000000-0005-0000-0000-00003F040000}"/>
    <cellStyle name="20% - 강조색6 5 4 2" xfId="2143" xr:uid="{00000000-0005-0000-0000-000040040000}"/>
    <cellStyle name="20% - 강조색6 5 4 3" xfId="3312" xr:uid="{00000000-0005-0000-0000-000041040000}"/>
    <cellStyle name="20% - 강조색6 5 5" xfId="1625" xr:uid="{00000000-0005-0000-0000-000042040000}"/>
    <cellStyle name="20% - 강조색6 5 6" xfId="2794" xr:uid="{00000000-0005-0000-0000-000043040000}"/>
    <cellStyle name="20% - 강조색6 6" xfId="335" xr:uid="{00000000-0005-0000-0000-000044040000}"/>
    <cellStyle name="20% - 강조색6 6 2" xfId="465" xr:uid="{00000000-0005-0000-0000-000045040000}"/>
    <cellStyle name="20% - 강조색6 6 2 2" xfId="727" xr:uid="{00000000-0005-0000-0000-000046040000}"/>
    <cellStyle name="20% - 강조색6 6 2 2 2" xfId="1245" xr:uid="{00000000-0005-0000-0000-000047040000}"/>
    <cellStyle name="20% - 강조색6 6 2 2 2 2" xfId="2549" xr:uid="{00000000-0005-0000-0000-000048040000}"/>
    <cellStyle name="20% - 강조색6 6 2 2 2 3" xfId="3718" xr:uid="{00000000-0005-0000-0000-000049040000}"/>
    <cellStyle name="20% - 강조색6 6 2 2 3" xfId="2031" xr:uid="{00000000-0005-0000-0000-00004A040000}"/>
    <cellStyle name="20% - 강조색6 6 2 2 4" xfId="3200" xr:uid="{00000000-0005-0000-0000-00004B040000}"/>
    <cellStyle name="20% - 강조색6 6 2 3" xfId="983" xr:uid="{00000000-0005-0000-0000-00004C040000}"/>
    <cellStyle name="20% - 강조색6 6 2 3 2" xfId="2287" xr:uid="{00000000-0005-0000-0000-00004D040000}"/>
    <cellStyle name="20% - 강조색6 6 2 3 3" xfId="3456" xr:uid="{00000000-0005-0000-0000-00004E040000}"/>
    <cellStyle name="20% - 강조색6 6 2 4" xfId="1769" xr:uid="{00000000-0005-0000-0000-00004F040000}"/>
    <cellStyle name="20% - 강조색6 6 2 5" xfId="2938" xr:uid="{00000000-0005-0000-0000-000050040000}"/>
    <cellStyle name="20% - 강조색6 6 3" xfId="597" xr:uid="{00000000-0005-0000-0000-000051040000}"/>
    <cellStyle name="20% - 강조색6 6 3 2" xfId="1115" xr:uid="{00000000-0005-0000-0000-000052040000}"/>
    <cellStyle name="20% - 강조색6 6 3 2 2" xfId="2419" xr:uid="{00000000-0005-0000-0000-000053040000}"/>
    <cellStyle name="20% - 강조색6 6 3 2 3" xfId="3588" xr:uid="{00000000-0005-0000-0000-000054040000}"/>
    <cellStyle name="20% - 강조색6 6 3 3" xfId="1901" xr:uid="{00000000-0005-0000-0000-000055040000}"/>
    <cellStyle name="20% - 강조색6 6 3 4" xfId="3070" xr:uid="{00000000-0005-0000-0000-000056040000}"/>
    <cellStyle name="20% - 강조색6 6 4" xfId="853" xr:uid="{00000000-0005-0000-0000-000057040000}"/>
    <cellStyle name="20% - 강조색6 6 4 2" xfId="2157" xr:uid="{00000000-0005-0000-0000-000058040000}"/>
    <cellStyle name="20% - 강조색6 6 4 3" xfId="3326" xr:uid="{00000000-0005-0000-0000-000059040000}"/>
    <cellStyle name="20% - 강조색6 6 5" xfId="1639" xr:uid="{00000000-0005-0000-0000-00005A040000}"/>
    <cellStyle name="20% - 강조색6 6 6" xfId="2808" xr:uid="{00000000-0005-0000-0000-00005B040000}"/>
    <cellStyle name="20% - 강조색6 7" xfId="349" xr:uid="{00000000-0005-0000-0000-00005C040000}"/>
    <cellStyle name="20% - 강조색6 7 2" xfId="479" xr:uid="{00000000-0005-0000-0000-00005D040000}"/>
    <cellStyle name="20% - 강조색6 7 2 2" xfId="741" xr:uid="{00000000-0005-0000-0000-00005E040000}"/>
    <cellStyle name="20% - 강조색6 7 2 2 2" xfId="1259" xr:uid="{00000000-0005-0000-0000-00005F040000}"/>
    <cellStyle name="20% - 강조색6 7 2 2 2 2" xfId="2563" xr:uid="{00000000-0005-0000-0000-000060040000}"/>
    <cellStyle name="20% - 강조색6 7 2 2 2 3" xfId="3732" xr:uid="{00000000-0005-0000-0000-000061040000}"/>
    <cellStyle name="20% - 강조색6 7 2 2 3" xfId="2045" xr:uid="{00000000-0005-0000-0000-000062040000}"/>
    <cellStyle name="20% - 강조색6 7 2 2 4" xfId="3214" xr:uid="{00000000-0005-0000-0000-000063040000}"/>
    <cellStyle name="20% - 강조색6 7 2 3" xfId="997" xr:uid="{00000000-0005-0000-0000-000064040000}"/>
    <cellStyle name="20% - 강조색6 7 2 3 2" xfId="2301" xr:uid="{00000000-0005-0000-0000-000065040000}"/>
    <cellStyle name="20% - 강조색6 7 2 3 3" xfId="3470" xr:uid="{00000000-0005-0000-0000-000066040000}"/>
    <cellStyle name="20% - 강조색6 7 2 4" xfId="1783" xr:uid="{00000000-0005-0000-0000-000067040000}"/>
    <cellStyle name="20% - 강조색6 7 2 5" xfId="2952" xr:uid="{00000000-0005-0000-0000-000068040000}"/>
    <cellStyle name="20% - 강조색6 7 3" xfId="611" xr:uid="{00000000-0005-0000-0000-000069040000}"/>
    <cellStyle name="20% - 강조색6 7 3 2" xfId="1129" xr:uid="{00000000-0005-0000-0000-00006A040000}"/>
    <cellStyle name="20% - 강조색6 7 3 2 2" xfId="2433" xr:uid="{00000000-0005-0000-0000-00006B040000}"/>
    <cellStyle name="20% - 강조색6 7 3 2 3" xfId="3602" xr:uid="{00000000-0005-0000-0000-00006C040000}"/>
    <cellStyle name="20% - 강조색6 7 3 3" xfId="1915" xr:uid="{00000000-0005-0000-0000-00006D040000}"/>
    <cellStyle name="20% - 강조색6 7 3 4" xfId="3084" xr:uid="{00000000-0005-0000-0000-00006E040000}"/>
    <cellStyle name="20% - 강조색6 7 4" xfId="867" xr:uid="{00000000-0005-0000-0000-00006F040000}"/>
    <cellStyle name="20% - 강조색6 7 4 2" xfId="2171" xr:uid="{00000000-0005-0000-0000-000070040000}"/>
    <cellStyle name="20% - 강조색6 7 4 3" xfId="3340" xr:uid="{00000000-0005-0000-0000-000071040000}"/>
    <cellStyle name="20% - 강조색6 7 5" xfId="1653" xr:uid="{00000000-0005-0000-0000-000072040000}"/>
    <cellStyle name="20% - 강조색6 7 6" xfId="2822" xr:uid="{00000000-0005-0000-0000-000073040000}"/>
    <cellStyle name="20% - 강조색6 8" xfId="363" xr:uid="{00000000-0005-0000-0000-000074040000}"/>
    <cellStyle name="20% - 강조색6 8 2" xfId="625" xr:uid="{00000000-0005-0000-0000-000075040000}"/>
    <cellStyle name="20% - 강조색6 8 2 2" xfId="1143" xr:uid="{00000000-0005-0000-0000-000076040000}"/>
    <cellStyle name="20% - 강조색6 8 2 2 2" xfId="2447" xr:uid="{00000000-0005-0000-0000-000077040000}"/>
    <cellStyle name="20% - 강조색6 8 2 2 3" xfId="3616" xr:uid="{00000000-0005-0000-0000-000078040000}"/>
    <cellStyle name="20% - 강조색6 8 2 3" xfId="1929" xr:uid="{00000000-0005-0000-0000-000079040000}"/>
    <cellStyle name="20% - 강조색6 8 2 4" xfId="3098" xr:uid="{00000000-0005-0000-0000-00007A040000}"/>
    <cellStyle name="20% - 강조색6 8 3" xfId="881" xr:uid="{00000000-0005-0000-0000-00007B040000}"/>
    <cellStyle name="20% - 강조색6 8 3 2" xfId="2185" xr:uid="{00000000-0005-0000-0000-00007C040000}"/>
    <cellStyle name="20% - 강조색6 8 3 3" xfId="3354" xr:uid="{00000000-0005-0000-0000-00007D040000}"/>
    <cellStyle name="20% - 강조색6 8 4" xfId="1667" xr:uid="{00000000-0005-0000-0000-00007E040000}"/>
    <cellStyle name="20% - 강조색6 8 5" xfId="2836" xr:uid="{00000000-0005-0000-0000-00007F040000}"/>
    <cellStyle name="20% - 강조색6 9" xfId="383" xr:uid="{00000000-0005-0000-0000-000080040000}"/>
    <cellStyle name="20% - 강조색6 9 2" xfId="645" xr:uid="{00000000-0005-0000-0000-000081040000}"/>
    <cellStyle name="20% - 강조색6 9 2 2" xfId="1163" xr:uid="{00000000-0005-0000-0000-000082040000}"/>
    <cellStyle name="20% - 강조색6 9 2 2 2" xfId="2467" xr:uid="{00000000-0005-0000-0000-000083040000}"/>
    <cellStyle name="20% - 강조색6 9 2 2 3" xfId="3636" xr:uid="{00000000-0005-0000-0000-000084040000}"/>
    <cellStyle name="20% - 강조색6 9 2 3" xfId="1949" xr:uid="{00000000-0005-0000-0000-000085040000}"/>
    <cellStyle name="20% - 강조색6 9 2 4" xfId="3118" xr:uid="{00000000-0005-0000-0000-000086040000}"/>
    <cellStyle name="20% - 강조색6 9 3" xfId="901" xr:uid="{00000000-0005-0000-0000-000087040000}"/>
    <cellStyle name="20% - 강조색6 9 3 2" xfId="2205" xr:uid="{00000000-0005-0000-0000-000088040000}"/>
    <cellStyle name="20% - 강조색6 9 3 3" xfId="3374" xr:uid="{00000000-0005-0000-0000-000089040000}"/>
    <cellStyle name="20% - 강조색6 9 4" xfId="1687" xr:uid="{00000000-0005-0000-0000-00008A040000}"/>
    <cellStyle name="20% - 강조색6 9 5" xfId="2856" xr:uid="{00000000-0005-0000-0000-00008B040000}"/>
    <cellStyle name="40% - 강조색1" xfId="7" builtinId="31" customBuiltin="1"/>
    <cellStyle name="40% - 강조색1 10" xfId="484" xr:uid="{00000000-0005-0000-0000-00008D040000}"/>
    <cellStyle name="40% - 강조색1 10 2" xfId="746" xr:uid="{00000000-0005-0000-0000-00008E040000}"/>
    <cellStyle name="40% - 강조색1 10 2 2" xfId="1264" xr:uid="{00000000-0005-0000-0000-00008F040000}"/>
    <cellStyle name="40% - 강조색1 10 2 2 2" xfId="2568" xr:uid="{00000000-0005-0000-0000-000090040000}"/>
    <cellStyle name="40% - 강조색1 10 2 2 3" xfId="3737" xr:uid="{00000000-0005-0000-0000-000091040000}"/>
    <cellStyle name="40% - 강조색1 10 2 3" xfId="2050" xr:uid="{00000000-0005-0000-0000-000092040000}"/>
    <cellStyle name="40% - 강조색1 10 2 4" xfId="3219" xr:uid="{00000000-0005-0000-0000-000093040000}"/>
    <cellStyle name="40% - 강조색1 10 3" xfId="1002" xr:uid="{00000000-0005-0000-0000-000094040000}"/>
    <cellStyle name="40% - 강조색1 10 3 2" xfId="2306" xr:uid="{00000000-0005-0000-0000-000095040000}"/>
    <cellStyle name="40% - 강조색1 10 3 3" xfId="3475" xr:uid="{00000000-0005-0000-0000-000096040000}"/>
    <cellStyle name="40% - 강조색1 10 4" xfId="1788" xr:uid="{00000000-0005-0000-0000-000097040000}"/>
    <cellStyle name="40% - 강조색1 10 5" xfId="2957" xr:uid="{00000000-0005-0000-0000-000098040000}"/>
    <cellStyle name="40% - 강조색1 11" xfId="506" xr:uid="{00000000-0005-0000-0000-000099040000}"/>
    <cellStyle name="40% - 강조색1 11 2" xfId="1024" xr:uid="{00000000-0005-0000-0000-00009A040000}"/>
    <cellStyle name="40% - 강조색1 11 2 2" xfId="2328" xr:uid="{00000000-0005-0000-0000-00009B040000}"/>
    <cellStyle name="40% - 강조색1 11 2 3" xfId="3497" xr:uid="{00000000-0005-0000-0000-00009C040000}"/>
    <cellStyle name="40% - 강조색1 11 3" xfId="1810" xr:uid="{00000000-0005-0000-0000-00009D040000}"/>
    <cellStyle name="40% - 강조색1 11 4" xfId="2979" xr:uid="{00000000-0005-0000-0000-00009E040000}"/>
    <cellStyle name="40% - 강조색1 12" xfId="758" xr:uid="{00000000-0005-0000-0000-00009F040000}"/>
    <cellStyle name="40% - 강조색1 12 2" xfId="2062" xr:uid="{00000000-0005-0000-0000-0000A0040000}"/>
    <cellStyle name="40% - 강조색1 12 3" xfId="3231" xr:uid="{00000000-0005-0000-0000-0000A1040000}"/>
    <cellStyle name="40% - 강조색1 13" xfId="210" xr:uid="{00000000-0005-0000-0000-0000A2040000}"/>
    <cellStyle name="40% - 강조색1 14" xfId="1533" xr:uid="{00000000-0005-0000-0000-0000A3040000}"/>
    <cellStyle name="40% - 강조색1 15" xfId="2702" xr:uid="{00000000-0005-0000-0000-0000A4040000}"/>
    <cellStyle name="40% - 강조색1 2" xfId="72" xr:uid="{00000000-0005-0000-0000-0000A5040000}"/>
    <cellStyle name="40% - 강조색1 2 2" xfId="390" xr:uid="{00000000-0005-0000-0000-0000A6040000}"/>
    <cellStyle name="40% - 강조색1 2 2 2" xfId="652" xr:uid="{00000000-0005-0000-0000-0000A7040000}"/>
    <cellStyle name="40% - 강조색1 2 2 2 2" xfId="1170" xr:uid="{00000000-0005-0000-0000-0000A8040000}"/>
    <cellStyle name="40% - 강조색1 2 2 2 2 2" xfId="2474" xr:uid="{00000000-0005-0000-0000-0000A9040000}"/>
    <cellStyle name="40% - 강조색1 2 2 2 2 3" xfId="3643" xr:uid="{00000000-0005-0000-0000-0000AA040000}"/>
    <cellStyle name="40% - 강조색1 2 2 2 3" xfId="1956" xr:uid="{00000000-0005-0000-0000-0000AB040000}"/>
    <cellStyle name="40% - 강조색1 2 2 2 4" xfId="3125" xr:uid="{00000000-0005-0000-0000-0000AC040000}"/>
    <cellStyle name="40% - 강조색1 2 2 3" xfId="908" xr:uid="{00000000-0005-0000-0000-0000AD040000}"/>
    <cellStyle name="40% - 강조색1 2 2 3 2" xfId="2212" xr:uid="{00000000-0005-0000-0000-0000AE040000}"/>
    <cellStyle name="40% - 강조색1 2 2 3 3" xfId="3381" xr:uid="{00000000-0005-0000-0000-0000AF040000}"/>
    <cellStyle name="40% - 강조색1 2 2 4" xfId="1694" xr:uid="{00000000-0005-0000-0000-0000B0040000}"/>
    <cellStyle name="40% - 강조색1 2 2 5" xfId="2863" xr:uid="{00000000-0005-0000-0000-0000B1040000}"/>
    <cellStyle name="40% - 강조색1 2 3" xfId="522" xr:uid="{00000000-0005-0000-0000-0000B2040000}"/>
    <cellStyle name="40% - 강조색1 2 3 2" xfId="1040" xr:uid="{00000000-0005-0000-0000-0000B3040000}"/>
    <cellStyle name="40% - 강조색1 2 3 2 2" xfId="2344" xr:uid="{00000000-0005-0000-0000-0000B4040000}"/>
    <cellStyle name="40% - 강조색1 2 3 2 3" xfId="3513" xr:uid="{00000000-0005-0000-0000-0000B5040000}"/>
    <cellStyle name="40% - 강조색1 2 3 3" xfId="1826" xr:uid="{00000000-0005-0000-0000-0000B6040000}"/>
    <cellStyle name="40% - 강조색1 2 3 4" xfId="2995" xr:uid="{00000000-0005-0000-0000-0000B7040000}"/>
    <cellStyle name="40% - 강조색1 2 4" xfId="778" xr:uid="{00000000-0005-0000-0000-0000B8040000}"/>
    <cellStyle name="40% - 강조색1 2 4 2" xfId="2082" xr:uid="{00000000-0005-0000-0000-0000B9040000}"/>
    <cellStyle name="40% - 강조색1 2 4 3" xfId="3251" xr:uid="{00000000-0005-0000-0000-0000BA040000}"/>
    <cellStyle name="40% - 강조색1 2 5" xfId="259" xr:uid="{00000000-0005-0000-0000-0000BB040000}"/>
    <cellStyle name="40% - 강조색1 2 5 2" xfId="1565" xr:uid="{00000000-0005-0000-0000-0000BC040000}"/>
    <cellStyle name="40% - 강조색1 2 5 3" xfId="2734" xr:uid="{00000000-0005-0000-0000-0000BD040000}"/>
    <cellStyle name="40% - 강조색1 3" xfId="283" xr:uid="{00000000-0005-0000-0000-0000BE040000}"/>
    <cellStyle name="40% - 강조색1 3 2" xfId="414" xr:uid="{00000000-0005-0000-0000-0000BF040000}"/>
    <cellStyle name="40% - 강조색1 3 2 2" xfId="676" xr:uid="{00000000-0005-0000-0000-0000C0040000}"/>
    <cellStyle name="40% - 강조색1 3 2 2 2" xfId="1194" xr:uid="{00000000-0005-0000-0000-0000C1040000}"/>
    <cellStyle name="40% - 강조색1 3 2 2 2 2" xfId="2498" xr:uid="{00000000-0005-0000-0000-0000C2040000}"/>
    <cellStyle name="40% - 강조색1 3 2 2 2 3" xfId="3667" xr:uid="{00000000-0005-0000-0000-0000C3040000}"/>
    <cellStyle name="40% - 강조색1 3 2 2 3" xfId="1980" xr:uid="{00000000-0005-0000-0000-0000C4040000}"/>
    <cellStyle name="40% - 강조색1 3 2 2 4" xfId="3149" xr:uid="{00000000-0005-0000-0000-0000C5040000}"/>
    <cellStyle name="40% - 강조색1 3 2 3" xfId="932" xr:uid="{00000000-0005-0000-0000-0000C6040000}"/>
    <cellStyle name="40% - 강조색1 3 2 3 2" xfId="2236" xr:uid="{00000000-0005-0000-0000-0000C7040000}"/>
    <cellStyle name="40% - 강조색1 3 2 3 3" xfId="3405" xr:uid="{00000000-0005-0000-0000-0000C8040000}"/>
    <cellStyle name="40% - 강조색1 3 2 4" xfId="1718" xr:uid="{00000000-0005-0000-0000-0000C9040000}"/>
    <cellStyle name="40% - 강조색1 3 2 5" xfId="2887" xr:uid="{00000000-0005-0000-0000-0000CA040000}"/>
    <cellStyle name="40% - 강조색1 3 3" xfId="546" xr:uid="{00000000-0005-0000-0000-0000CB040000}"/>
    <cellStyle name="40% - 강조색1 3 3 2" xfId="1064" xr:uid="{00000000-0005-0000-0000-0000CC040000}"/>
    <cellStyle name="40% - 강조색1 3 3 2 2" xfId="2368" xr:uid="{00000000-0005-0000-0000-0000CD040000}"/>
    <cellStyle name="40% - 강조색1 3 3 2 3" xfId="3537" xr:uid="{00000000-0005-0000-0000-0000CE040000}"/>
    <cellStyle name="40% - 강조색1 3 3 3" xfId="1850" xr:uid="{00000000-0005-0000-0000-0000CF040000}"/>
    <cellStyle name="40% - 강조색1 3 3 4" xfId="3019" xr:uid="{00000000-0005-0000-0000-0000D0040000}"/>
    <cellStyle name="40% - 강조색1 3 4" xfId="802" xr:uid="{00000000-0005-0000-0000-0000D1040000}"/>
    <cellStyle name="40% - 강조색1 3 4 2" xfId="2106" xr:uid="{00000000-0005-0000-0000-0000D2040000}"/>
    <cellStyle name="40% - 강조색1 3 4 3" xfId="3275" xr:uid="{00000000-0005-0000-0000-0000D3040000}"/>
    <cellStyle name="40% - 강조색1 3 5" xfId="1588" xr:uid="{00000000-0005-0000-0000-0000D4040000}"/>
    <cellStyle name="40% - 강조색1 3 6" xfId="2757" xr:uid="{00000000-0005-0000-0000-0000D5040000}"/>
    <cellStyle name="40% - 강조색1 4" xfId="298" xr:uid="{00000000-0005-0000-0000-0000D6040000}"/>
    <cellStyle name="40% - 강조색1 4 2" xfId="428" xr:uid="{00000000-0005-0000-0000-0000D7040000}"/>
    <cellStyle name="40% - 강조색1 4 2 2" xfId="690" xr:uid="{00000000-0005-0000-0000-0000D8040000}"/>
    <cellStyle name="40% - 강조색1 4 2 2 2" xfId="1208" xr:uid="{00000000-0005-0000-0000-0000D9040000}"/>
    <cellStyle name="40% - 강조색1 4 2 2 2 2" xfId="2512" xr:uid="{00000000-0005-0000-0000-0000DA040000}"/>
    <cellStyle name="40% - 강조색1 4 2 2 2 3" xfId="3681" xr:uid="{00000000-0005-0000-0000-0000DB040000}"/>
    <cellStyle name="40% - 강조색1 4 2 2 3" xfId="1994" xr:uid="{00000000-0005-0000-0000-0000DC040000}"/>
    <cellStyle name="40% - 강조색1 4 2 2 4" xfId="3163" xr:uid="{00000000-0005-0000-0000-0000DD040000}"/>
    <cellStyle name="40% - 강조색1 4 2 3" xfId="946" xr:uid="{00000000-0005-0000-0000-0000DE040000}"/>
    <cellStyle name="40% - 강조색1 4 2 3 2" xfId="2250" xr:uid="{00000000-0005-0000-0000-0000DF040000}"/>
    <cellStyle name="40% - 강조색1 4 2 3 3" xfId="3419" xr:uid="{00000000-0005-0000-0000-0000E0040000}"/>
    <cellStyle name="40% - 강조색1 4 2 4" xfId="1732" xr:uid="{00000000-0005-0000-0000-0000E1040000}"/>
    <cellStyle name="40% - 강조색1 4 2 5" xfId="2901" xr:uid="{00000000-0005-0000-0000-0000E2040000}"/>
    <cellStyle name="40% - 강조색1 4 3" xfId="560" xr:uid="{00000000-0005-0000-0000-0000E3040000}"/>
    <cellStyle name="40% - 강조색1 4 3 2" xfId="1078" xr:uid="{00000000-0005-0000-0000-0000E4040000}"/>
    <cellStyle name="40% - 강조색1 4 3 2 2" xfId="2382" xr:uid="{00000000-0005-0000-0000-0000E5040000}"/>
    <cellStyle name="40% - 강조색1 4 3 2 3" xfId="3551" xr:uid="{00000000-0005-0000-0000-0000E6040000}"/>
    <cellStyle name="40% - 강조색1 4 3 3" xfId="1864" xr:uid="{00000000-0005-0000-0000-0000E7040000}"/>
    <cellStyle name="40% - 강조색1 4 3 4" xfId="3033" xr:uid="{00000000-0005-0000-0000-0000E8040000}"/>
    <cellStyle name="40% - 강조색1 4 4" xfId="816" xr:uid="{00000000-0005-0000-0000-0000E9040000}"/>
    <cellStyle name="40% - 강조색1 4 4 2" xfId="2120" xr:uid="{00000000-0005-0000-0000-0000EA040000}"/>
    <cellStyle name="40% - 강조색1 4 4 3" xfId="3289" xr:uid="{00000000-0005-0000-0000-0000EB040000}"/>
    <cellStyle name="40% - 강조색1 4 5" xfId="1602" xr:uid="{00000000-0005-0000-0000-0000EC040000}"/>
    <cellStyle name="40% - 강조색1 4 6" xfId="2771" xr:uid="{00000000-0005-0000-0000-0000ED040000}"/>
    <cellStyle name="40% - 강조색1 5" xfId="312" xr:uid="{00000000-0005-0000-0000-0000EE040000}"/>
    <cellStyle name="40% - 강조색1 5 2" xfId="442" xr:uid="{00000000-0005-0000-0000-0000EF040000}"/>
    <cellStyle name="40% - 강조색1 5 2 2" xfId="704" xr:uid="{00000000-0005-0000-0000-0000F0040000}"/>
    <cellStyle name="40% - 강조색1 5 2 2 2" xfId="1222" xr:uid="{00000000-0005-0000-0000-0000F1040000}"/>
    <cellStyle name="40% - 강조색1 5 2 2 2 2" xfId="2526" xr:uid="{00000000-0005-0000-0000-0000F2040000}"/>
    <cellStyle name="40% - 강조색1 5 2 2 2 3" xfId="3695" xr:uid="{00000000-0005-0000-0000-0000F3040000}"/>
    <cellStyle name="40% - 강조색1 5 2 2 3" xfId="2008" xr:uid="{00000000-0005-0000-0000-0000F4040000}"/>
    <cellStyle name="40% - 강조색1 5 2 2 4" xfId="3177" xr:uid="{00000000-0005-0000-0000-0000F5040000}"/>
    <cellStyle name="40% - 강조색1 5 2 3" xfId="960" xr:uid="{00000000-0005-0000-0000-0000F6040000}"/>
    <cellStyle name="40% - 강조색1 5 2 3 2" xfId="2264" xr:uid="{00000000-0005-0000-0000-0000F7040000}"/>
    <cellStyle name="40% - 강조색1 5 2 3 3" xfId="3433" xr:uid="{00000000-0005-0000-0000-0000F8040000}"/>
    <cellStyle name="40% - 강조색1 5 2 4" xfId="1746" xr:uid="{00000000-0005-0000-0000-0000F9040000}"/>
    <cellStyle name="40% - 강조색1 5 2 5" xfId="2915" xr:uid="{00000000-0005-0000-0000-0000FA040000}"/>
    <cellStyle name="40% - 강조색1 5 3" xfId="574" xr:uid="{00000000-0005-0000-0000-0000FB040000}"/>
    <cellStyle name="40% - 강조색1 5 3 2" xfId="1092" xr:uid="{00000000-0005-0000-0000-0000FC040000}"/>
    <cellStyle name="40% - 강조색1 5 3 2 2" xfId="2396" xr:uid="{00000000-0005-0000-0000-0000FD040000}"/>
    <cellStyle name="40% - 강조색1 5 3 2 3" xfId="3565" xr:uid="{00000000-0005-0000-0000-0000FE040000}"/>
    <cellStyle name="40% - 강조색1 5 3 3" xfId="1878" xr:uid="{00000000-0005-0000-0000-0000FF040000}"/>
    <cellStyle name="40% - 강조색1 5 3 4" xfId="3047" xr:uid="{00000000-0005-0000-0000-000000050000}"/>
    <cellStyle name="40% - 강조색1 5 4" xfId="830" xr:uid="{00000000-0005-0000-0000-000001050000}"/>
    <cellStyle name="40% - 강조색1 5 4 2" xfId="2134" xr:uid="{00000000-0005-0000-0000-000002050000}"/>
    <cellStyle name="40% - 강조색1 5 4 3" xfId="3303" xr:uid="{00000000-0005-0000-0000-000003050000}"/>
    <cellStyle name="40% - 강조색1 5 5" xfId="1616" xr:uid="{00000000-0005-0000-0000-000004050000}"/>
    <cellStyle name="40% - 강조색1 5 6" xfId="2785" xr:uid="{00000000-0005-0000-0000-000005050000}"/>
    <cellStyle name="40% - 강조색1 6" xfId="326" xr:uid="{00000000-0005-0000-0000-000006050000}"/>
    <cellStyle name="40% - 강조색1 6 2" xfId="456" xr:uid="{00000000-0005-0000-0000-000007050000}"/>
    <cellStyle name="40% - 강조색1 6 2 2" xfId="718" xr:uid="{00000000-0005-0000-0000-000008050000}"/>
    <cellStyle name="40% - 강조색1 6 2 2 2" xfId="1236" xr:uid="{00000000-0005-0000-0000-000009050000}"/>
    <cellStyle name="40% - 강조색1 6 2 2 2 2" xfId="2540" xr:uid="{00000000-0005-0000-0000-00000A050000}"/>
    <cellStyle name="40% - 강조색1 6 2 2 2 3" xfId="3709" xr:uid="{00000000-0005-0000-0000-00000B050000}"/>
    <cellStyle name="40% - 강조색1 6 2 2 3" xfId="2022" xr:uid="{00000000-0005-0000-0000-00000C050000}"/>
    <cellStyle name="40% - 강조색1 6 2 2 4" xfId="3191" xr:uid="{00000000-0005-0000-0000-00000D050000}"/>
    <cellStyle name="40% - 강조색1 6 2 3" xfId="974" xr:uid="{00000000-0005-0000-0000-00000E050000}"/>
    <cellStyle name="40% - 강조색1 6 2 3 2" xfId="2278" xr:uid="{00000000-0005-0000-0000-00000F050000}"/>
    <cellStyle name="40% - 강조색1 6 2 3 3" xfId="3447" xr:uid="{00000000-0005-0000-0000-000010050000}"/>
    <cellStyle name="40% - 강조색1 6 2 4" xfId="1760" xr:uid="{00000000-0005-0000-0000-000011050000}"/>
    <cellStyle name="40% - 강조색1 6 2 5" xfId="2929" xr:uid="{00000000-0005-0000-0000-000012050000}"/>
    <cellStyle name="40% - 강조색1 6 3" xfId="588" xr:uid="{00000000-0005-0000-0000-000013050000}"/>
    <cellStyle name="40% - 강조색1 6 3 2" xfId="1106" xr:uid="{00000000-0005-0000-0000-000014050000}"/>
    <cellStyle name="40% - 강조색1 6 3 2 2" xfId="2410" xr:uid="{00000000-0005-0000-0000-000015050000}"/>
    <cellStyle name="40% - 강조색1 6 3 2 3" xfId="3579" xr:uid="{00000000-0005-0000-0000-000016050000}"/>
    <cellStyle name="40% - 강조색1 6 3 3" xfId="1892" xr:uid="{00000000-0005-0000-0000-000017050000}"/>
    <cellStyle name="40% - 강조색1 6 3 4" xfId="3061" xr:uid="{00000000-0005-0000-0000-000018050000}"/>
    <cellStyle name="40% - 강조색1 6 4" xfId="844" xr:uid="{00000000-0005-0000-0000-000019050000}"/>
    <cellStyle name="40% - 강조색1 6 4 2" xfId="2148" xr:uid="{00000000-0005-0000-0000-00001A050000}"/>
    <cellStyle name="40% - 강조색1 6 4 3" xfId="3317" xr:uid="{00000000-0005-0000-0000-00001B050000}"/>
    <cellStyle name="40% - 강조색1 6 5" xfId="1630" xr:uid="{00000000-0005-0000-0000-00001C050000}"/>
    <cellStyle name="40% - 강조색1 6 6" xfId="2799" xr:uid="{00000000-0005-0000-0000-00001D050000}"/>
    <cellStyle name="40% - 강조색1 7" xfId="340" xr:uid="{00000000-0005-0000-0000-00001E050000}"/>
    <cellStyle name="40% - 강조색1 7 2" xfId="470" xr:uid="{00000000-0005-0000-0000-00001F050000}"/>
    <cellStyle name="40% - 강조색1 7 2 2" xfId="732" xr:uid="{00000000-0005-0000-0000-000020050000}"/>
    <cellStyle name="40% - 강조색1 7 2 2 2" xfId="1250" xr:uid="{00000000-0005-0000-0000-000021050000}"/>
    <cellStyle name="40% - 강조색1 7 2 2 2 2" xfId="2554" xr:uid="{00000000-0005-0000-0000-000022050000}"/>
    <cellStyle name="40% - 강조색1 7 2 2 2 3" xfId="3723" xr:uid="{00000000-0005-0000-0000-000023050000}"/>
    <cellStyle name="40% - 강조색1 7 2 2 3" xfId="2036" xr:uid="{00000000-0005-0000-0000-000024050000}"/>
    <cellStyle name="40% - 강조색1 7 2 2 4" xfId="3205" xr:uid="{00000000-0005-0000-0000-000025050000}"/>
    <cellStyle name="40% - 강조색1 7 2 3" xfId="988" xr:uid="{00000000-0005-0000-0000-000026050000}"/>
    <cellStyle name="40% - 강조색1 7 2 3 2" xfId="2292" xr:uid="{00000000-0005-0000-0000-000027050000}"/>
    <cellStyle name="40% - 강조색1 7 2 3 3" xfId="3461" xr:uid="{00000000-0005-0000-0000-000028050000}"/>
    <cellStyle name="40% - 강조색1 7 2 4" xfId="1774" xr:uid="{00000000-0005-0000-0000-000029050000}"/>
    <cellStyle name="40% - 강조색1 7 2 5" xfId="2943" xr:uid="{00000000-0005-0000-0000-00002A050000}"/>
    <cellStyle name="40% - 강조색1 7 3" xfId="602" xr:uid="{00000000-0005-0000-0000-00002B050000}"/>
    <cellStyle name="40% - 강조색1 7 3 2" xfId="1120" xr:uid="{00000000-0005-0000-0000-00002C050000}"/>
    <cellStyle name="40% - 강조색1 7 3 2 2" xfId="2424" xr:uid="{00000000-0005-0000-0000-00002D050000}"/>
    <cellStyle name="40% - 강조색1 7 3 2 3" xfId="3593" xr:uid="{00000000-0005-0000-0000-00002E050000}"/>
    <cellStyle name="40% - 강조색1 7 3 3" xfId="1906" xr:uid="{00000000-0005-0000-0000-00002F050000}"/>
    <cellStyle name="40% - 강조색1 7 3 4" xfId="3075" xr:uid="{00000000-0005-0000-0000-000030050000}"/>
    <cellStyle name="40% - 강조색1 7 4" xfId="858" xr:uid="{00000000-0005-0000-0000-000031050000}"/>
    <cellStyle name="40% - 강조색1 7 4 2" xfId="2162" xr:uid="{00000000-0005-0000-0000-000032050000}"/>
    <cellStyle name="40% - 강조색1 7 4 3" xfId="3331" xr:uid="{00000000-0005-0000-0000-000033050000}"/>
    <cellStyle name="40% - 강조색1 7 5" xfId="1644" xr:uid="{00000000-0005-0000-0000-000034050000}"/>
    <cellStyle name="40% - 강조색1 7 6" xfId="2813" xr:uid="{00000000-0005-0000-0000-000035050000}"/>
    <cellStyle name="40% - 강조색1 8" xfId="354" xr:uid="{00000000-0005-0000-0000-000036050000}"/>
    <cellStyle name="40% - 강조색1 8 2" xfId="616" xr:uid="{00000000-0005-0000-0000-000037050000}"/>
    <cellStyle name="40% - 강조색1 8 2 2" xfId="1134" xr:uid="{00000000-0005-0000-0000-000038050000}"/>
    <cellStyle name="40% - 강조색1 8 2 2 2" xfId="2438" xr:uid="{00000000-0005-0000-0000-000039050000}"/>
    <cellStyle name="40% - 강조색1 8 2 2 3" xfId="3607" xr:uid="{00000000-0005-0000-0000-00003A050000}"/>
    <cellStyle name="40% - 강조색1 8 2 3" xfId="1920" xr:uid="{00000000-0005-0000-0000-00003B050000}"/>
    <cellStyle name="40% - 강조색1 8 2 4" xfId="3089" xr:uid="{00000000-0005-0000-0000-00003C050000}"/>
    <cellStyle name="40% - 강조색1 8 3" xfId="872" xr:uid="{00000000-0005-0000-0000-00003D050000}"/>
    <cellStyle name="40% - 강조색1 8 3 2" xfId="2176" xr:uid="{00000000-0005-0000-0000-00003E050000}"/>
    <cellStyle name="40% - 강조색1 8 3 3" xfId="3345" xr:uid="{00000000-0005-0000-0000-00003F050000}"/>
    <cellStyle name="40% - 강조색1 8 4" xfId="1658" xr:uid="{00000000-0005-0000-0000-000040050000}"/>
    <cellStyle name="40% - 강조색1 8 5" xfId="2827" xr:uid="{00000000-0005-0000-0000-000041050000}"/>
    <cellStyle name="40% - 강조색1 9" xfId="374" xr:uid="{00000000-0005-0000-0000-000042050000}"/>
    <cellStyle name="40% - 강조색1 9 2" xfId="636" xr:uid="{00000000-0005-0000-0000-000043050000}"/>
    <cellStyle name="40% - 강조색1 9 2 2" xfId="1154" xr:uid="{00000000-0005-0000-0000-000044050000}"/>
    <cellStyle name="40% - 강조색1 9 2 2 2" xfId="2458" xr:uid="{00000000-0005-0000-0000-000045050000}"/>
    <cellStyle name="40% - 강조색1 9 2 2 3" xfId="3627" xr:uid="{00000000-0005-0000-0000-000046050000}"/>
    <cellStyle name="40% - 강조색1 9 2 3" xfId="1940" xr:uid="{00000000-0005-0000-0000-000047050000}"/>
    <cellStyle name="40% - 강조색1 9 2 4" xfId="3109" xr:uid="{00000000-0005-0000-0000-000048050000}"/>
    <cellStyle name="40% - 강조색1 9 3" xfId="892" xr:uid="{00000000-0005-0000-0000-000049050000}"/>
    <cellStyle name="40% - 강조색1 9 3 2" xfId="2196" xr:uid="{00000000-0005-0000-0000-00004A050000}"/>
    <cellStyle name="40% - 강조색1 9 3 3" xfId="3365" xr:uid="{00000000-0005-0000-0000-00004B050000}"/>
    <cellStyle name="40% - 강조색1 9 4" xfId="1678" xr:uid="{00000000-0005-0000-0000-00004C050000}"/>
    <cellStyle name="40% - 강조색1 9 5" xfId="2847" xr:uid="{00000000-0005-0000-0000-00004D050000}"/>
    <cellStyle name="40% - 강조색2" xfId="8" builtinId="35" customBuiltin="1"/>
    <cellStyle name="40% - 강조색2 10" xfId="486" xr:uid="{00000000-0005-0000-0000-00004F050000}"/>
    <cellStyle name="40% - 강조색2 10 2" xfId="748" xr:uid="{00000000-0005-0000-0000-000050050000}"/>
    <cellStyle name="40% - 강조색2 10 2 2" xfId="1266" xr:uid="{00000000-0005-0000-0000-000051050000}"/>
    <cellStyle name="40% - 강조색2 10 2 2 2" xfId="2570" xr:uid="{00000000-0005-0000-0000-000052050000}"/>
    <cellStyle name="40% - 강조색2 10 2 2 3" xfId="3739" xr:uid="{00000000-0005-0000-0000-000053050000}"/>
    <cellStyle name="40% - 강조색2 10 2 3" xfId="2052" xr:uid="{00000000-0005-0000-0000-000054050000}"/>
    <cellStyle name="40% - 강조색2 10 2 4" xfId="3221" xr:uid="{00000000-0005-0000-0000-000055050000}"/>
    <cellStyle name="40% - 강조색2 10 3" xfId="1004" xr:uid="{00000000-0005-0000-0000-000056050000}"/>
    <cellStyle name="40% - 강조색2 10 3 2" xfId="2308" xr:uid="{00000000-0005-0000-0000-000057050000}"/>
    <cellStyle name="40% - 강조색2 10 3 3" xfId="3477" xr:uid="{00000000-0005-0000-0000-000058050000}"/>
    <cellStyle name="40% - 강조색2 10 4" xfId="1790" xr:uid="{00000000-0005-0000-0000-000059050000}"/>
    <cellStyle name="40% - 강조색2 10 5" xfId="2959" xr:uid="{00000000-0005-0000-0000-00005A050000}"/>
    <cellStyle name="40% - 강조색2 11" xfId="508" xr:uid="{00000000-0005-0000-0000-00005B050000}"/>
    <cellStyle name="40% - 강조색2 11 2" xfId="1026" xr:uid="{00000000-0005-0000-0000-00005C050000}"/>
    <cellStyle name="40% - 강조색2 11 2 2" xfId="2330" xr:uid="{00000000-0005-0000-0000-00005D050000}"/>
    <cellStyle name="40% - 강조색2 11 2 3" xfId="3499" xr:uid="{00000000-0005-0000-0000-00005E050000}"/>
    <cellStyle name="40% - 강조색2 11 3" xfId="1812" xr:uid="{00000000-0005-0000-0000-00005F050000}"/>
    <cellStyle name="40% - 강조색2 11 4" xfId="2981" xr:uid="{00000000-0005-0000-0000-000060050000}"/>
    <cellStyle name="40% - 강조색2 12" xfId="760" xr:uid="{00000000-0005-0000-0000-000061050000}"/>
    <cellStyle name="40% - 강조색2 12 2" xfId="2064" xr:uid="{00000000-0005-0000-0000-000062050000}"/>
    <cellStyle name="40% - 강조색2 12 3" xfId="3233" xr:uid="{00000000-0005-0000-0000-000063050000}"/>
    <cellStyle name="40% - 강조색2 13" xfId="214" xr:uid="{00000000-0005-0000-0000-000064050000}"/>
    <cellStyle name="40% - 강조색2 14" xfId="1535" xr:uid="{00000000-0005-0000-0000-000065050000}"/>
    <cellStyle name="40% - 강조색2 15" xfId="2704" xr:uid="{00000000-0005-0000-0000-000066050000}"/>
    <cellStyle name="40% - 강조색2 2" xfId="73" xr:uid="{00000000-0005-0000-0000-000067050000}"/>
    <cellStyle name="40% - 강조색2 2 2" xfId="392" xr:uid="{00000000-0005-0000-0000-000068050000}"/>
    <cellStyle name="40% - 강조색2 2 2 2" xfId="654" xr:uid="{00000000-0005-0000-0000-000069050000}"/>
    <cellStyle name="40% - 강조색2 2 2 2 2" xfId="1172" xr:uid="{00000000-0005-0000-0000-00006A050000}"/>
    <cellStyle name="40% - 강조색2 2 2 2 2 2" xfId="2476" xr:uid="{00000000-0005-0000-0000-00006B050000}"/>
    <cellStyle name="40% - 강조색2 2 2 2 2 3" xfId="3645" xr:uid="{00000000-0005-0000-0000-00006C050000}"/>
    <cellStyle name="40% - 강조색2 2 2 2 3" xfId="1958" xr:uid="{00000000-0005-0000-0000-00006D050000}"/>
    <cellStyle name="40% - 강조색2 2 2 2 4" xfId="3127" xr:uid="{00000000-0005-0000-0000-00006E050000}"/>
    <cellStyle name="40% - 강조색2 2 2 3" xfId="910" xr:uid="{00000000-0005-0000-0000-00006F050000}"/>
    <cellStyle name="40% - 강조색2 2 2 3 2" xfId="2214" xr:uid="{00000000-0005-0000-0000-000070050000}"/>
    <cellStyle name="40% - 강조색2 2 2 3 3" xfId="3383" xr:uid="{00000000-0005-0000-0000-000071050000}"/>
    <cellStyle name="40% - 강조색2 2 2 4" xfId="1696" xr:uid="{00000000-0005-0000-0000-000072050000}"/>
    <cellStyle name="40% - 강조색2 2 2 5" xfId="2865" xr:uid="{00000000-0005-0000-0000-000073050000}"/>
    <cellStyle name="40% - 강조색2 2 3" xfId="524" xr:uid="{00000000-0005-0000-0000-000074050000}"/>
    <cellStyle name="40% - 강조색2 2 3 2" xfId="1042" xr:uid="{00000000-0005-0000-0000-000075050000}"/>
    <cellStyle name="40% - 강조색2 2 3 2 2" xfId="2346" xr:uid="{00000000-0005-0000-0000-000076050000}"/>
    <cellStyle name="40% - 강조색2 2 3 2 3" xfId="3515" xr:uid="{00000000-0005-0000-0000-000077050000}"/>
    <cellStyle name="40% - 강조색2 2 3 3" xfId="1828" xr:uid="{00000000-0005-0000-0000-000078050000}"/>
    <cellStyle name="40% - 강조색2 2 3 4" xfId="2997" xr:uid="{00000000-0005-0000-0000-000079050000}"/>
    <cellStyle name="40% - 강조색2 2 4" xfId="780" xr:uid="{00000000-0005-0000-0000-00007A050000}"/>
    <cellStyle name="40% - 강조색2 2 4 2" xfId="2084" xr:uid="{00000000-0005-0000-0000-00007B050000}"/>
    <cellStyle name="40% - 강조색2 2 4 3" xfId="3253" xr:uid="{00000000-0005-0000-0000-00007C050000}"/>
    <cellStyle name="40% - 강조색2 2 5" xfId="261" xr:uid="{00000000-0005-0000-0000-00007D050000}"/>
    <cellStyle name="40% - 강조색2 2 5 2" xfId="1567" xr:uid="{00000000-0005-0000-0000-00007E050000}"/>
    <cellStyle name="40% - 강조색2 2 5 3" xfId="2736" xr:uid="{00000000-0005-0000-0000-00007F050000}"/>
    <cellStyle name="40% - 강조색2 3" xfId="285" xr:uid="{00000000-0005-0000-0000-000080050000}"/>
    <cellStyle name="40% - 강조색2 3 2" xfId="416" xr:uid="{00000000-0005-0000-0000-000081050000}"/>
    <cellStyle name="40% - 강조색2 3 2 2" xfId="678" xr:uid="{00000000-0005-0000-0000-000082050000}"/>
    <cellStyle name="40% - 강조색2 3 2 2 2" xfId="1196" xr:uid="{00000000-0005-0000-0000-000083050000}"/>
    <cellStyle name="40% - 강조색2 3 2 2 2 2" xfId="2500" xr:uid="{00000000-0005-0000-0000-000084050000}"/>
    <cellStyle name="40% - 강조색2 3 2 2 2 3" xfId="3669" xr:uid="{00000000-0005-0000-0000-000085050000}"/>
    <cellStyle name="40% - 강조색2 3 2 2 3" xfId="1982" xr:uid="{00000000-0005-0000-0000-000086050000}"/>
    <cellStyle name="40% - 강조색2 3 2 2 4" xfId="3151" xr:uid="{00000000-0005-0000-0000-000087050000}"/>
    <cellStyle name="40% - 강조색2 3 2 3" xfId="934" xr:uid="{00000000-0005-0000-0000-000088050000}"/>
    <cellStyle name="40% - 강조색2 3 2 3 2" xfId="2238" xr:uid="{00000000-0005-0000-0000-000089050000}"/>
    <cellStyle name="40% - 강조색2 3 2 3 3" xfId="3407" xr:uid="{00000000-0005-0000-0000-00008A050000}"/>
    <cellStyle name="40% - 강조색2 3 2 4" xfId="1720" xr:uid="{00000000-0005-0000-0000-00008B050000}"/>
    <cellStyle name="40% - 강조색2 3 2 5" xfId="2889" xr:uid="{00000000-0005-0000-0000-00008C050000}"/>
    <cellStyle name="40% - 강조색2 3 3" xfId="548" xr:uid="{00000000-0005-0000-0000-00008D050000}"/>
    <cellStyle name="40% - 강조색2 3 3 2" xfId="1066" xr:uid="{00000000-0005-0000-0000-00008E050000}"/>
    <cellStyle name="40% - 강조색2 3 3 2 2" xfId="2370" xr:uid="{00000000-0005-0000-0000-00008F050000}"/>
    <cellStyle name="40% - 강조색2 3 3 2 3" xfId="3539" xr:uid="{00000000-0005-0000-0000-000090050000}"/>
    <cellStyle name="40% - 강조색2 3 3 3" xfId="1852" xr:uid="{00000000-0005-0000-0000-000091050000}"/>
    <cellStyle name="40% - 강조색2 3 3 4" xfId="3021" xr:uid="{00000000-0005-0000-0000-000092050000}"/>
    <cellStyle name="40% - 강조색2 3 4" xfId="804" xr:uid="{00000000-0005-0000-0000-000093050000}"/>
    <cellStyle name="40% - 강조색2 3 4 2" xfId="2108" xr:uid="{00000000-0005-0000-0000-000094050000}"/>
    <cellStyle name="40% - 강조색2 3 4 3" xfId="3277" xr:uid="{00000000-0005-0000-0000-000095050000}"/>
    <cellStyle name="40% - 강조색2 3 5" xfId="1590" xr:uid="{00000000-0005-0000-0000-000096050000}"/>
    <cellStyle name="40% - 강조색2 3 6" xfId="2759" xr:uid="{00000000-0005-0000-0000-000097050000}"/>
    <cellStyle name="40% - 강조색2 4" xfId="300" xr:uid="{00000000-0005-0000-0000-000098050000}"/>
    <cellStyle name="40% - 강조색2 4 2" xfId="430" xr:uid="{00000000-0005-0000-0000-000099050000}"/>
    <cellStyle name="40% - 강조색2 4 2 2" xfId="692" xr:uid="{00000000-0005-0000-0000-00009A050000}"/>
    <cellStyle name="40% - 강조색2 4 2 2 2" xfId="1210" xr:uid="{00000000-0005-0000-0000-00009B050000}"/>
    <cellStyle name="40% - 강조색2 4 2 2 2 2" xfId="2514" xr:uid="{00000000-0005-0000-0000-00009C050000}"/>
    <cellStyle name="40% - 강조색2 4 2 2 2 3" xfId="3683" xr:uid="{00000000-0005-0000-0000-00009D050000}"/>
    <cellStyle name="40% - 강조색2 4 2 2 3" xfId="1996" xr:uid="{00000000-0005-0000-0000-00009E050000}"/>
    <cellStyle name="40% - 강조색2 4 2 2 4" xfId="3165" xr:uid="{00000000-0005-0000-0000-00009F050000}"/>
    <cellStyle name="40% - 강조색2 4 2 3" xfId="948" xr:uid="{00000000-0005-0000-0000-0000A0050000}"/>
    <cellStyle name="40% - 강조색2 4 2 3 2" xfId="2252" xr:uid="{00000000-0005-0000-0000-0000A1050000}"/>
    <cellStyle name="40% - 강조색2 4 2 3 3" xfId="3421" xr:uid="{00000000-0005-0000-0000-0000A2050000}"/>
    <cellStyle name="40% - 강조색2 4 2 4" xfId="1734" xr:uid="{00000000-0005-0000-0000-0000A3050000}"/>
    <cellStyle name="40% - 강조색2 4 2 5" xfId="2903" xr:uid="{00000000-0005-0000-0000-0000A4050000}"/>
    <cellStyle name="40% - 강조색2 4 3" xfId="562" xr:uid="{00000000-0005-0000-0000-0000A5050000}"/>
    <cellStyle name="40% - 강조색2 4 3 2" xfId="1080" xr:uid="{00000000-0005-0000-0000-0000A6050000}"/>
    <cellStyle name="40% - 강조색2 4 3 2 2" xfId="2384" xr:uid="{00000000-0005-0000-0000-0000A7050000}"/>
    <cellStyle name="40% - 강조색2 4 3 2 3" xfId="3553" xr:uid="{00000000-0005-0000-0000-0000A8050000}"/>
    <cellStyle name="40% - 강조색2 4 3 3" xfId="1866" xr:uid="{00000000-0005-0000-0000-0000A9050000}"/>
    <cellStyle name="40% - 강조색2 4 3 4" xfId="3035" xr:uid="{00000000-0005-0000-0000-0000AA050000}"/>
    <cellStyle name="40% - 강조색2 4 4" xfId="818" xr:uid="{00000000-0005-0000-0000-0000AB050000}"/>
    <cellStyle name="40% - 강조색2 4 4 2" xfId="2122" xr:uid="{00000000-0005-0000-0000-0000AC050000}"/>
    <cellStyle name="40% - 강조색2 4 4 3" xfId="3291" xr:uid="{00000000-0005-0000-0000-0000AD050000}"/>
    <cellStyle name="40% - 강조색2 4 5" xfId="1604" xr:uid="{00000000-0005-0000-0000-0000AE050000}"/>
    <cellStyle name="40% - 강조색2 4 6" xfId="2773" xr:uid="{00000000-0005-0000-0000-0000AF050000}"/>
    <cellStyle name="40% - 강조색2 5" xfId="314" xr:uid="{00000000-0005-0000-0000-0000B0050000}"/>
    <cellStyle name="40% - 강조색2 5 2" xfId="444" xr:uid="{00000000-0005-0000-0000-0000B1050000}"/>
    <cellStyle name="40% - 강조색2 5 2 2" xfId="706" xr:uid="{00000000-0005-0000-0000-0000B2050000}"/>
    <cellStyle name="40% - 강조색2 5 2 2 2" xfId="1224" xr:uid="{00000000-0005-0000-0000-0000B3050000}"/>
    <cellStyle name="40% - 강조색2 5 2 2 2 2" xfId="2528" xr:uid="{00000000-0005-0000-0000-0000B4050000}"/>
    <cellStyle name="40% - 강조색2 5 2 2 2 3" xfId="3697" xr:uid="{00000000-0005-0000-0000-0000B5050000}"/>
    <cellStyle name="40% - 강조색2 5 2 2 3" xfId="2010" xr:uid="{00000000-0005-0000-0000-0000B6050000}"/>
    <cellStyle name="40% - 강조색2 5 2 2 4" xfId="3179" xr:uid="{00000000-0005-0000-0000-0000B7050000}"/>
    <cellStyle name="40% - 강조색2 5 2 3" xfId="962" xr:uid="{00000000-0005-0000-0000-0000B8050000}"/>
    <cellStyle name="40% - 강조색2 5 2 3 2" xfId="2266" xr:uid="{00000000-0005-0000-0000-0000B9050000}"/>
    <cellStyle name="40% - 강조색2 5 2 3 3" xfId="3435" xr:uid="{00000000-0005-0000-0000-0000BA050000}"/>
    <cellStyle name="40% - 강조색2 5 2 4" xfId="1748" xr:uid="{00000000-0005-0000-0000-0000BB050000}"/>
    <cellStyle name="40% - 강조색2 5 2 5" xfId="2917" xr:uid="{00000000-0005-0000-0000-0000BC050000}"/>
    <cellStyle name="40% - 강조색2 5 3" xfId="576" xr:uid="{00000000-0005-0000-0000-0000BD050000}"/>
    <cellStyle name="40% - 강조색2 5 3 2" xfId="1094" xr:uid="{00000000-0005-0000-0000-0000BE050000}"/>
    <cellStyle name="40% - 강조색2 5 3 2 2" xfId="2398" xr:uid="{00000000-0005-0000-0000-0000BF050000}"/>
    <cellStyle name="40% - 강조색2 5 3 2 3" xfId="3567" xr:uid="{00000000-0005-0000-0000-0000C0050000}"/>
    <cellStyle name="40% - 강조색2 5 3 3" xfId="1880" xr:uid="{00000000-0005-0000-0000-0000C1050000}"/>
    <cellStyle name="40% - 강조색2 5 3 4" xfId="3049" xr:uid="{00000000-0005-0000-0000-0000C2050000}"/>
    <cellStyle name="40% - 강조색2 5 4" xfId="832" xr:uid="{00000000-0005-0000-0000-0000C3050000}"/>
    <cellStyle name="40% - 강조색2 5 4 2" xfId="2136" xr:uid="{00000000-0005-0000-0000-0000C4050000}"/>
    <cellStyle name="40% - 강조색2 5 4 3" xfId="3305" xr:uid="{00000000-0005-0000-0000-0000C5050000}"/>
    <cellStyle name="40% - 강조색2 5 5" xfId="1618" xr:uid="{00000000-0005-0000-0000-0000C6050000}"/>
    <cellStyle name="40% - 강조색2 5 6" xfId="2787" xr:uid="{00000000-0005-0000-0000-0000C7050000}"/>
    <cellStyle name="40% - 강조색2 6" xfId="328" xr:uid="{00000000-0005-0000-0000-0000C8050000}"/>
    <cellStyle name="40% - 강조색2 6 2" xfId="458" xr:uid="{00000000-0005-0000-0000-0000C9050000}"/>
    <cellStyle name="40% - 강조색2 6 2 2" xfId="720" xr:uid="{00000000-0005-0000-0000-0000CA050000}"/>
    <cellStyle name="40% - 강조색2 6 2 2 2" xfId="1238" xr:uid="{00000000-0005-0000-0000-0000CB050000}"/>
    <cellStyle name="40% - 강조색2 6 2 2 2 2" xfId="2542" xr:uid="{00000000-0005-0000-0000-0000CC050000}"/>
    <cellStyle name="40% - 강조색2 6 2 2 2 3" xfId="3711" xr:uid="{00000000-0005-0000-0000-0000CD050000}"/>
    <cellStyle name="40% - 강조색2 6 2 2 3" xfId="2024" xr:uid="{00000000-0005-0000-0000-0000CE050000}"/>
    <cellStyle name="40% - 강조색2 6 2 2 4" xfId="3193" xr:uid="{00000000-0005-0000-0000-0000CF050000}"/>
    <cellStyle name="40% - 강조색2 6 2 3" xfId="976" xr:uid="{00000000-0005-0000-0000-0000D0050000}"/>
    <cellStyle name="40% - 강조색2 6 2 3 2" xfId="2280" xr:uid="{00000000-0005-0000-0000-0000D1050000}"/>
    <cellStyle name="40% - 강조색2 6 2 3 3" xfId="3449" xr:uid="{00000000-0005-0000-0000-0000D2050000}"/>
    <cellStyle name="40% - 강조색2 6 2 4" xfId="1762" xr:uid="{00000000-0005-0000-0000-0000D3050000}"/>
    <cellStyle name="40% - 강조색2 6 2 5" xfId="2931" xr:uid="{00000000-0005-0000-0000-0000D4050000}"/>
    <cellStyle name="40% - 강조색2 6 3" xfId="590" xr:uid="{00000000-0005-0000-0000-0000D5050000}"/>
    <cellStyle name="40% - 강조색2 6 3 2" xfId="1108" xr:uid="{00000000-0005-0000-0000-0000D6050000}"/>
    <cellStyle name="40% - 강조색2 6 3 2 2" xfId="2412" xr:uid="{00000000-0005-0000-0000-0000D7050000}"/>
    <cellStyle name="40% - 강조색2 6 3 2 3" xfId="3581" xr:uid="{00000000-0005-0000-0000-0000D8050000}"/>
    <cellStyle name="40% - 강조색2 6 3 3" xfId="1894" xr:uid="{00000000-0005-0000-0000-0000D9050000}"/>
    <cellStyle name="40% - 강조색2 6 3 4" xfId="3063" xr:uid="{00000000-0005-0000-0000-0000DA050000}"/>
    <cellStyle name="40% - 강조색2 6 4" xfId="846" xr:uid="{00000000-0005-0000-0000-0000DB050000}"/>
    <cellStyle name="40% - 강조색2 6 4 2" xfId="2150" xr:uid="{00000000-0005-0000-0000-0000DC050000}"/>
    <cellStyle name="40% - 강조색2 6 4 3" xfId="3319" xr:uid="{00000000-0005-0000-0000-0000DD050000}"/>
    <cellStyle name="40% - 강조색2 6 5" xfId="1632" xr:uid="{00000000-0005-0000-0000-0000DE050000}"/>
    <cellStyle name="40% - 강조색2 6 6" xfId="2801" xr:uid="{00000000-0005-0000-0000-0000DF050000}"/>
    <cellStyle name="40% - 강조색2 7" xfId="342" xr:uid="{00000000-0005-0000-0000-0000E0050000}"/>
    <cellStyle name="40% - 강조색2 7 2" xfId="472" xr:uid="{00000000-0005-0000-0000-0000E1050000}"/>
    <cellStyle name="40% - 강조색2 7 2 2" xfId="734" xr:uid="{00000000-0005-0000-0000-0000E2050000}"/>
    <cellStyle name="40% - 강조색2 7 2 2 2" xfId="1252" xr:uid="{00000000-0005-0000-0000-0000E3050000}"/>
    <cellStyle name="40% - 강조색2 7 2 2 2 2" xfId="2556" xr:uid="{00000000-0005-0000-0000-0000E4050000}"/>
    <cellStyle name="40% - 강조색2 7 2 2 2 3" xfId="3725" xr:uid="{00000000-0005-0000-0000-0000E5050000}"/>
    <cellStyle name="40% - 강조색2 7 2 2 3" xfId="2038" xr:uid="{00000000-0005-0000-0000-0000E6050000}"/>
    <cellStyle name="40% - 강조색2 7 2 2 4" xfId="3207" xr:uid="{00000000-0005-0000-0000-0000E7050000}"/>
    <cellStyle name="40% - 강조색2 7 2 3" xfId="990" xr:uid="{00000000-0005-0000-0000-0000E8050000}"/>
    <cellStyle name="40% - 강조색2 7 2 3 2" xfId="2294" xr:uid="{00000000-0005-0000-0000-0000E9050000}"/>
    <cellStyle name="40% - 강조색2 7 2 3 3" xfId="3463" xr:uid="{00000000-0005-0000-0000-0000EA050000}"/>
    <cellStyle name="40% - 강조색2 7 2 4" xfId="1776" xr:uid="{00000000-0005-0000-0000-0000EB050000}"/>
    <cellStyle name="40% - 강조색2 7 2 5" xfId="2945" xr:uid="{00000000-0005-0000-0000-0000EC050000}"/>
    <cellStyle name="40% - 강조색2 7 3" xfId="604" xr:uid="{00000000-0005-0000-0000-0000ED050000}"/>
    <cellStyle name="40% - 강조색2 7 3 2" xfId="1122" xr:uid="{00000000-0005-0000-0000-0000EE050000}"/>
    <cellStyle name="40% - 강조색2 7 3 2 2" xfId="2426" xr:uid="{00000000-0005-0000-0000-0000EF050000}"/>
    <cellStyle name="40% - 강조색2 7 3 2 3" xfId="3595" xr:uid="{00000000-0005-0000-0000-0000F0050000}"/>
    <cellStyle name="40% - 강조색2 7 3 3" xfId="1908" xr:uid="{00000000-0005-0000-0000-0000F1050000}"/>
    <cellStyle name="40% - 강조색2 7 3 4" xfId="3077" xr:uid="{00000000-0005-0000-0000-0000F2050000}"/>
    <cellStyle name="40% - 강조색2 7 4" xfId="860" xr:uid="{00000000-0005-0000-0000-0000F3050000}"/>
    <cellStyle name="40% - 강조색2 7 4 2" xfId="2164" xr:uid="{00000000-0005-0000-0000-0000F4050000}"/>
    <cellStyle name="40% - 강조색2 7 4 3" xfId="3333" xr:uid="{00000000-0005-0000-0000-0000F5050000}"/>
    <cellStyle name="40% - 강조색2 7 5" xfId="1646" xr:uid="{00000000-0005-0000-0000-0000F6050000}"/>
    <cellStyle name="40% - 강조색2 7 6" xfId="2815" xr:uid="{00000000-0005-0000-0000-0000F7050000}"/>
    <cellStyle name="40% - 강조색2 8" xfId="356" xr:uid="{00000000-0005-0000-0000-0000F8050000}"/>
    <cellStyle name="40% - 강조색2 8 2" xfId="618" xr:uid="{00000000-0005-0000-0000-0000F9050000}"/>
    <cellStyle name="40% - 강조색2 8 2 2" xfId="1136" xr:uid="{00000000-0005-0000-0000-0000FA050000}"/>
    <cellStyle name="40% - 강조색2 8 2 2 2" xfId="2440" xr:uid="{00000000-0005-0000-0000-0000FB050000}"/>
    <cellStyle name="40% - 강조색2 8 2 2 3" xfId="3609" xr:uid="{00000000-0005-0000-0000-0000FC050000}"/>
    <cellStyle name="40% - 강조색2 8 2 3" xfId="1922" xr:uid="{00000000-0005-0000-0000-0000FD050000}"/>
    <cellStyle name="40% - 강조색2 8 2 4" xfId="3091" xr:uid="{00000000-0005-0000-0000-0000FE050000}"/>
    <cellStyle name="40% - 강조색2 8 3" xfId="874" xr:uid="{00000000-0005-0000-0000-0000FF050000}"/>
    <cellStyle name="40% - 강조색2 8 3 2" xfId="2178" xr:uid="{00000000-0005-0000-0000-000000060000}"/>
    <cellStyle name="40% - 강조색2 8 3 3" xfId="3347" xr:uid="{00000000-0005-0000-0000-000001060000}"/>
    <cellStyle name="40% - 강조색2 8 4" xfId="1660" xr:uid="{00000000-0005-0000-0000-000002060000}"/>
    <cellStyle name="40% - 강조색2 8 5" xfId="2829" xr:uid="{00000000-0005-0000-0000-000003060000}"/>
    <cellStyle name="40% - 강조색2 9" xfId="376" xr:uid="{00000000-0005-0000-0000-000004060000}"/>
    <cellStyle name="40% - 강조색2 9 2" xfId="638" xr:uid="{00000000-0005-0000-0000-000005060000}"/>
    <cellStyle name="40% - 강조색2 9 2 2" xfId="1156" xr:uid="{00000000-0005-0000-0000-000006060000}"/>
    <cellStyle name="40% - 강조색2 9 2 2 2" xfId="2460" xr:uid="{00000000-0005-0000-0000-000007060000}"/>
    <cellStyle name="40% - 강조색2 9 2 2 3" xfId="3629" xr:uid="{00000000-0005-0000-0000-000008060000}"/>
    <cellStyle name="40% - 강조색2 9 2 3" xfId="1942" xr:uid="{00000000-0005-0000-0000-000009060000}"/>
    <cellStyle name="40% - 강조색2 9 2 4" xfId="3111" xr:uid="{00000000-0005-0000-0000-00000A060000}"/>
    <cellStyle name="40% - 강조색2 9 3" xfId="894" xr:uid="{00000000-0005-0000-0000-00000B060000}"/>
    <cellStyle name="40% - 강조색2 9 3 2" xfId="2198" xr:uid="{00000000-0005-0000-0000-00000C060000}"/>
    <cellStyle name="40% - 강조색2 9 3 3" xfId="3367" xr:uid="{00000000-0005-0000-0000-00000D060000}"/>
    <cellStyle name="40% - 강조색2 9 4" xfId="1680" xr:uid="{00000000-0005-0000-0000-00000E060000}"/>
    <cellStyle name="40% - 강조색2 9 5" xfId="2849" xr:uid="{00000000-0005-0000-0000-00000F060000}"/>
    <cellStyle name="40% - 강조색3" xfId="9" builtinId="39" customBuiltin="1"/>
    <cellStyle name="40% - 강조색3 10" xfId="488" xr:uid="{00000000-0005-0000-0000-000011060000}"/>
    <cellStyle name="40% - 강조색3 10 2" xfId="750" xr:uid="{00000000-0005-0000-0000-000012060000}"/>
    <cellStyle name="40% - 강조색3 10 2 2" xfId="1268" xr:uid="{00000000-0005-0000-0000-000013060000}"/>
    <cellStyle name="40% - 강조색3 10 2 2 2" xfId="2572" xr:uid="{00000000-0005-0000-0000-000014060000}"/>
    <cellStyle name="40% - 강조색3 10 2 2 3" xfId="3741" xr:uid="{00000000-0005-0000-0000-000015060000}"/>
    <cellStyle name="40% - 강조색3 10 2 3" xfId="2054" xr:uid="{00000000-0005-0000-0000-000016060000}"/>
    <cellStyle name="40% - 강조색3 10 2 4" xfId="3223" xr:uid="{00000000-0005-0000-0000-000017060000}"/>
    <cellStyle name="40% - 강조색3 10 3" xfId="1006" xr:uid="{00000000-0005-0000-0000-000018060000}"/>
    <cellStyle name="40% - 강조색3 10 3 2" xfId="2310" xr:uid="{00000000-0005-0000-0000-000019060000}"/>
    <cellStyle name="40% - 강조색3 10 3 3" xfId="3479" xr:uid="{00000000-0005-0000-0000-00001A060000}"/>
    <cellStyle name="40% - 강조색3 10 4" xfId="1792" xr:uid="{00000000-0005-0000-0000-00001B060000}"/>
    <cellStyle name="40% - 강조색3 10 5" xfId="2961" xr:uid="{00000000-0005-0000-0000-00001C060000}"/>
    <cellStyle name="40% - 강조색3 11" xfId="510" xr:uid="{00000000-0005-0000-0000-00001D060000}"/>
    <cellStyle name="40% - 강조색3 11 2" xfId="1028" xr:uid="{00000000-0005-0000-0000-00001E060000}"/>
    <cellStyle name="40% - 강조색3 11 2 2" xfId="2332" xr:uid="{00000000-0005-0000-0000-00001F060000}"/>
    <cellStyle name="40% - 강조색3 11 2 3" xfId="3501" xr:uid="{00000000-0005-0000-0000-000020060000}"/>
    <cellStyle name="40% - 강조색3 11 3" xfId="1814" xr:uid="{00000000-0005-0000-0000-000021060000}"/>
    <cellStyle name="40% - 강조색3 11 4" xfId="2983" xr:uid="{00000000-0005-0000-0000-000022060000}"/>
    <cellStyle name="40% - 강조색3 12" xfId="762" xr:uid="{00000000-0005-0000-0000-000023060000}"/>
    <cellStyle name="40% - 강조색3 12 2" xfId="2066" xr:uid="{00000000-0005-0000-0000-000024060000}"/>
    <cellStyle name="40% - 강조색3 12 3" xfId="3235" xr:uid="{00000000-0005-0000-0000-000025060000}"/>
    <cellStyle name="40% - 강조색3 13" xfId="218" xr:uid="{00000000-0005-0000-0000-000026060000}"/>
    <cellStyle name="40% - 강조색3 14" xfId="1537" xr:uid="{00000000-0005-0000-0000-000027060000}"/>
    <cellStyle name="40% - 강조색3 15" xfId="2706" xr:uid="{00000000-0005-0000-0000-000028060000}"/>
    <cellStyle name="40% - 강조색3 2" xfId="74" xr:uid="{00000000-0005-0000-0000-000029060000}"/>
    <cellStyle name="40% - 강조색3 2 2" xfId="394" xr:uid="{00000000-0005-0000-0000-00002A060000}"/>
    <cellStyle name="40% - 강조색3 2 2 2" xfId="656" xr:uid="{00000000-0005-0000-0000-00002B060000}"/>
    <cellStyle name="40% - 강조색3 2 2 2 2" xfId="1174" xr:uid="{00000000-0005-0000-0000-00002C060000}"/>
    <cellStyle name="40% - 강조색3 2 2 2 2 2" xfId="2478" xr:uid="{00000000-0005-0000-0000-00002D060000}"/>
    <cellStyle name="40% - 강조색3 2 2 2 2 3" xfId="3647" xr:uid="{00000000-0005-0000-0000-00002E060000}"/>
    <cellStyle name="40% - 강조색3 2 2 2 3" xfId="1960" xr:uid="{00000000-0005-0000-0000-00002F060000}"/>
    <cellStyle name="40% - 강조색3 2 2 2 4" xfId="3129" xr:uid="{00000000-0005-0000-0000-000030060000}"/>
    <cellStyle name="40% - 강조색3 2 2 3" xfId="912" xr:uid="{00000000-0005-0000-0000-000031060000}"/>
    <cellStyle name="40% - 강조색3 2 2 3 2" xfId="2216" xr:uid="{00000000-0005-0000-0000-000032060000}"/>
    <cellStyle name="40% - 강조색3 2 2 3 3" xfId="3385" xr:uid="{00000000-0005-0000-0000-000033060000}"/>
    <cellStyle name="40% - 강조색3 2 2 4" xfId="1698" xr:uid="{00000000-0005-0000-0000-000034060000}"/>
    <cellStyle name="40% - 강조색3 2 2 5" xfId="2867" xr:uid="{00000000-0005-0000-0000-000035060000}"/>
    <cellStyle name="40% - 강조색3 2 3" xfId="526" xr:uid="{00000000-0005-0000-0000-000036060000}"/>
    <cellStyle name="40% - 강조색3 2 3 2" xfId="1044" xr:uid="{00000000-0005-0000-0000-000037060000}"/>
    <cellStyle name="40% - 강조색3 2 3 2 2" xfId="2348" xr:uid="{00000000-0005-0000-0000-000038060000}"/>
    <cellStyle name="40% - 강조색3 2 3 2 3" xfId="3517" xr:uid="{00000000-0005-0000-0000-000039060000}"/>
    <cellStyle name="40% - 강조색3 2 3 3" xfId="1830" xr:uid="{00000000-0005-0000-0000-00003A060000}"/>
    <cellStyle name="40% - 강조색3 2 3 4" xfId="2999" xr:uid="{00000000-0005-0000-0000-00003B060000}"/>
    <cellStyle name="40% - 강조색3 2 4" xfId="782" xr:uid="{00000000-0005-0000-0000-00003C060000}"/>
    <cellStyle name="40% - 강조색3 2 4 2" xfId="2086" xr:uid="{00000000-0005-0000-0000-00003D060000}"/>
    <cellStyle name="40% - 강조색3 2 4 3" xfId="3255" xr:uid="{00000000-0005-0000-0000-00003E060000}"/>
    <cellStyle name="40% - 강조색3 2 5" xfId="263" xr:uid="{00000000-0005-0000-0000-00003F060000}"/>
    <cellStyle name="40% - 강조색3 2 5 2" xfId="1569" xr:uid="{00000000-0005-0000-0000-000040060000}"/>
    <cellStyle name="40% - 강조색3 2 5 3" xfId="2738" xr:uid="{00000000-0005-0000-0000-000041060000}"/>
    <cellStyle name="40% - 강조색3 3" xfId="287" xr:uid="{00000000-0005-0000-0000-000042060000}"/>
    <cellStyle name="40% - 강조색3 3 2" xfId="418" xr:uid="{00000000-0005-0000-0000-000043060000}"/>
    <cellStyle name="40% - 강조색3 3 2 2" xfId="680" xr:uid="{00000000-0005-0000-0000-000044060000}"/>
    <cellStyle name="40% - 강조색3 3 2 2 2" xfId="1198" xr:uid="{00000000-0005-0000-0000-000045060000}"/>
    <cellStyle name="40% - 강조색3 3 2 2 2 2" xfId="2502" xr:uid="{00000000-0005-0000-0000-000046060000}"/>
    <cellStyle name="40% - 강조색3 3 2 2 2 3" xfId="3671" xr:uid="{00000000-0005-0000-0000-000047060000}"/>
    <cellStyle name="40% - 강조색3 3 2 2 3" xfId="1984" xr:uid="{00000000-0005-0000-0000-000048060000}"/>
    <cellStyle name="40% - 강조색3 3 2 2 4" xfId="3153" xr:uid="{00000000-0005-0000-0000-000049060000}"/>
    <cellStyle name="40% - 강조색3 3 2 3" xfId="936" xr:uid="{00000000-0005-0000-0000-00004A060000}"/>
    <cellStyle name="40% - 강조색3 3 2 3 2" xfId="2240" xr:uid="{00000000-0005-0000-0000-00004B060000}"/>
    <cellStyle name="40% - 강조색3 3 2 3 3" xfId="3409" xr:uid="{00000000-0005-0000-0000-00004C060000}"/>
    <cellStyle name="40% - 강조색3 3 2 4" xfId="1722" xr:uid="{00000000-0005-0000-0000-00004D060000}"/>
    <cellStyle name="40% - 강조색3 3 2 5" xfId="2891" xr:uid="{00000000-0005-0000-0000-00004E060000}"/>
    <cellStyle name="40% - 강조색3 3 3" xfId="550" xr:uid="{00000000-0005-0000-0000-00004F060000}"/>
    <cellStyle name="40% - 강조색3 3 3 2" xfId="1068" xr:uid="{00000000-0005-0000-0000-000050060000}"/>
    <cellStyle name="40% - 강조색3 3 3 2 2" xfId="2372" xr:uid="{00000000-0005-0000-0000-000051060000}"/>
    <cellStyle name="40% - 강조색3 3 3 2 3" xfId="3541" xr:uid="{00000000-0005-0000-0000-000052060000}"/>
    <cellStyle name="40% - 강조색3 3 3 3" xfId="1854" xr:uid="{00000000-0005-0000-0000-000053060000}"/>
    <cellStyle name="40% - 강조색3 3 3 4" xfId="3023" xr:uid="{00000000-0005-0000-0000-000054060000}"/>
    <cellStyle name="40% - 강조색3 3 4" xfId="806" xr:uid="{00000000-0005-0000-0000-000055060000}"/>
    <cellStyle name="40% - 강조색3 3 4 2" xfId="2110" xr:uid="{00000000-0005-0000-0000-000056060000}"/>
    <cellStyle name="40% - 강조색3 3 4 3" xfId="3279" xr:uid="{00000000-0005-0000-0000-000057060000}"/>
    <cellStyle name="40% - 강조색3 3 5" xfId="1592" xr:uid="{00000000-0005-0000-0000-000058060000}"/>
    <cellStyle name="40% - 강조색3 3 6" xfId="2761" xr:uid="{00000000-0005-0000-0000-000059060000}"/>
    <cellStyle name="40% - 강조색3 4" xfId="302" xr:uid="{00000000-0005-0000-0000-00005A060000}"/>
    <cellStyle name="40% - 강조색3 4 2" xfId="432" xr:uid="{00000000-0005-0000-0000-00005B060000}"/>
    <cellStyle name="40% - 강조색3 4 2 2" xfId="694" xr:uid="{00000000-0005-0000-0000-00005C060000}"/>
    <cellStyle name="40% - 강조색3 4 2 2 2" xfId="1212" xr:uid="{00000000-0005-0000-0000-00005D060000}"/>
    <cellStyle name="40% - 강조색3 4 2 2 2 2" xfId="2516" xr:uid="{00000000-0005-0000-0000-00005E060000}"/>
    <cellStyle name="40% - 강조색3 4 2 2 2 3" xfId="3685" xr:uid="{00000000-0005-0000-0000-00005F060000}"/>
    <cellStyle name="40% - 강조색3 4 2 2 3" xfId="1998" xr:uid="{00000000-0005-0000-0000-000060060000}"/>
    <cellStyle name="40% - 강조색3 4 2 2 4" xfId="3167" xr:uid="{00000000-0005-0000-0000-000061060000}"/>
    <cellStyle name="40% - 강조색3 4 2 3" xfId="950" xr:uid="{00000000-0005-0000-0000-000062060000}"/>
    <cellStyle name="40% - 강조색3 4 2 3 2" xfId="2254" xr:uid="{00000000-0005-0000-0000-000063060000}"/>
    <cellStyle name="40% - 강조색3 4 2 3 3" xfId="3423" xr:uid="{00000000-0005-0000-0000-000064060000}"/>
    <cellStyle name="40% - 강조색3 4 2 4" xfId="1736" xr:uid="{00000000-0005-0000-0000-000065060000}"/>
    <cellStyle name="40% - 강조색3 4 2 5" xfId="2905" xr:uid="{00000000-0005-0000-0000-000066060000}"/>
    <cellStyle name="40% - 강조색3 4 3" xfId="564" xr:uid="{00000000-0005-0000-0000-000067060000}"/>
    <cellStyle name="40% - 강조색3 4 3 2" xfId="1082" xr:uid="{00000000-0005-0000-0000-000068060000}"/>
    <cellStyle name="40% - 강조색3 4 3 2 2" xfId="2386" xr:uid="{00000000-0005-0000-0000-000069060000}"/>
    <cellStyle name="40% - 강조색3 4 3 2 3" xfId="3555" xr:uid="{00000000-0005-0000-0000-00006A060000}"/>
    <cellStyle name="40% - 강조색3 4 3 3" xfId="1868" xr:uid="{00000000-0005-0000-0000-00006B060000}"/>
    <cellStyle name="40% - 강조색3 4 3 4" xfId="3037" xr:uid="{00000000-0005-0000-0000-00006C060000}"/>
    <cellStyle name="40% - 강조색3 4 4" xfId="820" xr:uid="{00000000-0005-0000-0000-00006D060000}"/>
    <cellStyle name="40% - 강조색3 4 4 2" xfId="2124" xr:uid="{00000000-0005-0000-0000-00006E060000}"/>
    <cellStyle name="40% - 강조색3 4 4 3" xfId="3293" xr:uid="{00000000-0005-0000-0000-00006F060000}"/>
    <cellStyle name="40% - 강조색3 4 5" xfId="1606" xr:uid="{00000000-0005-0000-0000-000070060000}"/>
    <cellStyle name="40% - 강조색3 4 6" xfId="2775" xr:uid="{00000000-0005-0000-0000-000071060000}"/>
    <cellStyle name="40% - 강조색3 5" xfId="316" xr:uid="{00000000-0005-0000-0000-000072060000}"/>
    <cellStyle name="40% - 강조색3 5 2" xfId="446" xr:uid="{00000000-0005-0000-0000-000073060000}"/>
    <cellStyle name="40% - 강조색3 5 2 2" xfId="708" xr:uid="{00000000-0005-0000-0000-000074060000}"/>
    <cellStyle name="40% - 강조색3 5 2 2 2" xfId="1226" xr:uid="{00000000-0005-0000-0000-000075060000}"/>
    <cellStyle name="40% - 강조색3 5 2 2 2 2" xfId="2530" xr:uid="{00000000-0005-0000-0000-000076060000}"/>
    <cellStyle name="40% - 강조색3 5 2 2 2 3" xfId="3699" xr:uid="{00000000-0005-0000-0000-000077060000}"/>
    <cellStyle name="40% - 강조색3 5 2 2 3" xfId="2012" xr:uid="{00000000-0005-0000-0000-000078060000}"/>
    <cellStyle name="40% - 강조색3 5 2 2 4" xfId="3181" xr:uid="{00000000-0005-0000-0000-000079060000}"/>
    <cellStyle name="40% - 강조색3 5 2 3" xfId="964" xr:uid="{00000000-0005-0000-0000-00007A060000}"/>
    <cellStyle name="40% - 강조색3 5 2 3 2" xfId="2268" xr:uid="{00000000-0005-0000-0000-00007B060000}"/>
    <cellStyle name="40% - 강조색3 5 2 3 3" xfId="3437" xr:uid="{00000000-0005-0000-0000-00007C060000}"/>
    <cellStyle name="40% - 강조색3 5 2 4" xfId="1750" xr:uid="{00000000-0005-0000-0000-00007D060000}"/>
    <cellStyle name="40% - 강조색3 5 2 5" xfId="2919" xr:uid="{00000000-0005-0000-0000-00007E060000}"/>
    <cellStyle name="40% - 강조색3 5 3" xfId="578" xr:uid="{00000000-0005-0000-0000-00007F060000}"/>
    <cellStyle name="40% - 강조색3 5 3 2" xfId="1096" xr:uid="{00000000-0005-0000-0000-000080060000}"/>
    <cellStyle name="40% - 강조색3 5 3 2 2" xfId="2400" xr:uid="{00000000-0005-0000-0000-000081060000}"/>
    <cellStyle name="40% - 강조색3 5 3 2 3" xfId="3569" xr:uid="{00000000-0005-0000-0000-000082060000}"/>
    <cellStyle name="40% - 강조색3 5 3 3" xfId="1882" xr:uid="{00000000-0005-0000-0000-000083060000}"/>
    <cellStyle name="40% - 강조색3 5 3 4" xfId="3051" xr:uid="{00000000-0005-0000-0000-000084060000}"/>
    <cellStyle name="40% - 강조색3 5 4" xfId="834" xr:uid="{00000000-0005-0000-0000-000085060000}"/>
    <cellStyle name="40% - 강조색3 5 4 2" xfId="2138" xr:uid="{00000000-0005-0000-0000-000086060000}"/>
    <cellStyle name="40% - 강조색3 5 4 3" xfId="3307" xr:uid="{00000000-0005-0000-0000-000087060000}"/>
    <cellStyle name="40% - 강조색3 5 5" xfId="1620" xr:uid="{00000000-0005-0000-0000-000088060000}"/>
    <cellStyle name="40% - 강조색3 5 6" xfId="2789" xr:uid="{00000000-0005-0000-0000-000089060000}"/>
    <cellStyle name="40% - 강조색3 6" xfId="330" xr:uid="{00000000-0005-0000-0000-00008A060000}"/>
    <cellStyle name="40% - 강조색3 6 2" xfId="460" xr:uid="{00000000-0005-0000-0000-00008B060000}"/>
    <cellStyle name="40% - 강조색3 6 2 2" xfId="722" xr:uid="{00000000-0005-0000-0000-00008C060000}"/>
    <cellStyle name="40% - 강조색3 6 2 2 2" xfId="1240" xr:uid="{00000000-0005-0000-0000-00008D060000}"/>
    <cellStyle name="40% - 강조색3 6 2 2 2 2" xfId="2544" xr:uid="{00000000-0005-0000-0000-00008E060000}"/>
    <cellStyle name="40% - 강조색3 6 2 2 2 3" xfId="3713" xr:uid="{00000000-0005-0000-0000-00008F060000}"/>
    <cellStyle name="40% - 강조색3 6 2 2 3" xfId="2026" xr:uid="{00000000-0005-0000-0000-000090060000}"/>
    <cellStyle name="40% - 강조색3 6 2 2 4" xfId="3195" xr:uid="{00000000-0005-0000-0000-000091060000}"/>
    <cellStyle name="40% - 강조색3 6 2 3" xfId="978" xr:uid="{00000000-0005-0000-0000-000092060000}"/>
    <cellStyle name="40% - 강조색3 6 2 3 2" xfId="2282" xr:uid="{00000000-0005-0000-0000-000093060000}"/>
    <cellStyle name="40% - 강조색3 6 2 3 3" xfId="3451" xr:uid="{00000000-0005-0000-0000-000094060000}"/>
    <cellStyle name="40% - 강조색3 6 2 4" xfId="1764" xr:uid="{00000000-0005-0000-0000-000095060000}"/>
    <cellStyle name="40% - 강조색3 6 2 5" xfId="2933" xr:uid="{00000000-0005-0000-0000-000096060000}"/>
    <cellStyle name="40% - 강조색3 6 3" xfId="592" xr:uid="{00000000-0005-0000-0000-000097060000}"/>
    <cellStyle name="40% - 강조색3 6 3 2" xfId="1110" xr:uid="{00000000-0005-0000-0000-000098060000}"/>
    <cellStyle name="40% - 강조색3 6 3 2 2" xfId="2414" xr:uid="{00000000-0005-0000-0000-000099060000}"/>
    <cellStyle name="40% - 강조색3 6 3 2 3" xfId="3583" xr:uid="{00000000-0005-0000-0000-00009A060000}"/>
    <cellStyle name="40% - 강조색3 6 3 3" xfId="1896" xr:uid="{00000000-0005-0000-0000-00009B060000}"/>
    <cellStyle name="40% - 강조색3 6 3 4" xfId="3065" xr:uid="{00000000-0005-0000-0000-00009C060000}"/>
    <cellStyle name="40% - 강조색3 6 4" xfId="848" xr:uid="{00000000-0005-0000-0000-00009D060000}"/>
    <cellStyle name="40% - 강조색3 6 4 2" xfId="2152" xr:uid="{00000000-0005-0000-0000-00009E060000}"/>
    <cellStyle name="40% - 강조색3 6 4 3" xfId="3321" xr:uid="{00000000-0005-0000-0000-00009F060000}"/>
    <cellStyle name="40% - 강조색3 6 5" xfId="1634" xr:uid="{00000000-0005-0000-0000-0000A0060000}"/>
    <cellStyle name="40% - 강조색3 6 6" xfId="2803" xr:uid="{00000000-0005-0000-0000-0000A1060000}"/>
    <cellStyle name="40% - 강조색3 7" xfId="344" xr:uid="{00000000-0005-0000-0000-0000A2060000}"/>
    <cellStyle name="40% - 강조색3 7 2" xfId="474" xr:uid="{00000000-0005-0000-0000-0000A3060000}"/>
    <cellStyle name="40% - 강조색3 7 2 2" xfId="736" xr:uid="{00000000-0005-0000-0000-0000A4060000}"/>
    <cellStyle name="40% - 강조색3 7 2 2 2" xfId="1254" xr:uid="{00000000-0005-0000-0000-0000A5060000}"/>
    <cellStyle name="40% - 강조색3 7 2 2 2 2" xfId="2558" xr:uid="{00000000-0005-0000-0000-0000A6060000}"/>
    <cellStyle name="40% - 강조색3 7 2 2 2 3" xfId="3727" xr:uid="{00000000-0005-0000-0000-0000A7060000}"/>
    <cellStyle name="40% - 강조색3 7 2 2 3" xfId="2040" xr:uid="{00000000-0005-0000-0000-0000A8060000}"/>
    <cellStyle name="40% - 강조색3 7 2 2 4" xfId="3209" xr:uid="{00000000-0005-0000-0000-0000A9060000}"/>
    <cellStyle name="40% - 강조색3 7 2 3" xfId="992" xr:uid="{00000000-0005-0000-0000-0000AA060000}"/>
    <cellStyle name="40% - 강조색3 7 2 3 2" xfId="2296" xr:uid="{00000000-0005-0000-0000-0000AB060000}"/>
    <cellStyle name="40% - 강조색3 7 2 3 3" xfId="3465" xr:uid="{00000000-0005-0000-0000-0000AC060000}"/>
    <cellStyle name="40% - 강조색3 7 2 4" xfId="1778" xr:uid="{00000000-0005-0000-0000-0000AD060000}"/>
    <cellStyle name="40% - 강조색3 7 2 5" xfId="2947" xr:uid="{00000000-0005-0000-0000-0000AE060000}"/>
    <cellStyle name="40% - 강조색3 7 3" xfId="606" xr:uid="{00000000-0005-0000-0000-0000AF060000}"/>
    <cellStyle name="40% - 강조색3 7 3 2" xfId="1124" xr:uid="{00000000-0005-0000-0000-0000B0060000}"/>
    <cellStyle name="40% - 강조색3 7 3 2 2" xfId="2428" xr:uid="{00000000-0005-0000-0000-0000B1060000}"/>
    <cellStyle name="40% - 강조색3 7 3 2 3" xfId="3597" xr:uid="{00000000-0005-0000-0000-0000B2060000}"/>
    <cellStyle name="40% - 강조색3 7 3 3" xfId="1910" xr:uid="{00000000-0005-0000-0000-0000B3060000}"/>
    <cellStyle name="40% - 강조색3 7 3 4" xfId="3079" xr:uid="{00000000-0005-0000-0000-0000B4060000}"/>
    <cellStyle name="40% - 강조색3 7 4" xfId="862" xr:uid="{00000000-0005-0000-0000-0000B5060000}"/>
    <cellStyle name="40% - 강조색3 7 4 2" xfId="2166" xr:uid="{00000000-0005-0000-0000-0000B6060000}"/>
    <cellStyle name="40% - 강조색3 7 4 3" xfId="3335" xr:uid="{00000000-0005-0000-0000-0000B7060000}"/>
    <cellStyle name="40% - 강조색3 7 5" xfId="1648" xr:uid="{00000000-0005-0000-0000-0000B8060000}"/>
    <cellStyle name="40% - 강조색3 7 6" xfId="2817" xr:uid="{00000000-0005-0000-0000-0000B9060000}"/>
    <cellStyle name="40% - 강조색3 8" xfId="358" xr:uid="{00000000-0005-0000-0000-0000BA060000}"/>
    <cellStyle name="40% - 강조색3 8 2" xfId="620" xr:uid="{00000000-0005-0000-0000-0000BB060000}"/>
    <cellStyle name="40% - 강조색3 8 2 2" xfId="1138" xr:uid="{00000000-0005-0000-0000-0000BC060000}"/>
    <cellStyle name="40% - 강조색3 8 2 2 2" xfId="2442" xr:uid="{00000000-0005-0000-0000-0000BD060000}"/>
    <cellStyle name="40% - 강조색3 8 2 2 3" xfId="3611" xr:uid="{00000000-0005-0000-0000-0000BE060000}"/>
    <cellStyle name="40% - 강조색3 8 2 3" xfId="1924" xr:uid="{00000000-0005-0000-0000-0000BF060000}"/>
    <cellStyle name="40% - 강조색3 8 2 4" xfId="3093" xr:uid="{00000000-0005-0000-0000-0000C0060000}"/>
    <cellStyle name="40% - 강조색3 8 3" xfId="876" xr:uid="{00000000-0005-0000-0000-0000C1060000}"/>
    <cellStyle name="40% - 강조색3 8 3 2" xfId="2180" xr:uid="{00000000-0005-0000-0000-0000C2060000}"/>
    <cellStyle name="40% - 강조색3 8 3 3" xfId="3349" xr:uid="{00000000-0005-0000-0000-0000C3060000}"/>
    <cellStyle name="40% - 강조색3 8 4" xfId="1662" xr:uid="{00000000-0005-0000-0000-0000C4060000}"/>
    <cellStyle name="40% - 강조색3 8 5" xfId="2831" xr:uid="{00000000-0005-0000-0000-0000C5060000}"/>
    <cellStyle name="40% - 강조색3 9" xfId="378" xr:uid="{00000000-0005-0000-0000-0000C6060000}"/>
    <cellStyle name="40% - 강조색3 9 2" xfId="640" xr:uid="{00000000-0005-0000-0000-0000C7060000}"/>
    <cellStyle name="40% - 강조색3 9 2 2" xfId="1158" xr:uid="{00000000-0005-0000-0000-0000C8060000}"/>
    <cellStyle name="40% - 강조색3 9 2 2 2" xfId="2462" xr:uid="{00000000-0005-0000-0000-0000C9060000}"/>
    <cellStyle name="40% - 강조색3 9 2 2 3" xfId="3631" xr:uid="{00000000-0005-0000-0000-0000CA060000}"/>
    <cellStyle name="40% - 강조색3 9 2 3" xfId="1944" xr:uid="{00000000-0005-0000-0000-0000CB060000}"/>
    <cellStyle name="40% - 강조색3 9 2 4" xfId="3113" xr:uid="{00000000-0005-0000-0000-0000CC060000}"/>
    <cellStyle name="40% - 강조색3 9 3" xfId="896" xr:uid="{00000000-0005-0000-0000-0000CD060000}"/>
    <cellStyle name="40% - 강조색3 9 3 2" xfId="2200" xr:uid="{00000000-0005-0000-0000-0000CE060000}"/>
    <cellStyle name="40% - 강조색3 9 3 3" xfId="3369" xr:uid="{00000000-0005-0000-0000-0000CF060000}"/>
    <cellStyle name="40% - 강조색3 9 4" xfId="1682" xr:uid="{00000000-0005-0000-0000-0000D0060000}"/>
    <cellStyle name="40% - 강조색3 9 5" xfId="2851" xr:uid="{00000000-0005-0000-0000-0000D1060000}"/>
    <cellStyle name="40% - 강조색4" xfId="10" builtinId="43" customBuiltin="1"/>
    <cellStyle name="40% - 강조색4 10" xfId="490" xr:uid="{00000000-0005-0000-0000-0000D3060000}"/>
    <cellStyle name="40% - 강조색4 10 2" xfId="752" xr:uid="{00000000-0005-0000-0000-0000D4060000}"/>
    <cellStyle name="40% - 강조색4 10 2 2" xfId="1270" xr:uid="{00000000-0005-0000-0000-0000D5060000}"/>
    <cellStyle name="40% - 강조색4 10 2 2 2" xfId="2574" xr:uid="{00000000-0005-0000-0000-0000D6060000}"/>
    <cellStyle name="40% - 강조색4 10 2 2 3" xfId="3743" xr:uid="{00000000-0005-0000-0000-0000D7060000}"/>
    <cellStyle name="40% - 강조색4 10 2 3" xfId="2056" xr:uid="{00000000-0005-0000-0000-0000D8060000}"/>
    <cellStyle name="40% - 강조색4 10 2 4" xfId="3225" xr:uid="{00000000-0005-0000-0000-0000D9060000}"/>
    <cellStyle name="40% - 강조색4 10 3" xfId="1008" xr:uid="{00000000-0005-0000-0000-0000DA060000}"/>
    <cellStyle name="40% - 강조색4 10 3 2" xfId="2312" xr:uid="{00000000-0005-0000-0000-0000DB060000}"/>
    <cellStyle name="40% - 강조색4 10 3 3" xfId="3481" xr:uid="{00000000-0005-0000-0000-0000DC060000}"/>
    <cellStyle name="40% - 강조색4 10 4" xfId="1794" xr:uid="{00000000-0005-0000-0000-0000DD060000}"/>
    <cellStyle name="40% - 강조색4 10 5" xfId="2963" xr:uid="{00000000-0005-0000-0000-0000DE060000}"/>
    <cellStyle name="40% - 강조색4 11" xfId="512" xr:uid="{00000000-0005-0000-0000-0000DF060000}"/>
    <cellStyle name="40% - 강조색4 11 2" xfId="1030" xr:uid="{00000000-0005-0000-0000-0000E0060000}"/>
    <cellStyle name="40% - 강조색4 11 2 2" xfId="2334" xr:uid="{00000000-0005-0000-0000-0000E1060000}"/>
    <cellStyle name="40% - 강조색4 11 2 3" xfId="3503" xr:uid="{00000000-0005-0000-0000-0000E2060000}"/>
    <cellStyle name="40% - 강조색4 11 3" xfId="1816" xr:uid="{00000000-0005-0000-0000-0000E3060000}"/>
    <cellStyle name="40% - 강조색4 11 4" xfId="2985" xr:uid="{00000000-0005-0000-0000-0000E4060000}"/>
    <cellStyle name="40% - 강조색4 12" xfId="764" xr:uid="{00000000-0005-0000-0000-0000E5060000}"/>
    <cellStyle name="40% - 강조색4 12 2" xfId="2068" xr:uid="{00000000-0005-0000-0000-0000E6060000}"/>
    <cellStyle name="40% - 강조색4 12 3" xfId="3237" xr:uid="{00000000-0005-0000-0000-0000E7060000}"/>
    <cellStyle name="40% - 강조색4 13" xfId="222" xr:uid="{00000000-0005-0000-0000-0000E8060000}"/>
    <cellStyle name="40% - 강조색4 14" xfId="1539" xr:uid="{00000000-0005-0000-0000-0000E9060000}"/>
    <cellStyle name="40% - 강조색4 15" xfId="2708" xr:uid="{00000000-0005-0000-0000-0000EA060000}"/>
    <cellStyle name="40% - 강조색4 2" xfId="75" xr:uid="{00000000-0005-0000-0000-0000EB060000}"/>
    <cellStyle name="40% - 강조색4 2 2" xfId="396" xr:uid="{00000000-0005-0000-0000-0000EC060000}"/>
    <cellStyle name="40% - 강조색4 2 2 2" xfId="658" xr:uid="{00000000-0005-0000-0000-0000ED060000}"/>
    <cellStyle name="40% - 강조색4 2 2 2 2" xfId="1176" xr:uid="{00000000-0005-0000-0000-0000EE060000}"/>
    <cellStyle name="40% - 강조색4 2 2 2 2 2" xfId="2480" xr:uid="{00000000-0005-0000-0000-0000EF060000}"/>
    <cellStyle name="40% - 강조색4 2 2 2 2 3" xfId="3649" xr:uid="{00000000-0005-0000-0000-0000F0060000}"/>
    <cellStyle name="40% - 강조색4 2 2 2 3" xfId="1962" xr:uid="{00000000-0005-0000-0000-0000F1060000}"/>
    <cellStyle name="40% - 강조색4 2 2 2 4" xfId="3131" xr:uid="{00000000-0005-0000-0000-0000F2060000}"/>
    <cellStyle name="40% - 강조색4 2 2 3" xfId="914" xr:uid="{00000000-0005-0000-0000-0000F3060000}"/>
    <cellStyle name="40% - 강조색4 2 2 3 2" xfId="2218" xr:uid="{00000000-0005-0000-0000-0000F4060000}"/>
    <cellStyle name="40% - 강조색4 2 2 3 3" xfId="3387" xr:uid="{00000000-0005-0000-0000-0000F5060000}"/>
    <cellStyle name="40% - 강조색4 2 2 4" xfId="1700" xr:uid="{00000000-0005-0000-0000-0000F6060000}"/>
    <cellStyle name="40% - 강조색4 2 2 5" xfId="2869" xr:uid="{00000000-0005-0000-0000-0000F7060000}"/>
    <cellStyle name="40% - 강조색4 2 3" xfId="528" xr:uid="{00000000-0005-0000-0000-0000F8060000}"/>
    <cellStyle name="40% - 강조색4 2 3 2" xfId="1046" xr:uid="{00000000-0005-0000-0000-0000F9060000}"/>
    <cellStyle name="40% - 강조색4 2 3 2 2" xfId="2350" xr:uid="{00000000-0005-0000-0000-0000FA060000}"/>
    <cellStyle name="40% - 강조색4 2 3 2 3" xfId="3519" xr:uid="{00000000-0005-0000-0000-0000FB060000}"/>
    <cellStyle name="40% - 강조색4 2 3 3" xfId="1832" xr:uid="{00000000-0005-0000-0000-0000FC060000}"/>
    <cellStyle name="40% - 강조색4 2 3 4" xfId="3001" xr:uid="{00000000-0005-0000-0000-0000FD060000}"/>
    <cellStyle name="40% - 강조색4 2 4" xfId="784" xr:uid="{00000000-0005-0000-0000-0000FE060000}"/>
    <cellStyle name="40% - 강조색4 2 4 2" xfId="2088" xr:uid="{00000000-0005-0000-0000-0000FF060000}"/>
    <cellStyle name="40% - 강조색4 2 4 3" xfId="3257" xr:uid="{00000000-0005-0000-0000-000000070000}"/>
    <cellStyle name="40% - 강조색4 2 5" xfId="265" xr:uid="{00000000-0005-0000-0000-000001070000}"/>
    <cellStyle name="40% - 강조색4 2 5 2" xfId="1571" xr:uid="{00000000-0005-0000-0000-000002070000}"/>
    <cellStyle name="40% - 강조색4 2 5 3" xfId="2740" xr:uid="{00000000-0005-0000-0000-000003070000}"/>
    <cellStyle name="40% - 강조색4 3" xfId="289" xr:uid="{00000000-0005-0000-0000-000004070000}"/>
    <cellStyle name="40% - 강조색4 3 2" xfId="420" xr:uid="{00000000-0005-0000-0000-000005070000}"/>
    <cellStyle name="40% - 강조색4 3 2 2" xfId="682" xr:uid="{00000000-0005-0000-0000-000006070000}"/>
    <cellStyle name="40% - 강조색4 3 2 2 2" xfId="1200" xr:uid="{00000000-0005-0000-0000-000007070000}"/>
    <cellStyle name="40% - 강조색4 3 2 2 2 2" xfId="2504" xr:uid="{00000000-0005-0000-0000-000008070000}"/>
    <cellStyle name="40% - 강조색4 3 2 2 2 3" xfId="3673" xr:uid="{00000000-0005-0000-0000-000009070000}"/>
    <cellStyle name="40% - 강조색4 3 2 2 3" xfId="1986" xr:uid="{00000000-0005-0000-0000-00000A070000}"/>
    <cellStyle name="40% - 강조색4 3 2 2 4" xfId="3155" xr:uid="{00000000-0005-0000-0000-00000B070000}"/>
    <cellStyle name="40% - 강조색4 3 2 3" xfId="938" xr:uid="{00000000-0005-0000-0000-00000C070000}"/>
    <cellStyle name="40% - 강조색4 3 2 3 2" xfId="2242" xr:uid="{00000000-0005-0000-0000-00000D070000}"/>
    <cellStyle name="40% - 강조색4 3 2 3 3" xfId="3411" xr:uid="{00000000-0005-0000-0000-00000E070000}"/>
    <cellStyle name="40% - 강조색4 3 2 4" xfId="1724" xr:uid="{00000000-0005-0000-0000-00000F070000}"/>
    <cellStyle name="40% - 강조색4 3 2 5" xfId="2893" xr:uid="{00000000-0005-0000-0000-000010070000}"/>
    <cellStyle name="40% - 강조색4 3 3" xfId="552" xr:uid="{00000000-0005-0000-0000-000011070000}"/>
    <cellStyle name="40% - 강조색4 3 3 2" xfId="1070" xr:uid="{00000000-0005-0000-0000-000012070000}"/>
    <cellStyle name="40% - 강조색4 3 3 2 2" xfId="2374" xr:uid="{00000000-0005-0000-0000-000013070000}"/>
    <cellStyle name="40% - 강조색4 3 3 2 3" xfId="3543" xr:uid="{00000000-0005-0000-0000-000014070000}"/>
    <cellStyle name="40% - 강조색4 3 3 3" xfId="1856" xr:uid="{00000000-0005-0000-0000-000015070000}"/>
    <cellStyle name="40% - 강조색4 3 3 4" xfId="3025" xr:uid="{00000000-0005-0000-0000-000016070000}"/>
    <cellStyle name="40% - 강조색4 3 4" xfId="808" xr:uid="{00000000-0005-0000-0000-000017070000}"/>
    <cellStyle name="40% - 강조색4 3 4 2" xfId="2112" xr:uid="{00000000-0005-0000-0000-000018070000}"/>
    <cellStyle name="40% - 강조색4 3 4 3" xfId="3281" xr:uid="{00000000-0005-0000-0000-000019070000}"/>
    <cellStyle name="40% - 강조색4 3 5" xfId="1594" xr:uid="{00000000-0005-0000-0000-00001A070000}"/>
    <cellStyle name="40% - 강조색4 3 6" xfId="2763" xr:uid="{00000000-0005-0000-0000-00001B070000}"/>
    <cellStyle name="40% - 강조색4 4" xfId="304" xr:uid="{00000000-0005-0000-0000-00001C070000}"/>
    <cellStyle name="40% - 강조색4 4 2" xfId="434" xr:uid="{00000000-0005-0000-0000-00001D070000}"/>
    <cellStyle name="40% - 강조색4 4 2 2" xfId="696" xr:uid="{00000000-0005-0000-0000-00001E070000}"/>
    <cellStyle name="40% - 강조색4 4 2 2 2" xfId="1214" xr:uid="{00000000-0005-0000-0000-00001F070000}"/>
    <cellStyle name="40% - 강조색4 4 2 2 2 2" xfId="2518" xr:uid="{00000000-0005-0000-0000-000020070000}"/>
    <cellStyle name="40% - 강조색4 4 2 2 2 3" xfId="3687" xr:uid="{00000000-0005-0000-0000-000021070000}"/>
    <cellStyle name="40% - 강조색4 4 2 2 3" xfId="2000" xr:uid="{00000000-0005-0000-0000-000022070000}"/>
    <cellStyle name="40% - 강조색4 4 2 2 4" xfId="3169" xr:uid="{00000000-0005-0000-0000-000023070000}"/>
    <cellStyle name="40% - 강조색4 4 2 3" xfId="952" xr:uid="{00000000-0005-0000-0000-000024070000}"/>
    <cellStyle name="40% - 강조색4 4 2 3 2" xfId="2256" xr:uid="{00000000-0005-0000-0000-000025070000}"/>
    <cellStyle name="40% - 강조색4 4 2 3 3" xfId="3425" xr:uid="{00000000-0005-0000-0000-000026070000}"/>
    <cellStyle name="40% - 강조색4 4 2 4" xfId="1738" xr:uid="{00000000-0005-0000-0000-000027070000}"/>
    <cellStyle name="40% - 강조색4 4 2 5" xfId="2907" xr:uid="{00000000-0005-0000-0000-000028070000}"/>
    <cellStyle name="40% - 강조색4 4 3" xfId="566" xr:uid="{00000000-0005-0000-0000-000029070000}"/>
    <cellStyle name="40% - 강조색4 4 3 2" xfId="1084" xr:uid="{00000000-0005-0000-0000-00002A070000}"/>
    <cellStyle name="40% - 강조색4 4 3 2 2" xfId="2388" xr:uid="{00000000-0005-0000-0000-00002B070000}"/>
    <cellStyle name="40% - 강조색4 4 3 2 3" xfId="3557" xr:uid="{00000000-0005-0000-0000-00002C070000}"/>
    <cellStyle name="40% - 강조색4 4 3 3" xfId="1870" xr:uid="{00000000-0005-0000-0000-00002D070000}"/>
    <cellStyle name="40% - 강조색4 4 3 4" xfId="3039" xr:uid="{00000000-0005-0000-0000-00002E070000}"/>
    <cellStyle name="40% - 강조색4 4 4" xfId="822" xr:uid="{00000000-0005-0000-0000-00002F070000}"/>
    <cellStyle name="40% - 강조색4 4 4 2" xfId="2126" xr:uid="{00000000-0005-0000-0000-000030070000}"/>
    <cellStyle name="40% - 강조색4 4 4 3" xfId="3295" xr:uid="{00000000-0005-0000-0000-000031070000}"/>
    <cellStyle name="40% - 강조색4 4 5" xfId="1608" xr:uid="{00000000-0005-0000-0000-000032070000}"/>
    <cellStyle name="40% - 강조색4 4 6" xfId="2777" xr:uid="{00000000-0005-0000-0000-000033070000}"/>
    <cellStyle name="40% - 강조색4 5" xfId="318" xr:uid="{00000000-0005-0000-0000-000034070000}"/>
    <cellStyle name="40% - 강조색4 5 2" xfId="448" xr:uid="{00000000-0005-0000-0000-000035070000}"/>
    <cellStyle name="40% - 강조색4 5 2 2" xfId="710" xr:uid="{00000000-0005-0000-0000-000036070000}"/>
    <cellStyle name="40% - 강조색4 5 2 2 2" xfId="1228" xr:uid="{00000000-0005-0000-0000-000037070000}"/>
    <cellStyle name="40% - 강조색4 5 2 2 2 2" xfId="2532" xr:uid="{00000000-0005-0000-0000-000038070000}"/>
    <cellStyle name="40% - 강조색4 5 2 2 2 3" xfId="3701" xr:uid="{00000000-0005-0000-0000-000039070000}"/>
    <cellStyle name="40% - 강조색4 5 2 2 3" xfId="2014" xr:uid="{00000000-0005-0000-0000-00003A070000}"/>
    <cellStyle name="40% - 강조색4 5 2 2 4" xfId="3183" xr:uid="{00000000-0005-0000-0000-00003B070000}"/>
    <cellStyle name="40% - 강조색4 5 2 3" xfId="966" xr:uid="{00000000-0005-0000-0000-00003C070000}"/>
    <cellStyle name="40% - 강조색4 5 2 3 2" xfId="2270" xr:uid="{00000000-0005-0000-0000-00003D070000}"/>
    <cellStyle name="40% - 강조색4 5 2 3 3" xfId="3439" xr:uid="{00000000-0005-0000-0000-00003E070000}"/>
    <cellStyle name="40% - 강조색4 5 2 4" xfId="1752" xr:uid="{00000000-0005-0000-0000-00003F070000}"/>
    <cellStyle name="40% - 강조색4 5 2 5" xfId="2921" xr:uid="{00000000-0005-0000-0000-000040070000}"/>
    <cellStyle name="40% - 강조색4 5 3" xfId="580" xr:uid="{00000000-0005-0000-0000-000041070000}"/>
    <cellStyle name="40% - 강조색4 5 3 2" xfId="1098" xr:uid="{00000000-0005-0000-0000-000042070000}"/>
    <cellStyle name="40% - 강조색4 5 3 2 2" xfId="2402" xr:uid="{00000000-0005-0000-0000-000043070000}"/>
    <cellStyle name="40% - 강조색4 5 3 2 3" xfId="3571" xr:uid="{00000000-0005-0000-0000-000044070000}"/>
    <cellStyle name="40% - 강조색4 5 3 3" xfId="1884" xr:uid="{00000000-0005-0000-0000-000045070000}"/>
    <cellStyle name="40% - 강조색4 5 3 4" xfId="3053" xr:uid="{00000000-0005-0000-0000-000046070000}"/>
    <cellStyle name="40% - 강조색4 5 4" xfId="836" xr:uid="{00000000-0005-0000-0000-000047070000}"/>
    <cellStyle name="40% - 강조색4 5 4 2" xfId="2140" xr:uid="{00000000-0005-0000-0000-000048070000}"/>
    <cellStyle name="40% - 강조색4 5 4 3" xfId="3309" xr:uid="{00000000-0005-0000-0000-000049070000}"/>
    <cellStyle name="40% - 강조색4 5 5" xfId="1622" xr:uid="{00000000-0005-0000-0000-00004A070000}"/>
    <cellStyle name="40% - 강조색4 5 6" xfId="2791" xr:uid="{00000000-0005-0000-0000-00004B070000}"/>
    <cellStyle name="40% - 강조색4 6" xfId="332" xr:uid="{00000000-0005-0000-0000-00004C070000}"/>
    <cellStyle name="40% - 강조색4 6 2" xfId="462" xr:uid="{00000000-0005-0000-0000-00004D070000}"/>
    <cellStyle name="40% - 강조색4 6 2 2" xfId="724" xr:uid="{00000000-0005-0000-0000-00004E070000}"/>
    <cellStyle name="40% - 강조색4 6 2 2 2" xfId="1242" xr:uid="{00000000-0005-0000-0000-00004F070000}"/>
    <cellStyle name="40% - 강조색4 6 2 2 2 2" xfId="2546" xr:uid="{00000000-0005-0000-0000-000050070000}"/>
    <cellStyle name="40% - 강조색4 6 2 2 2 3" xfId="3715" xr:uid="{00000000-0005-0000-0000-000051070000}"/>
    <cellStyle name="40% - 강조색4 6 2 2 3" xfId="2028" xr:uid="{00000000-0005-0000-0000-000052070000}"/>
    <cellStyle name="40% - 강조색4 6 2 2 4" xfId="3197" xr:uid="{00000000-0005-0000-0000-000053070000}"/>
    <cellStyle name="40% - 강조색4 6 2 3" xfId="980" xr:uid="{00000000-0005-0000-0000-000054070000}"/>
    <cellStyle name="40% - 강조색4 6 2 3 2" xfId="2284" xr:uid="{00000000-0005-0000-0000-000055070000}"/>
    <cellStyle name="40% - 강조색4 6 2 3 3" xfId="3453" xr:uid="{00000000-0005-0000-0000-000056070000}"/>
    <cellStyle name="40% - 강조색4 6 2 4" xfId="1766" xr:uid="{00000000-0005-0000-0000-000057070000}"/>
    <cellStyle name="40% - 강조색4 6 2 5" xfId="2935" xr:uid="{00000000-0005-0000-0000-000058070000}"/>
    <cellStyle name="40% - 강조색4 6 3" xfId="594" xr:uid="{00000000-0005-0000-0000-000059070000}"/>
    <cellStyle name="40% - 강조색4 6 3 2" xfId="1112" xr:uid="{00000000-0005-0000-0000-00005A070000}"/>
    <cellStyle name="40% - 강조색4 6 3 2 2" xfId="2416" xr:uid="{00000000-0005-0000-0000-00005B070000}"/>
    <cellStyle name="40% - 강조색4 6 3 2 3" xfId="3585" xr:uid="{00000000-0005-0000-0000-00005C070000}"/>
    <cellStyle name="40% - 강조색4 6 3 3" xfId="1898" xr:uid="{00000000-0005-0000-0000-00005D070000}"/>
    <cellStyle name="40% - 강조색4 6 3 4" xfId="3067" xr:uid="{00000000-0005-0000-0000-00005E070000}"/>
    <cellStyle name="40% - 강조색4 6 4" xfId="850" xr:uid="{00000000-0005-0000-0000-00005F070000}"/>
    <cellStyle name="40% - 강조색4 6 4 2" xfId="2154" xr:uid="{00000000-0005-0000-0000-000060070000}"/>
    <cellStyle name="40% - 강조색4 6 4 3" xfId="3323" xr:uid="{00000000-0005-0000-0000-000061070000}"/>
    <cellStyle name="40% - 강조색4 6 5" xfId="1636" xr:uid="{00000000-0005-0000-0000-000062070000}"/>
    <cellStyle name="40% - 강조색4 6 6" xfId="2805" xr:uid="{00000000-0005-0000-0000-000063070000}"/>
    <cellStyle name="40% - 강조색4 7" xfId="346" xr:uid="{00000000-0005-0000-0000-000064070000}"/>
    <cellStyle name="40% - 강조색4 7 2" xfId="476" xr:uid="{00000000-0005-0000-0000-000065070000}"/>
    <cellStyle name="40% - 강조색4 7 2 2" xfId="738" xr:uid="{00000000-0005-0000-0000-000066070000}"/>
    <cellStyle name="40% - 강조색4 7 2 2 2" xfId="1256" xr:uid="{00000000-0005-0000-0000-000067070000}"/>
    <cellStyle name="40% - 강조색4 7 2 2 2 2" xfId="2560" xr:uid="{00000000-0005-0000-0000-000068070000}"/>
    <cellStyle name="40% - 강조색4 7 2 2 2 3" xfId="3729" xr:uid="{00000000-0005-0000-0000-000069070000}"/>
    <cellStyle name="40% - 강조색4 7 2 2 3" xfId="2042" xr:uid="{00000000-0005-0000-0000-00006A070000}"/>
    <cellStyle name="40% - 강조색4 7 2 2 4" xfId="3211" xr:uid="{00000000-0005-0000-0000-00006B070000}"/>
    <cellStyle name="40% - 강조색4 7 2 3" xfId="994" xr:uid="{00000000-0005-0000-0000-00006C070000}"/>
    <cellStyle name="40% - 강조색4 7 2 3 2" xfId="2298" xr:uid="{00000000-0005-0000-0000-00006D070000}"/>
    <cellStyle name="40% - 강조색4 7 2 3 3" xfId="3467" xr:uid="{00000000-0005-0000-0000-00006E070000}"/>
    <cellStyle name="40% - 강조색4 7 2 4" xfId="1780" xr:uid="{00000000-0005-0000-0000-00006F070000}"/>
    <cellStyle name="40% - 강조색4 7 2 5" xfId="2949" xr:uid="{00000000-0005-0000-0000-000070070000}"/>
    <cellStyle name="40% - 강조색4 7 3" xfId="608" xr:uid="{00000000-0005-0000-0000-000071070000}"/>
    <cellStyle name="40% - 강조색4 7 3 2" xfId="1126" xr:uid="{00000000-0005-0000-0000-000072070000}"/>
    <cellStyle name="40% - 강조색4 7 3 2 2" xfId="2430" xr:uid="{00000000-0005-0000-0000-000073070000}"/>
    <cellStyle name="40% - 강조색4 7 3 2 3" xfId="3599" xr:uid="{00000000-0005-0000-0000-000074070000}"/>
    <cellStyle name="40% - 강조색4 7 3 3" xfId="1912" xr:uid="{00000000-0005-0000-0000-000075070000}"/>
    <cellStyle name="40% - 강조색4 7 3 4" xfId="3081" xr:uid="{00000000-0005-0000-0000-000076070000}"/>
    <cellStyle name="40% - 강조색4 7 4" xfId="864" xr:uid="{00000000-0005-0000-0000-000077070000}"/>
    <cellStyle name="40% - 강조색4 7 4 2" xfId="2168" xr:uid="{00000000-0005-0000-0000-000078070000}"/>
    <cellStyle name="40% - 강조색4 7 4 3" xfId="3337" xr:uid="{00000000-0005-0000-0000-000079070000}"/>
    <cellStyle name="40% - 강조색4 7 5" xfId="1650" xr:uid="{00000000-0005-0000-0000-00007A070000}"/>
    <cellStyle name="40% - 강조색4 7 6" xfId="2819" xr:uid="{00000000-0005-0000-0000-00007B070000}"/>
    <cellStyle name="40% - 강조색4 8" xfId="360" xr:uid="{00000000-0005-0000-0000-00007C070000}"/>
    <cellStyle name="40% - 강조색4 8 2" xfId="622" xr:uid="{00000000-0005-0000-0000-00007D070000}"/>
    <cellStyle name="40% - 강조색4 8 2 2" xfId="1140" xr:uid="{00000000-0005-0000-0000-00007E070000}"/>
    <cellStyle name="40% - 강조색4 8 2 2 2" xfId="2444" xr:uid="{00000000-0005-0000-0000-00007F070000}"/>
    <cellStyle name="40% - 강조색4 8 2 2 3" xfId="3613" xr:uid="{00000000-0005-0000-0000-000080070000}"/>
    <cellStyle name="40% - 강조색4 8 2 3" xfId="1926" xr:uid="{00000000-0005-0000-0000-000081070000}"/>
    <cellStyle name="40% - 강조색4 8 2 4" xfId="3095" xr:uid="{00000000-0005-0000-0000-000082070000}"/>
    <cellStyle name="40% - 강조색4 8 3" xfId="878" xr:uid="{00000000-0005-0000-0000-000083070000}"/>
    <cellStyle name="40% - 강조색4 8 3 2" xfId="2182" xr:uid="{00000000-0005-0000-0000-000084070000}"/>
    <cellStyle name="40% - 강조색4 8 3 3" xfId="3351" xr:uid="{00000000-0005-0000-0000-000085070000}"/>
    <cellStyle name="40% - 강조색4 8 4" xfId="1664" xr:uid="{00000000-0005-0000-0000-000086070000}"/>
    <cellStyle name="40% - 강조색4 8 5" xfId="2833" xr:uid="{00000000-0005-0000-0000-000087070000}"/>
    <cellStyle name="40% - 강조색4 9" xfId="380" xr:uid="{00000000-0005-0000-0000-000088070000}"/>
    <cellStyle name="40% - 강조색4 9 2" xfId="642" xr:uid="{00000000-0005-0000-0000-000089070000}"/>
    <cellStyle name="40% - 강조색4 9 2 2" xfId="1160" xr:uid="{00000000-0005-0000-0000-00008A070000}"/>
    <cellStyle name="40% - 강조색4 9 2 2 2" xfId="2464" xr:uid="{00000000-0005-0000-0000-00008B070000}"/>
    <cellStyle name="40% - 강조색4 9 2 2 3" xfId="3633" xr:uid="{00000000-0005-0000-0000-00008C070000}"/>
    <cellStyle name="40% - 강조색4 9 2 3" xfId="1946" xr:uid="{00000000-0005-0000-0000-00008D070000}"/>
    <cellStyle name="40% - 강조색4 9 2 4" xfId="3115" xr:uid="{00000000-0005-0000-0000-00008E070000}"/>
    <cellStyle name="40% - 강조색4 9 3" xfId="898" xr:uid="{00000000-0005-0000-0000-00008F070000}"/>
    <cellStyle name="40% - 강조색4 9 3 2" xfId="2202" xr:uid="{00000000-0005-0000-0000-000090070000}"/>
    <cellStyle name="40% - 강조색4 9 3 3" xfId="3371" xr:uid="{00000000-0005-0000-0000-000091070000}"/>
    <cellStyle name="40% - 강조색4 9 4" xfId="1684" xr:uid="{00000000-0005-0000-0000-000092070000}"/>
    <cellStyle name="40% - 강조색4 9 5" xfId="2853" xr:uid="{00000000-0005-0000-0000-000093070000}"/>
    <cellStyle name="40% - 강조색5" xfId="11" builtinId="47" customBuiltin="1"/>
    <cellStyle name="40% - 강조색5 10" xfId="492" xr:uid="{00000000-0005-0000-0000-000095070000}"/>
    <cellStyle name="40% - 강조색5 10 2" xfId="754" xr:uid="{00000000-0005-0000-0000-000096070000}"/>
    <cellStyle name="40% - 강조색5 10 2 2" xfId="1272" xr:uid="{00000000-0005-0000-0000-000097070000}"/>
    <cellStyle name="40% - 강조색5 10 2 2 2" xfId="2576" xr:uid="{00000000-0005-0000-0000-000098070000}"/>
    <cellStyle name="40% - 강조색5 10 2 2 3" xfId="3745" xr:uid="{00000000-0005-0000-0000-000099070000}"/>
    <cellStyle name="40% - 강조색5 10 2 3" xfId="2058" xr:uid="{00000000-0005-0000-0000-00009A070000}"/>
    <cellStyle name="40% - 강조색5 10 2 4" xfId="3227" xr:uid="{00000000-0005-0000-0000-00009B070000}"/>
    <cellStyle name="40% - 강조색5 10 3" xfId="1010" xr:uid="{00000000-0005-0000-0000-00009C070000}"/>
    <cellStyle name="40% - 강조색5 10 3 2" xfId="2314" xr:uid="{00000000-0005-0000-0000-00009D070000}"/>
    <cellStyle name="40% - 강조색5 10 3 3" xfId="3483" xr:uid="{00000000-0005-0000-0000-00009E070000}"/>
    <cellStyle name="40% - 강조색5 10 4" xfId="1796" xr:uid="{00000000-0005-0000-0000-00009F070000}"/>
    <cellStyle name="40% - 강조색5 10 5" xfId="2965" xr:uid="{00000000-0005-0000-0000-0000A0070000}"/>
    <cellStyle name="40% - 강조색5 11" xfId="514" xr:uid="{00000000-0005-0000-0000-0000A1070000}"/>
    <cellStyle name="40% - 강조색5 11 2" xfId="1032" xr:uid="{00000000-0005-0000-0000-0000A2070000}"/>
    <cellStyle name="40% - 강조색5 11 2 2" xfId="2336" xr:uid="{00000000-0005-0000-0000-0000A3070000}"/>
    <cellStyle name="40% - 강조색5 11 2 3" xfId="3505" xr:uid="{00000000-0005-0000-0000-0000A4070000}"/>
    <cellStyle name="40% - 강조색5 11 3" xfId="1818" xr:uid="{00000000-0005-0000-0000-0000A5070000}"/>
    <cellStyle name="40% - 강조색5 11 4" xfId="2987" xr:uid="{00000000-0005-0000-0000-0000A6070000}"/>
    <cellStyle name="40% - 강조색5 12" xfId="766" xr:uid="{00000000-0005-0000-0000-0000A7070000}"/>
    <cellStyle name="40% - 강조색5 12 2" xfId="2070" xr:uid="{00000000-0005-0000-0000-0000A8070000}"/>
    <cellStyle name="40% - 강조색5 12 3" xfId="3239" xr:uid="{00000000-0005-0000-0000-0000A9070000}"/>
    <cellStyle name="40% - 강조색5 13" xfId="226" xr:uid="{00000000-0005-0000-0000-0000AA070000}"/>
    <cellStyle name="40% - 강조색5 14" xfId="1541" xr:uid="{00000000-0005-0000-0000-0000AB070000}"/>
    <cellStyle name="40% - 강조색5 15" xfId="2710" xr:uid="{00000000-0005-0000-0000-0000AC070000}"/>
    <cellStyle name="40% - 강조색5 2" xfId="76" xr:uid="{00000000-0005-0000-0000-0000AD070000}"/>
    <cellStyle name="40% - 강조색5 2 2" xfId="398" xr:uid="{00000000-0005-0000-0000-0000AE070000}"/>
    <cellStyle name="40% - 강조색5 2 2 2" xfId="660" xr:uid="{00000000-0005-0000-0000-0000AF070000}"/>
    <cellStyle name="40% - 강조색5 2 2 2 2" xfId="1178" xr:uid="{00000000-0005-0000-0000-0000B0070000}"/>
    <cellStyle name="40% - 강조색5 2 2 2 2 2" xfId="2482" xr:uid="{00000000-0005-0000-0000-0000B1070000}"/>
    <cellStyle name="40% - 강조색5 2 2 2 2 3" xfId="3651" xr:uid="{00000000-0005-0000-0000-0000B2070000}"/>
    <cellStyle name="40% - 강조색5 2 2 2 3" xfId="1964" xr:uid="{00000000-0005-0000-0000-0000B3070000}"/>
    <cellStyle name="40% - 강조색5 2 2 2 4" xfId="3133" xr:uid="{00000000-0005-0000-0000-0000B4070000}"/>
    <cellStyle name="40% - 강조색5 2 2 3" xfId="916" xr:uid="{00000000-0005-0000-0000-0000B5070000}"/>
    <cellStyle name="40% - 강조색5 2 2 3 2" xfId="2220" xr:uid="{00000000-0005-0000-0000-0000B6070000}"/>
    <cellStyle name="40% - 강조색5 2 2 3 3" xfId="3389" xr:uid="{00000000-0005-0000-0000-0000B7070000}"/>
    <cellStyle name="40% - 강조색5 2 2 4" xfId="1702" xr:uid="{00000000-0005-0000-0000-0000B8070000}"/>
    <cellStyle name="40% - 강조색5 2 2 5" xfId="2871" xr:uid="{00000000-0005-0000-0000-0000B9070000}"/>
    <cellStyle name="40% - 강조색5 2 3" xfId="530" xr:uid="{00000000-0005-0000-0000-0000BA070000}"/>
    <cellStyle name="40% - 강조색5 2 3 2" xfId="1048" xr:uid="{00000000-0005-0000-0000-0000BB070000}"/>
    <cellStyle name="40% - 강조색5 2 3 2 2" xfId="2352" xr:uid="{00000000-0005-0000-0000-0000BC070000}"/>
    <cellStyle name="40% - 강조색5 2 3 2 3" xfId="3521" xr:uid="{00000000-0005-0000-0000-0000BD070000}"/>
    <cellStyle name="40% - 강조색5 2 3 3" xfId="1834" xr:uid="{00000000-0005-0000-0000-0000BE070000}"/>
    <cellStyle name="40% - 강조색5 2 3 4" xfId="3003" xr:uid="{00000000-0005-0000-0000-0000BF070000}"/>
    <cellStyle name="40% - 강조색5 2 4" xfId="786" xr:uid="{00000000-0005-0000-0000-0000C0070000}"/>
    <cellStyle name="40% - 강조색5 2 4 2" xfId="2090" xr:uid="{00000000-0005-0000-0000-0000C1070000}"/>
    <cellStyle name="40% - 강조색5 2 4 3" xfId="3259" xr:uid="{00000000-0005-0000-0000-0000C2070000}"/>
    <cellStyle name="40% - 강조색5 2 5" xfId="267" xr:uid="{00000000-0005-0000-0000-0000C3070000}"/>
    <cellStyle name="40% - 강조색5 2 5 2" xfId="1573" xr:uid="{00000000-0005-0000-0000-0000C4070000}"/>
    <cellStyle name="40% - 강조색5 2 5 3" xfId="2742" xr:uid="{00000000-0005-0000-0000-0000C5070000}"/>
    <cellStyle name="40% - 강조색5 3" xfId="291" xr:uid="{00000000-0005-0000-0000-0000C6070000}"/>
    <cellStyle name="40% - 강조색5 3 2" xfId="422" xr:uid="{00000000-0005-0000-0000-0000C7070000}"/>
    <cellStyle name="40% - 강조색5 3 2 2" xfId="684" xr:uid="{00000000-0005-0000-0000-0000C8070000}"/>
    <cellStyle name="40% - 강조색5 3 2 2 2" xfId="1202" xr:uid="{00000000-0005-0000-0000-0000C9070000}"/>
    <cellStyle name="40% - 강조색5 3 2 2 2 2" xfId="2506" xr:uid="{00000000-0005-0000-0000-0000CA070000}"/>
    <cellStyle name="40% - 강조색5 3 2 2 2 3" xfId="3675" xr:uid="{00000000-0005-0000-0000-0000CB070000}"/>
    <cellStyle name="40% - 강조색5 3 2 2 3" xfId="1988" xr:uid="{00000000-0005-0000-0000-0000CC070000}"/>
    <cellStyle name="40% - 강조색5 3 2 2 4" xfId="3157" xr:uid="{00000000-0005-0000-0000-0000CD070000}"/>
    <cellStyle name="40% - 강조색5 3 2 3" xfId="940" xr:uid="{00000000-0005-0000-0000-0000CE070000}"/>
    <cellStyle name="40% - 강조색5 3 2 3 2" xfId="2244" xr:uid="{00000000-0005-0000-0000-0000CF070000}"/>
    <cellStyle name="40% - 강조색5 3 2 3 3" xfId="3413" xr:uid="{00000000-0005-0000-0000-0000D0070000}"/>
    <cellStyle name="40% - 강조색5 3 2 4" xfId="1726" xr:uid="{00000000-0005-0000-0000-0000D1070000}"/>
    <cellStyle name="40% - 강조색5 3 2 5" xfId="2895" xr:uid="{00000000-0005-0000-0000-0000D2070000}"/>
    <cellStyle name="40% - 강조색5 3 3" xfId="554" xr:uid="{00000000-0005-0000-0000-0000D3070000}"/>
    <cellStyle name="40% - 강조색5 3 3 2" xfId="1072" xr:uid="{00000000-0005-0000-0000-0000D4070000}"/>
    <cellStyle name="40% - 강조색5 3 3 2 2" xfId="2376" xr:uid="{00000000-0005-0000-0000-0000D5070000}"/>
    <cellStyle name="40% - 강조색5 3 3 2 3" xfId="3545" xr:uid="{00000000-0005-0000-0000-0000D6070000}"/>
    <cellStyle name="40% - 강조색5 3 3 3" xfId="1858" xr:uid="{00000000-0005-0000-0000-0000D7070000}"/>
    <cellStyle name="40% - 강조색5 3 3 4" xfId="3027" xr:uid="{00000000-0005-0000-0000-0000D8070000}"/>
    <cellStyle name="40% - 강조색5 3 4" xfId="810" xr:uid="{00000000-0005-0000-0000-0000D9070000}"/>
    <cellStyle name="40% - 강조색5 3 4 2" xfId="2114" xr:uid="{00000000-0005-0000-0000-0000DA070000}"/>
    <cellStyle name="40% - 강조색5 3 4 3" xfId="3283" xr:uid="{00000000-0005-0000-0000-0000DB070000}"/>
    <cellStyle name="40% - 강조색5 3 5" xfId="1596" xr:uid="{00000000-0005-0000-0000-0000DC070000}"/>
    <cellStyle name="40% - 강조색5 3 6" xfId="2765" xr:uid="{00000000-0005-0000-0000-0000DD070000}"/>
    <cellStyle name="40% - 강조색5 4" xfId="306" xr:uid="{00000000-0005-0000-0000-0000DE070000}"/>
    <cellStyle name="40% - 강조색5 4 2" xfId="436" xr:uid="{00000000-0005-0000-0000-0000DF070000}"/>
    <cellStyle name="40% - 강조색5 4 2 2" xfId="698" xr:uid="{00000000-0005-0000-0000-0000E0070000}"/>
    <cellStyle name="40% - 강조색5 4 2 2 2" xfId="1216" xr:uid="{00000000-0005-0000-0000-0000E1070000}"/>
    <cellStyle name="40% - 강조색5 4 2 2 2 2" xfId="2520" xr:uid="{00000000-0005-0000-0000-0000E2070000}"/>
    <cellStyle name="40% - 강조색5 4 2 2 2 3" xfId="3689" xr:uid="{00000000-0005-0000-0000-0000E3070000}"/>
    <cellStyle name="40% - 강조색5 4 2 2 3" xfId="2002" xr:uid="{00000000-0005-0000-0000-0000E4070000}"/>
    <cellStyle name="40% - 강조색5 4 2 2 4" xfId="3171" xr:uid="{00000000-0005-0000-0000-0000E5070000}"/>
    <cellStyle name="40% - 강조색5 4 2 3" xfId="954" xr:uid="{00000000-0005-0000-0000-0000E6070000}"/>
    <cellStyle name="40% - 강조색5 4 2 3 2" xfId="2258" xr:uid="{00000000-0005-0000-0000-0000E7070000}"/>
    <cellStyle name="40% - 강조색5 4 2 3 3" xfId="3427" xr:uid="{00000000-0005-0000-0000-0000E8070000}"/>
    <cellStyle name="40% - 강조색5 4 2 4" xfId="1740" xr:uid="{00000000-0005-0000-0000-0000E9070000}"/>
    <cellStyle name="40% - 강조색5 4 2 5" xfId="2909" xr:uid="{00000000-0005-0000-0000-0000EA070000}"/>
    <cellStyle name="40% - 강조색5 4 3" xfId="568" xr:uid="{00000000-0005-0000-0000-0000EB070000}"/>
    <cellStyle name="40% - 강조색5 4 3 2" xfId="1086" xr:uid="{00000000-0005-0000-0000-0000EC070000}"/>
    <cellStyle name="40% - 강조색5 4 3 2 2" xfId="2390" xr:uid="{00000000-0005-0000-0000-0000ED070000}"/>
    <cellStyle name="40% - 강조색5 4 3 2 3" xfId="3559" xr:uid="{00000000-0005-0000-0000-0000EE070000}"/>
    <cellStyle name="40% - 강조색5 4 3 3" xfId="1872" xr:uid="{00000000-0005-0000-0000-0000EF070000}"/>
    <cellStyle name="40% - 강조색5 4 3 4" xfId="3041" xr:uid="{00000000-0005-0000-0000-0000F0070000}"/>
    <cellStyle name="40% - 강조색5 4 4" xfId="824" xr:uid="{00000000-0005-0000-0000-0000F1070000}"/>
    <cellStyle name="40% - 강조색5 4 4 2" xfId="2128" xr:uid="{00000000-0005-0000-0000-0000F2070000}"/>
    <cellStyle name="40% - 강조색5 4 4 3" xfId="3297" xr:uid="{00000000-0005-0000-0000-0000F3070000}"/>
    <cellStyle name="40% - 강조색5 4 5" xfId="1610" xr:uid="{00000000-0005-0000-0000-0000F4070000}"/>
    <cellStyle name="40% - 강조색5 4 6" xfId="2779" xr:uid="{00000000-0005-0000-0000-0000F5070000}"/>
    <cellStyle name="40% - 강조색5 5" xfId="320" xr:uid="{00000000-0005-0000-0000-0000F6070000}"/>
    <cellStyle name="40% - 강조색5 5 2" xfId="450" xr:uid="{00000000-0005-0000-0000-0000F7070000}"/>
    <cellStyle name="40% - 강조색5 5 2 2" xfId="712" xr:uid="{00000000-0005-0000-0000-0000F8070000}"/>
    <cellStyle name="40% - 강조색5 5 2 2 2" xfId="1230" xr:uid="{00000000-0005-0000-0000-0000F9070000}"/>
    <cellStyle name="40% - 강조색5 5 2 2 2 2" xfId="2534" xr:uid="{00000000-0005-0000-0000-0000FA070000}"/>
    <cellStyle name="40% - 강조색5 5 2 2 2 3" xfId="3703" xr:uid="{00000000-0005-0000-0000-0000FB070000}"/>
    <cellStyle name="40% - 강조색5 5 2 2 3" xfId="2016" xr:uid="{00000000-0005-0000-0000-0000FC070000}"/>
    <cellStyle name="40% - 강조색5 5 2 2 4" xfId="3185" xr:uid="{00000000-0005-0000-0000-0000FD070000}"/>
    <cellStyle name="40% - 강조색5 5 2 3" xfId="968" xr:uid="{00000000-0005-0000-0000-0000FE070000}"/>
    <cellStyle name="40% - 강조색5 5 2 3 2" xfId="2272" xr:uid="{00000000-0005-0000-0000-0000FF070000}"/>
    <cellStyle name="40% - 강조색5 5 2 3 3" xfId="3441" xr:uid="{00000000-0005-0000-0000-000000080000}"/>
    <cellStyle name="40% - 강조색5 5 2 4" xfId="1754" xr:uid="{00000000-0005-0000-0000-000001080000}"/>
    <cellStyle name="40% - 강조색5 5 2 5" xfId="2923" xr:uid="{00000000-0005-0000-0000-000002080000}"/>
    <cellStyle name="40% - 강조색5 5 3" xfId="582" xr:uid="{00000000-0005-0000-0000-000003080000}"/>
    <cellStyle name="40% - 강조색5 5 3 2" xfId="1100" xr:uid="{00000000-0005-0000-0000-000004080000}"/>
    <cellStyle name="40% - 강조색5 5 3 2 2" xfId="2404" xr:uid="{00000000-0005-0000-0000-000005080000}"/>
    <cellStyle name="40% - 강조색5 5 3 2 3" xfId="3573" xr:uid="{00000000-0005-0000-0000-000006080000}"/>
    <cellStyle name="40% - 강조색5 5 3 3" xfId="1886" xr:uid="{00000000-0005-0000-0000-000007080000}"/>
    <cellStyle name="40% - 강조색5 5 3 4" xfId="3055" xr:uid="{00000000-0005-0000-0000-000008080000}"/>
    <cellStyle name="40% - 강조색5 5 4" xfId="838" xr:uid="{00000000-0005-0000-0000-000009080000}"/>
    <cellStyle name="40% - 강조색5 5 4 2" xfId="2142" xr:uid="{00000000-0005-0000-0000-00000A080000}"/>
    <cellStyle name="40% - 강조색5 5 4 3" xfId="3311" xr:uid="{00000000-0005-0000-0000-00000B080000}"/>
    <cellStyle name="40% - 강조색5 5 5" xfId="1624" xr:uid="{00000000-0005-0000-0000-00000C080000}"/>
    <cellStyle name="40% - 강조색5 5 6" xfId="2793" xr:uid="{00000000-0005-0000-0000-00000D080000}"/>
    <cellStyle name="40% - 강조색5 6" xfId="334" xr:uid="{00000000-0005-0000-0000-00000E080000}"/>
    <cellStyle name="40% - 강조색5 6 2" xfId="464" xr:uid="{00000000-0005-0000-0000-00000F080000}"/>
    <cellStyle name="40% - 강조색5 6 2 2" xfId="726" xr:uid="{00000000-0005-0000-0000-000010080000}"/>
    <cellStyle name="40% - 강조색5 6 2 2 2" xfId="1244" xr:uid="{00000000-0005-0000-0000-000011080000}"/>
    <cellStyle name="40% - 강조색5 6 2 2 2 2" xfId="2548" xr:uid="{00000000-0005-0000-0000-000012080000}"/>
    <cellStyle name="40% - 강조색5 6 2 2 2 3" xfId="3717" xr:uid="{00000000-0005-0000-0000-000013080000}"/>
    <cellStyle name="40% - 강조색5 6 2 2 3" xfId="2030" xr:uid="{00000000-0005-0000-0000-000014080000}"/>
    <cellStyle name="40% - 강조색5 6 2 2 4" xfId="3199" xr:uid="{00000000-0005-0000-0000-000015080000}"/>
    <cellStyle name="40% - 강조색5 6 2 3" xfId="982" xr:uid="{00000000-0005-0000-0000-000016080000}"/>
    <cellStyle name="40% - 강조색5 6 2 3 2" xfId="2286" xr:uid="{00000000-0005-0000-0000-000017080000}"/>
    <cellStyle name="40% - 강조색5 6 2 3 3" xfId="3455" xr:uid="{00000000-0005-0000-0000-000018080000}"/>
    <cellStyle name="40% - 강조색5 6 2 4" xfId="1768" xr:uid="{00000000-0005-0000-0000-000019080000}"/>
    <cellStyle name="40% - 강조색5 6 2 5" xfId="2937" xr:uid="{00000000-0005-0000-0000-00001A080000}"/>
    <cellStyle name="40% - 강조색5 6 3" xfId="596" xr:uid="{00000000-0005-0000-0000-00001B080000}"/>
    <cellStyle name="40% - 강조색5 6 3 2" xfId="1114" xr:uid="{00000000-0005-0000-0000-00001C080000}"/>
    <cellStyle name="40% - 강조색5 6 3 2 2" xfId="2418" xr:uid="{00000000-0005-0000-0000-00001D080000}"/>
    <cellStyle name="40% - 강조색5 6 3 2 3" xfId="3587" xr:uid="{00000000-0005-0000-0000-00001E080000}"/>
    <cellStyle name="40% - 강조색5 6 3 3" xfId="1900" xr:uid="{00000000-0005-0000-0000-00001F080000}"/>
    <cellStyle name="40% - 강조색5 6 3 4" xfId="3069" xr:uid="{00000000-0005-0000-0000-000020080000}"/>
    <cellStyle name="40% - 강조색5 6 4" xfId="852" xr:uid="{00000000-0005-0000-0000-000021080000}"/>
    <cellStyle name="40% - 강조색5 6 4 2" xfId="2156" xr:uid="{00000000-0005-0000-0000-000022080000}"/>
    <cellStyle name="40% - 강조색5 6 4 3" xfId="3325" xr:uid="{00000000-0005-0000-0000-000023080000}"/>
    <cellStyle name="40% - 강조색5 6 5" xfId="1638" xr:uid="{00000000-0005-0000-0000-000024080000}"/>
    <cellStyle name="40% - 강조색5 6 6" xfId="2807" xr:uid="{00000000-0005-0000-0000-000025080000}"/>
    <cellStyle name="40% - 강조색5 7" xfId="348" xr:uid="{00000000-0005-0000-0000-000026080000}"/>
    <cellStyle name="40% - 강조색5 7 2" xfId="478" xr:uid="{00000000-0005-0000-0000-000027080000}"/>
    <cellStyle name="40% - 강조색5 7 2 2" xfId="740" xr:uid="{00000000-0005-0000-0000-000028080000}"/>
    <cellStyle name="40% - 강조색5 7 2 2 2" xfId="1258" xr:uid="{00000000-0005-0000-0000-000029080000}"/>
    <cellStyle name="40% - 강조색5 7 2 2 2 2" xfId="2562" xr:uid="{00000000-0005-0000-0000-00002A080000}"/>
    <cellStyle name="40% - 강조색5 7 2 2 2 3" xfId="3731" xr:uid="{00000000-0005-0000-0000-00002B080000}"/>
    <cellStyle name="40% - 강조색5 7 2 2 3" xfId="2044" xr:uid="{00000000-0005-0000-0000-00002C080000}"/>
    <cellStyle name="40% - 강조색5 7 2 2 4" xfId="3213" xr:uid="{00000000-0005-0000-0000-00002D080000}"/>
    <cellStyle name="40% - 강조색5 7 2 3" xfId="996" xr:uid="{00000000-0005-0000-0000-00002E080000}"/>
    <cellStyle name="40% - 강조색5 7 2 3 2" xfId="2300" xr:uid="{00000000-0005-0000-0000-00002F080000}"/>
    <cellStyle name="40% - 강조색5 7 2 3 3" xfId="3469" xr:uid="{00000000-0005-0000-0000-000030080000}"/>
    <cellStyle name="40% - 강조색5 7 2 4" xfId="1782" xr:uid="{00000000-0005-0000-0000-000031080000}"/>
    <cellStyle name="40% - 강조색5 7 2 5" xfId="2951" xr:uid="{00000000-0005-0000-0000-000032080000}"/>
    <cellStyle name="40% - 강조색5 7 3" xfId="610" xr:uid="{00000000-0005-0000-0000-000033080000}"/>
    <cellStyle name="40% - 강조색5 7 3 2" xfId="1128" xr:uid="{00000000-0005-0000-0000-000034080000}"/>
    <cellStyle name="40% - 강조색5 7 3 2 2" xfId="2432" xr:uid="{00000000-0005-0000-0000-000035080000}"/>
    <cellStyle name="40% - 강조색5 7 3 2 3" xfId="3601" xr:uid="{00000000-0005-0000-0000-000036080000}"/>
    <cellStyle name="40% - 강조색5 7 3 3" xfId="1914" xr:uid="{00000000-0005-0000-0000-000037080000}"/>
    <cellStyle name="40% - 강조색5 7 3 4" xfId="3083" xr:uid="{00000000-0005-0000-0000-000038080000}"/>
    <cellStyle name="40% - 강조색5 7 4" xfId="866" xr:uid="{00000000-0005-0000-0000-000039080000}"/>
    <cellStyle name="40% - 강조색5 7 4 2" xfId="2170" xr:uid="{00000000-0005-0000-0000-00003A080000}"/>
    <cellStyle name="40% - 강조색5 7 4 3" xfId="3339" xr:uid="{00000000-0005-0000-0000-00003B080000}"/>
    <cellStyle name="40% - 강조색5 7 5" xfId="1652" xr:uid="{00000000-0005-0000-0000-00003C080000}"/>
    <cellStyle name="40% - 강조색5 7 6" xfId="2821" xr:uid="{00000000-0005-0000-0000-00003D080000}"/>
    <cellStyle name="40% - 강조색5 8" xfId="362" xr:uid="{00000000-0005-0000-0000-00003E080000}"/>
    <cellStyle name="40% - 강조색5 8 2" xfId="624" xr:uid="{00000000-0005-0000-0000-00003F080000}"/>
    <cellStyle name="40% - 강조색5 8 2 2" xfId="1142" xr:uid="{00000000-0005-0000-0000-000040080000}"/>
    <cellStyle name="40% - 강조색5 8 2 2 2" xfId="2446" xr:uid="{00000000-0005-0000-0000-000041080000}"/>
    <cellStyle name="40% - 강조색5 8 2 2 3" xfId="3615" xr:uid="{00000000-0005-0000-0000-000042080000}"/>
    <cellStyle name="40% - 강조색5 8 2 3" xfId="1928" xr:uid="{00000000-0005-0000-0000-000043080000}"/>
    <cellStyle name="40% - 강조색5 8 2 4" xfId="3097" xr:uid="{00000000-0005-0000-0000-000044080000}"/>
    <cellStyle name="40% - 강조색5 8 3" xfId="880" xr:uid="{00000000-0005-0000-0000-000045080000}"/>
    <cellStyle name="40% - 강조색5 8 3 2" xfId="2184" xr:uid="{00000000-0005-0000-0000-000046080000}"/>
    <cellStyle name="40% - 강조색5 8 3 3" xfId="3353" xr:uid="{00000000-0005-0000-0000-000047080000}"/>
    <cellStyle name="40% - 강조색5 8 4" xfId="1666" xr:uid="{00000000-0005-0000-0000-000048080000}"/>
    <cellStyle name="40% - 강조색5 8 5" xfId="2835" xr:uid="{00000000-0005-0000-0000-000049080000}"/>
    <cellStyle name="40% - 강조색5 9" xfId="382" xr:uid="{00000000-0005-0000-0000-00004A080000}"/>
    <cellStyle name="40% - 강조색5 9 2" xfId="644" xr:uid="{00000000-0005-0000-0000-00004B080000}"/>
    <cellStyle name="40% - 강조색5 9 2 2" xfId="1162" xr:uid="{00000000-0005-0000-0000-00004C080000}"/>
    <cellStyle name="40% - 강조색5 9 2 2 2" xfId="2466" xr:uid="{00000000-0005-0000-0000-00004D080000}"/>
    <cellStyle name="40% - 강조색5 9 2 2 3" xfId="3635" xr:uid="{00000000-0005-0000-0000-00004E080000}"/>
    <cellStyle name="40% - 강조색5 9 2 3" xfId="1948" xr:uid="{00000000-0005-0000-0000-00004F080000}"/>
    <cellStyle name="40% - 강조색5 9 2 4" xfId="3117" xr:uid="{00000000-0005-0000-0000-000050080000}"/>
    <cellStyle name="40% - 강조색5 9 3" xfId="900" xr:uid="{00000000-0005-0000-0000-000051080000}"/>
    <cellStyle name="40% - 강조색5 9 3 2" xfId="2204" xr:uid="{00000000-0005-0000-0000-000052080000}"/>
    <cellStyle name="40% - 강조색5 9 3 3" xfId="3373" xr:uid="{00000000-0005-0000-0000-000053080000}"/>
    <cellStyle name="40% - 강조색5 9 4" xfId="1686" xr:uid="{00000000-0005-0000-0000-000054080000}"/>
    <cellStyle name="40% - 강조색5 9 5" xfId="2855" xr:uid="{00000000-0005-0000-0000-000055080000}"/>
    <cellStyle name="40% - 강조색6" xfId="12" builtinId="51" customBuiltin="1"/>
    <cellStyle name="40% - 강조색6 10" xfId="494" xr:uid="{00000000-0005-0000-0000-000057080000}"/>
    <cellStyle name="40% - 강조색6 10 2" xfId="756" xr:uid="{00000000-0005-0000-0000-000058080000}"/>
    <cellStyle name="40% - 강조색6 10 2 2" xfId="1274" xr:uid="{00000000-0005-0000-0000-000059080000}"/>
    <cellStyle name="40% - 강조색6 10 2 2 2" xfId="2578" xr:uid="{00000000-0005-0000-0000-00005A080000}"/>
    <cellStyle name="40% - 강조색6 10 2 2 3" xfId="3747" xr:uid="{00000000-0005-0000-0000-00005B080000}"/>
    <cellStyle name="40% - 강조색6 10 2 3" xfId="2060" xr:uid="{00000000-0005-0000-0000-00005C080000}"/>
    <cellStyle name="40% - 강조색6 10 2 4" xfId="3229" xr:uid="{00000000-0005-0000-0000-00005D080000}"/>
    <cellStyle name="40% - 강조색6 10 3" xfId="1012" xr:uid="{00000000-0005-0000-0000-00005E080000}"/>
    <cellStyle name="40% - 강조색6 10 3 2" xfId="2316" xr:uid="{00000000-0005-0000-0000-00005F080000}"/>
    <cellStyle name="40% - 강조색6 10 3 3" xfId="3485" xr:uid="{00000000-0005-0000-0000-000060080000}"/>
    <cellStyle name="40% - 강조색6 10 4" xfId="1798" xr:uid="{00000000-0005-0000-0000-000061080000}"/>
    <cellStyle name="40% - 강조색6 10 5" xfId="2967" xr:uid="{00000000-0005-0000-0000-000062080000}"/>
    <cellStyle name="40% - 강조색6 11" xfId="516" xr:uid="{00000000-0005-0000-0000-000063080000}"/>
    <cellStyle name="40% - 강조색6 11 2" xfId="1034" xr:uid="{00000000-0005-0000-0000-000064080000}"/>
    <cellStyle name="40% - 강조색6 11 2 2" xfId="2338" xr:uid="{00000000-0005-0000-0000-000065080000}"/>
    <cellStyle name="40% - 강조색6 11 2 3" xfId="3507" xr:uid="{00000000-0005-0000-0000-000066080000}"/>
    <cellStyle name="40% - 강조색6 11 3" xfId="1820" xr:uid="{00000000-0005-0000-0000-000067080000}"/>
    <cellStyle name="40% - 강조색6 11 4" xfId="2989" xr:uid="{00000000-0005-0000-0000-000068080000}"/>
    <cellStyle name="40% - 강조색6 12" xfId="768" xr:uid="{00000000-0005-0000-0000-000069080000}"/>
    <cellStyle name="40% - 강조색6 12 2" xfId="2072" xr:uid="{00000000-0005-0000-0000-00006A080000}"/>
    <cellStyle name="40% - 강조색6 12 3" xfId="3241" xr:uid="{00000000-0005-0000-0000-00006B080000}"/>
    <cellStyle name="40% - 강조색6 13" xfId="230" xr:uid="{00000000-0005-0000-0000-00006C080000}"/>
    <cellStyle name="40% - 강조색6 14" xfId="1543" xr:uid="{00000000-0005-0000-0000-00006D080000}"/>
    <cellStyle name="40% - 강조색6 15" xfId="2712" xr:uid="{00000000-0005-0000-0000-00006E080000}"/>
    <cellStyle name="40% - 강조색6 2" xfId="77" xr:uid="{00000000-0005-0000-0000-00006F080000}"/>
    <cellStyle name="40% - 강조색6 2 2" xfId="400" xr:uid="{00000000-0005-0000-0000-000070080000}"/>
    <cellStyle name="40% - 강조색6 2 2 2" xfId="662" xr:uid="{00000000-0005-0000-0000-000071080000}"/>
    <cellStyle name="40% - 강조색6 2 2 2 2" xfId="1180" xr:uid="{00000000-0005-0000-0000-000072080000}"/>
    <cellStyle name="40% - 강조색6 2 2 2 2 2" xfId="2484" xr:uid="{00000000-0005-0000-0000-000073080000}"/>
    <cellStyle name="40% - 강조색6 2 2 2 2 3" xfId="3653" xr:uid="{00000000-0005-0000-0000-000074080000}"/>
    <cellStyle name="40% - 강조색6 2 2 2 3" xfId="1966" xr:uid="{00000000-0005-0000-0000-000075080000}"/>
    <cellStyle name="40% - 강조색6 2 2 2 4" xfId="3135" xr:uid="{00000000-0005-0000-0000-000076080000}"/>
    <cellStyle name="40% - 강조색6 2 2 3" xfId="918" xr:uid="{00000000-0005-0000-0000-000077080000}"/>
    <cellStyle name="40% - 강조색6 2 2 3 2" xfId="2222" xr:uid="{00000000-0005-0000-0000-000078080000}"/>
    <cellStyle name="40% - 강조색6 2 2 3 3" xfId="3391" xr:uid="{00000000-0005-0000-0000-000079080000}"/>
    <cellStyle name="40% - 강조색6 2 2 4" xfId="1704" xr:uid="{00000000-0005-0000-0000-00007A080000}"/>
    <cellStyle name="40% - 강조색6 2 2 5" xfId="2873" xr:uid="{00000000-0005-0000-0000-00007B080000}"/>
    <cellStyle name="40% - 강조색6 2 3" xfId="532" xr:uid="{00000000-0005-0000-0000-00007C080000}"/>
    <cellStyle name="40% - 강조색6 2 3 2" xfId="1050" xr:uid="{00000000-0005-0000-0000-00007D080000}"/>
    <cellStyle name="40% - 강조색6 2 3 2 2" xfId="2354" xr:uid="{00000000-0005-0000-0000-00007E080000}"/>
    <cellStyle name="40% - 강조색6 2 3 2 3" xfId="3523" xr:uid="{00000000-0005-0000-0000-00007F080000}"/>
    <cellStyle name="40% - 강조색6 2 3 3" xfId="1836" xr:uid="{00000000-0005-0000-0000-000080080000}"/>
    <cellStyle name="40% - 강조색6 2 3 4" xfId="3005" xr:uid="{00000000-0005-0000-0000-000081080000}"/>
    <cellStyle name="40% - 강조색6 2 4" xfId="788" xr:uid="{00000000-0005-0000-0000-000082080000}"/>
    <cellStyle name="40% - 강조색6 2 4 2" xfId="2092" xr:uid="{00000000-0005-0000-0000-000083080000}"/>
    <cellStyle name="40% - 강조색6 2 4 3" xfId="3261" xr:uid="{00000000-0005-0000-0000-000084080000}"/>
    <cellStyle name="40% - 강조색6 2 5" xfId="269" xr:uid="{00000000-0005-0000-0000-000085080000}"/>
    <cellStyle name="40% - 강조색6 2 5 2" xfId="1575" xr:uid="{00000000-0005-0000-0000-000086080000}"/>
    <cellStyle name="40% - 강조색6 2 5 3" xfId="2744" xr:uid="{00000000-0005-0000-0000-000087080000}"/>
    <cellStyle name="40% - 강조색6 3" xfId="293" xr:uid="{00000000-0005-0000-0000-000088080000}"/>
    <cellStyle name="40% - 강조색6 3 2" xfId="424" xr:uid="{00000000-0005-0000-0000-000089080000}"/>
    <cellStyle name="40% - 강조색6 3 2 2" xfId="686" xr:uid="{00000000-0005-0000-0000-00008A080000}"/>
    <cellStyle name="40% - 강조색6 3 2 2 2" xfId="1204" xr:uid="{00000000-0005-0000-0000-00008B080000}"/>
    <cellStyle name="40% - 강조색6 3 2 2 2 2" xfId="2508" xr:uid="{00000000-0005-0000-0000-00008C080000}"/>
    <cellStyle name="40% - 강조색6 3 2 2 2 3" xfId="3677" xr:uid="{00000000-0005-0000-0000-00008D080000}"/>
    <cellStyle name="40% - 강조색6 3 2 2 3" xfId="1990" xr:uid="{00000000-0005-0000-0000-00008E080000}"/>
    <cellStyle name="40% - 강조색6 3 2 2 4" xfId="3159" xr:uid="{00000000-0005-0000-0000-00008F080000}"/>
    <cellStyle name="40% - 강조색6 3 2 3" xfId="942" xr:uid="{00000000-0005-0000-0000-000090080000}"/>
    <cellStyle name="40% - 강조색6 3 2 3 2" xfId="2246" xr:uid="{00000000-0005-0000-0000-000091080000}"/>
    <cellStyle name="40% - 강조색6 3 2 3 3" xfId="3415" xr:uid="{00000000-0005-0000-0000-000092080000}"/>
    <cellStyle name="40% - 강조색6 3 2 4" xfId="1728" xr:uid="{00000000-0005-0000-0000-000093080000}"/>
    <cellStyle name="40% - 강조색6 3 2 5" xfId="2897" xr:uid="{00000000-0005-0000-0000-000094080000}"/>
    <cellStyle name="40% - 강조색6 3 3" xfId="556" xr:uid="{00000000-0005-0000-0000-000095080000}"/>
    <cellStyle name="40% - 강조색6 3 3 2" xfId="1074" xr:uid="{00000000-0005-0000-0000-000096080000}"/>
    <cellStyle name="40% - 강조색6 3 3 2 2" xfId="2378" xr:uid="{00000000-0005-0000-0000-000097080000}"/>
    <cellStyle name="40% - 강조색6 3 3 2 3" xfId="3547" xr:uid="{00000000-0005-0000-0000-000098080000}"/>
    <cellStyle name="40% - 강조색6 3 3 3" xfId="1860" xr:uid="{00000000-0005-0000-0000-000099080000}"/>
    <cellStyle name="40% - 강조색6 3 3 4" xfId="3029" xr:uid="{00000000-0005-0000-0000-00009A080000}"/>
    <cellStyle name="40% - 강조색6 3 4" xfId="812" xr:uid="{00000000-0005-0000-0000-00009B080000}"/>
    <cellStyle name="40% - 강조색6 3 4 2" xfId="2116" xr:uid="{00000000-0005-0000-0000-00009C080000}"/>
    <cellStyle name="40% - 강조색6 3 4 3" xfId="3285" xr:uid="{00000000-0005-0000-0000-00009D080000}"/>
    <cellStyle name="40% - 강조색6 3 5" xfId="1598" xr:uid="{00000000-0005-0000-0000-00009E080000}"/>
    <cellStyle name="40% - 강조색6 3 6" xfId="2767" xr:uid="{00000000-0005-0000-0000-00009F080000}"/>
    <cellStyle name="40% - 강조색6 4" xfId="308" xr:uid="{00000000-0005-0000-0000-0000A0080000}"/>
    <cellStyle name="40% - 강조색6 4 2" xfId="438" xr:uid="{00000000-0005-0000-0000-0000A1080000}"/>
    <cellStyle name="40% - 강조색6 4 2 2" xfId="700" xr:uid="{00000000-0005-0000-0000-0000A2080000}"/>
    <cellStyle name="40% - 강조색6 4 2 2 2" xfId="1218" xr:uid="{00000000-0005-0000-0000-0000A3080000}"/>
    <cellStyle name="40% - 강조색6 4 2 2 2 2" xfId="2522" xr:uid="{00000000-0005-0000-0000-0000A4080000}"/>
    <cellStyle name="40% - 강조색6 4 2 2 2 3" xfId="3691" xr:uid="{00000000-0005-0000-0000-0000A5080000}"/>
    <cellStyle name="40% - 강조색6 4 2 2 3" xfId="2004" xr:uid="{00000000-0005-0000-0000-0000A6080000}"/>
    <cellStyle name="40% - 강조색6 4 2 2 4" xfId="3173" xr:uid="{00000000-0005-0000-0000-0000A7080000}"/>
    <cellStyle name="40% - 강조색6 4 2 3" xfId="956" xr:uid="{00000000-0005-0000-0000-0000A8080000}"/>
    <cellStyle name="40% - 강조색6 4 2 3 2" xfId="2260" xr:uid="{00000000-0005-0000-0000-0000A9080000}"/>
    <cellStyle name="40% - 강조색6 4 2 3 3" xfId="3429" xr:uid="{00000000-0005-0000-0000-0000AA080000}"/>
    <cellStyle name="40% - 강조색6 4 2 4" xfId="1742" xr:uid="{00000000-0005-0000-0000-0000AB080000}"/>
    <cellStyle name="40% - 강조색6 4 2 5" xfId="2911" xr:uid="{00000000-0005-0000-0000-0000AC080000}"/>
    <cellStyle name="40% - 강조색6 4 3" xfId="570" xr:uid="{00000000-0005-0000-0000-0000AD080000}"/>
    <cellStyle name="40% - 강조색6 4 3 2" xfId="1088" xr:uid="{00000000-0005-0000-0000-0000AE080000}"/>
    <cellStyle name="40% - 강조색6 4 3 2 2" xfId="2392" xr:uid="{00000000-0005-0000-0000-0000AF080000}"/>
    <cellStyle name="40% - 강조색6 4 3 2 3" xfId="3561" xr:uid="{00000000-0005-0000-0000-0000B0080000}"/>
    <cellStyle name="40% - 강조색6 4 3 3" xfId="1874" xr:uid="{00000000-0005-0000-0000-0000B1080000}"/>
    <cellStyle name="40% - 강조색6 4 3 4" xfId="3043" xr:uid="{00000000-0005-0000-0000-0000B2080000}"/>
    <cellStyle name="40% - 강조색6 4 4" xfId="826" xr:uid="{00000000-0005-0000-0000-0000B3080000}"/>
    <cellStyle name="40% - 강조색6 4 4 2" xfId="2130" xr:uid="{00000000-0005-0000-0000-0000B4080000}"/>
    <cellStyle name="40% - 강조색6 4 4 3" xfId="3299" xr:uid="{00000000-0005-0000-0000-0000B5080000}"/>
    <cellStyle name="40% - 강조색6 4 5" xfId="1612" xr:uid="{00000000-0005-0000-0000-0000B6080000}"/>
    <cellStyle name="40% - 강조색6 4 6" xfId="2781" xr:uid="{00000000-0005-0000-0000-0000B7080000}"/>
    <cellStyle name="40% - 강조색6 5" xfId="322" xr:uid="{00000000-0005-0000-0000-0000B8080000}"/>
    <cellStyle name="40% - 강조색6 5 2" xfId="452" xr:uid="{00000000-0005-0000-0000-0000B9080000}"/>
    <cellStyle name="40% - 강조색6 5 2 2" xfId="714" xr:uid="{00000000-0005-0000-0000-0000BA080000}"/>
    <cellStyle name="40% - 강조색6 5 2 2 2" xfId="1232" xr:uid="{00000000-0005-0000-0000-0000BB080000}"/>
    <cellStyle name="40% - 강조색6 5 2 2 2 2" xfId="2536" xr:uid="{00000000-0005-0000-0000-0000BC080000}"/>
    <cellStyle name="40% - 강조색6 5 2 2 2 3" xfId="3705" xr:uid="{00000000-0005-0000-0000-0000BD080000}"/>
    <cellStyle name="40% - 강조색6 5 2 2 3" xfId="2018" xr:uid="{00000000-0005-0000-0000-0000BE080000}"/>
    <cellStyle name="40% - 강조색6 5 2 2 4" xfId="3187" xr:uid="{00000000-0005-0000-0000-0000BF080000}"/>
    <cellStyle name="40% - 강조색6 5 2 3" xfId="970" xr:uid="{00000000-0005-0000-0000-0000C0080000}"/>
    <cellStyle name="40% - 강조색6 5 2 3 2" xfId="2274" xr:uid="{00000000-0005-0000-0000-0000C1080000}"/>
    <cellStyle name="40% - 강조색6 5 2 3 3" xfId="3443" xr:uid="{00000000-0005-0000-0000-0000C2080000}"/>
    <cellStyle name="40% - 강조색6 5 2 4" xfId="1756" xr:uid="{00000000-0005-0000-0000-0000C3080000}"/>
    <cellStyle name="40% - 강조색6 5 2 5" xfId="2925" xr:uid="{00000000-0005-0000-0000-0000C4080000}"/>
    <cellStyle name="40% - 강조색6 5 3" xfId="584" xr:uid="{00000000-0005-0000-0000-0000C5080000}"/>
    <cellStyle name="40% - 강조색6 5 3 2" xfId="1102" xr:uid="{00000000-0005-0000-0000-0000C6080000}"/>
    <cellStyle name="40% - 강조색6 5 3 2 2" xfId="2406" xr:uid="{00000000-0005-0000-0000-0000C7080000}"/>
    <cellStyle name="40% - 강조색6 5 3 2 3" xfId="3575" xr:uid="{00000000-0005-0000-0000-0000C8080000}"/>
    <cellStyle name="40% - 강조색6 5 3 3" xfId="1888" xr:uid="{00000000-0005-0000-0000-0000C9080000}"/>
    <cellStyle name="40% - 강조색6 5 3 4" xfId="3057" xr:uid="{00000000-0005-0000-0000-0000CA080000}"/>
    <cellStyle name="40% - 강조색6 5 4" xfId="840" xr:uid="{00000000-0005-0000-0000-0000CB080000}"/>
    <cellStyle name="40% - 강조색6 5 4 2" xfId="2144" xr:uid="{00000000-0005-0000-0000-0000CC080000}"/>
    <cellStyle name="40% - 강조색6 5 4 3" xfId="3313" xr:uid="{00000000-0005-0000-0000-0000CD080000}"/>
    <cellStyle name="40% - 강조색6 5 5" xfId="1626" xr:uid="{00000000-0005-0000-0000-0000CE080000}"/>
    <cellStyle name="40% - 강조색6 5 6" xfId="2795" xr:uid="{00000000-0005-0000-0000-0000CF080000}"/>
    <cellStyle name="40% - 강조색6 6" xfId="336" xr:uid="{00000000-0005-0000-0000-0000D0080000}"/>
    <cellStyle name="40% - 강조색6 6 2" xfId="466" xr:uid="{00000000-0005-0000-0000-0000D1080000}"/>
    <cellStyle name="40% - 강조색6 6 2 2" xfId="728" xr:uid="{00000000-0005-0000-0000-0000D2080000}"/>
    <cellStyle name="40% - 강조색6 6 2 2 2" xfId="1246" xr:uid="{00000000-0005-0000-0000-0000D3080000}"/>
    <cellStyle name="40% - 강조색6 6 2 2 2 2" xfId="2550" xr:uid="{00000000-0005-0000-0000-0000D4080000}"/>
    <cellStyle name="40% - 강조색6 6 2 2 2 3" xfId="3719" xr:uid="{00000000-0005-0000-0000-0000D5080000}"/>
    <cellStyle name="40% - 강조색6 6 2 2 3" xfId="2032" xr:uid="{00000000-0005-0000-0000-0000D6080000}"/>
    <cellStyle name="40% - 강조색6 6 2 2 4" xfId="3201" xr:uid="{00000000-0005-0000-0000-0000D7080000}"/>
    <cellStyle name="40% - 강조색6 6 2 3" xfId="984" xr:uid="{00000000-0005-0000-0000-0000D8080000}"/>
    <cellStyle name="40% - 강조색6 6 2 3 2" xfId="2288" xr:uid="{00000000-0005-0000-0000-0000D9080000}"/>
    <cellStyle name="40% - 강조색6 6 2 3 3" xfId="3457" xr:uid="{00000000-0005-0000-0000-0000DA080000}"/>
    <cellStyle name="40% - 강조색6 6 2 4" xfId="1770" xr:uid="{00000000-0005-0000-0000-0000DB080000}"/>
    <cellStyle name="40% - 강조색6 6 2 5" xfId="2939" xr:uid="{00000000-0005-0000-0000-0000DC080000}"/>
    <cellStyle name="40% - 강조색6 6 3" xfId="598" xr:uid="{00000000-0005-0000-0000-0000DD080000}"/>
    <cellStyle name="40% - 강조색6 6 3 2" xfId="1116" xr:uid="{00000000-0005-0000-0000-0000DE080000}"/>
    <cellStyle name="40% - 강조색6 6 3 2 2" xfId="2420" xr:uid="{00000000-0005-0000-0000-0000DF080000}"/>
    <cellStyle name="40% - 강조색6 6 3 2 3" xfId="3589" xr:uid="{00000000-0005-0000-0000-0000E0080000}"/>
    <cellStyle name="40% - 강조색6 6 3 3" xfId="1902" xr:uid="{00000000-0005-0000-0000-0000E1080000}"/>
    <cellStyle name="40% - 강조색6 6 3 4" xfId="3071" xr:uid="{00000000-0005-0000-0000-0000E2080000}"/>
    <cellStyle name="40% - 강조색6 6 4" xfId="854" xr:uid="{00000000-0005-0000-0000-0000E3080000}"/>
    <cellStyle name="40% - 강조색6 6 4 2" xfId="2158" xr:uid="{00000000-0005-0000-0000-0000E4080000}"/>
    <cellStyle name="40% - 강조색6 6 4 3" xfId="3327" xr:uid="{00000000-0005-0000-0000-0000E5080000}"/>
    <cellStyle name="40% - 강조색6 6 5" xfId="1640" xr:uid="{00000000-0005-0000-0000-0000E6080000}"/>
    <cellStyle name="40% - 강조색6 6 6" xfId="2809" xr:uid="{00000000-0005-0000-0000-0000E7080000}"/>
    <cellStyle name="40% - 강조색6 7" xfId="350" xr:uid="{00000000-0005-0000-0000-0000E8080000}"/>
    <cellStyle name="40% - 강조색6 7 2" xfId="480" xr:uid="{00000000-0005-0000-0000-0000E9080000}"/>
    <cellStyle name="40% - 강조색6 7 2 2" xfId="742" xr:uid="{00000000-0005-0000-0000-0000EA080000}"/>
    <cellStyle name="40% - 강조색6 7 2 2 2" xfId="1260" xr:uid="{00000000-0005-0000-0000-0000EB080000}"/>
    <cellStyle name="40% - 강조색6 7 2 2 2 2" xfId="2564" xr:uid="{00000000-0005-0000-0000-0000EC080000}"/>
    <cellStyle name="40% - 강조색6 7 2 2 2 3" xfId="3733" xr:uid="{00000000-0005-0000-0000-0000ED080000}"/>
    <cellStyle name="40% - 강조색6 7 2 2 3" xfId="2046" xr:uid="{00000000-0005-0000-0000-0000EE080000}"/>
    <cellStyle name="40% - 강조색6 7 2 2 4" xfId="3215" xr:uid="{00000000-0005-0000-0000-0000EF080000}"/>
    <cellStyle name="40% - 강조색6 7 2 3" xfId="998" xr:uid="{00000000-0005-0000-0000-0000F0080000}"/>
    <cellStyle name="40% - 강조색6 7 2 3 2" xfId="2302" xr:uid="{00000000-0005-0000-0000-0000F1080000}"/>
    <cellStyle name="40% - 강조색6 7 2 3 3" xfId="3471" xr:uid="{00000000-0005-0000-0000-0000F2080000}"/>
    <cellStyle name="40% - 강조색6 7 2 4" xfId="1784" xr:uid="{00000000-0005-0000-0000-0000F3080000}"/>
    <cellStyle name="40% - 강조색6 7 2 5" xfId="2953" xr:uid="{00000000-0005-0000-0000-0000F4080000}"/>
    <cellStyle name="40% - 강조색6 7 3" xfId="612" xr:uid="{00000000-0005-0000-0000-0000F5080000}"/>
    <cellStyle name="40% - 강조색6 7 3 2" xfId="1130" xr:uid="{00000000-0005-0000-0000-0000F6080000}"/>
    <cellStyle name="40% - 강조색6 7 3 2 2" xfId="2434" xr:uid="{00000000-0005-0000-0000-0000F7080000}"/>
    <cellStyle name="40% - 강조색6 7 3 2 3" xfId="3603" xr:uid="{00000000-0005-0000-0000-0000F8080000}"/>
    <cellStyle name="40% - 강조색6 7 3 3" xfId="1916" xr:uid="{00000000-0005-0000-0000-0000F9080000}"/>
    <cellStyle name="40% - 강조색6 7 3 4" xfId="3085" xr:uid="{00000000-0005-0000-0000-0000FA080000}"/>
    <cellStyle name="40% - 강조색6 7 4" xfId="868" xr:uid="{00000000-0005-0000-0000-0000FB080000}"/>
    <cellStyle name="40% - 강조색6 7 4 2" xfId="2172" xr:uid="{00000000-0005-0000-0000-0000FC080000}"/>
    <cellStyle name="40% - 강조색6 7 4 3" xfId="3341" xr:uid="{00000000-0005-0000-0000-0000FD080000}"/>
    <cellStyle name="40% - 강조색6 7 5" xfId="1654" xr:uid="{00000000-0005-0000-0000-0000FE080000}"/>
    <cellStyle name="40% - 강조색6 7 6" xfId="2823" xr:uid="{00000000-0005-0000-0000-0000FF080000}"/>
    <cellStyle name="40% - 강조색6 8" xfId="364" xr:uid="{00000000-0005-0000-0000-000000090000}"/>
    <cellStyle name="40% - 강조색6 8 2" xfId="626" xr:uid="{00000000-0005-0000-0000-000001090000}"/>
    <cellStyle name="40% - 강조색6 8 2 2" xfId="1144" xr:uid="{00000000-0005-0000-0000-000002090000}"/>
    <cellStyle name="40% - 강조색6 8 2 2 2" xfId="2448" xr:uid="{00000000-0005-0000-0000-000003090000}"/>
    <cellStyle name="40% - 강조색6 8 2 2 3" xfId="3617" xr:uid="{00000000-0005-0000-0000-000004090000}"/>
    <cellStyle name="40% - 강조색6 8 2 3" xfId="1930" xr:uid="{00000000-0005-0000-0000-000005090000}"/>
    <cellStyle name="40% - 강조색6 8 2 4" xfId="3099" xr:uid="{00000000-0005-0000-0000-000006090000}"/>
    <cellStyle name="40% - 강조색6 8 3" xfId="882" xr:uid="{00000000-0005-0000-0000-000007090000}"/>
    <cellStyle name="40% - 강조색6 8 3 2" xfId="2186" xr:uid="{00000000-0005-0000-0000-000008090000}"/>
    <cellStyle name="40% - 강조색6 8 3 3" xfId="3355" xr:uid="{00000000-0005-0000-0000-000009090000}"/>
    <cellStyle name="40% - 강조색6 8 4" xfId="1668" xr:uid="{00000000-0005-0000-0000-00000A090000}"/>
    <cellStyle name="40% - 강조색6 8 5" xfId="2837" xr:uid="{00000000-0005-0000-0000-00000B090000}"/>
    <cellStyle name="40% - 강조색6 9" xfId="384" xr:uid="{00000000-0005-0000-0000-00000C090000}"/>
    <cellStyle name="40% - 강조색6 9 2" xfId="646" xr:uid="{00000000-0005-0000-0000-00000D090000}"/>
    <cellStyle name="40% - 강조색6 9 2 2" xfId="1164" xr:uid="{00000000-0005-0000-0000-00000E090000}"/>
    <cellStyle name="40% - 강조색6 9 2 2 2" xfId="2468" xr:uid="{00000000-0005-0000-0000-00000F090000}"/>
    <cellStyle name="40% - 강조색6 9 2 2 3" xfId="3637" xr:uid="{00000000-0005-0000-0000-000010090000}"/>
    <cellStyle name="40% - 강조색6 9 2 3" xfId="1950" xr:uid="{00000000-0005-0000-0000-000011090000}"/>
    <cellStyle name="40% - 강조색6 9 2 4" xfId="3119" xr:uid="{00000000-0005-0000-0000-000012090000}"/>
    <cellStyle name="40% - 강조색6 9 3" xfId="902" xr:uid="{00000000-0005-0000-0000-000013090000}"/>
    <cellStyle name="40% - 강조색6 9 3 2" xfId="2206" xr:uid="{00000000-0005-0000-0000-000014090000}"/>
    <cellStyle name="40% - 강조색6 9 3 3" xfId="3375" xr:uid="{00000000-0005-0000-0000-000015090000}"/>
    <cellStyle name="40% - 강조색6 9 4" xfId="1688" xr:uid="{00000000-0005-0000-0000-000016090000}"/>
    <cellStyle name="40% - 강조색6 9 5" xfId="2857" xr:uid="{00000000-0005-0000-0000-000017090000}"/>
    <cellStyle name="60% - 강조색1" xfId="13" builtinId="32" customBuiltin="1"/>
    <cellStyle name="60% - 강조색1 2" xfId="78" xr:uid="{00000000-0005-0000-0000-000019090000}"/>
    <cellStyle name="60% - 강조색1 3" xfId="211" xr:uid="{00000000-0005-0000-0000-00001A090000}"/>
    <cellStyle name="60% - 강조색2" xfId="14" builtinId="36" customBuiltin="1"/>
    <cellStyle name="60% - 강조색2 2" xfId="79" xr:uid="{00000000-0005-0000-0000-00001C090000}"/>
    <cellStyle name="60% - 강조색2 3" xfId="215" xr:uid="{00000000-0005-0000-0000-00001D090000}"/>
    <cellStyle name="60% - 강조색3" xfId="15" builtinId="40" customBuiltin="1"/>
    <cellStyle name="60% - 강조색3 2" xfId="80" xr:uid="{00000000-0005-0000-0000-00001F090000}"/>
    <cellStyle name="60% - 강조색3 3" xfId="219" xr:uid="{00000000-0005-0000-0000-000020090000}"/>
    <cellStyle name="60% - 강조색4" xfId="16" builtinId="44" customBuiltin="1"/>
    <cellStyle name="60% - 강조색4 2" xfId="81" xr:uid="{00000000-0005-0000-0000-000022090000}"/>
    <cellStyle name="60% - 강조색4 3" xfId="223" xr:uid="{00000000-0005-0000-0000-000023090000}"/>
    <cellStyle name="60% - 강조색5" xfId="17" builtinId="48" customBuiltin="1"/>
    <cellStyle name="60% - 강조색5 2" xfId="82" xr:uid="{00000000-0005-0000-0000-000025090000}"/>
    <cellStyle name="60% - 강조색5 3" xfId="227" xr:uid="{00000000-0005-0000-0000-000026090000}"/>
    <cellStyle name="60% - 강조색6" xfId="18" builtinId="52" customBuiltin="1"/>
    <cellStyle name="60% - 강조색6 2" xfId="83" xr:uid="{00000000-0005-0000-0000-000028090000}"/>
    <cellStyle name="60% - 강조색6 3" xfId="231" xr:uid="{00000000-0005-0000-0000-000029090000}"/>
    <cellStyle name="강조색1" xfId="19" builtinId="29" customBuiltin="1"/>
    <cellStyle name="강조색1 2" xfId="84" xr:uid="{00000000-0005-0000-0000-00002B090000}"/>
    <cellStyle name="강조색1 3" xfId="208" xr:uid="{00000000-0005-0000-0000-00002C090000}"/>
    <cellStyle name="강조색2" xfId="20" builtinId="33" customBuiltin="1"/>
    <cellStyle name="강조색2 2" xfId="85" xr:uid="{00000000-0005-0000-0000-00002E090000}"/>
    <cellStyle name="강조색2 3" xfId="212" xr:uid="{00000000-0005-0000-0000-00002F090000}"/>
    <cellStyle name="강조색3" xfId="21" builtinId="37" customBuiltin="1"/>
    <cellStyle name="강조색3 2" xfId="86" xr:uid="{00000000-0005-0000-0000-000031090000}"/>
    <cellStyle name="강조색3 3" xfId="216" xr:uid="{00000000-0005-0000-0000-000032090000}"/>
    <cellStyle name="강조색4" xfId="22" builtinId="41" customBuiltin="1"/>
    <cellStyle name="강조색4 2" xfId="87" xr:uid="{00000000-0005-0000-0000-000034090000}"/>
    <cellStyle name="강조색4 3" xfId="220" xr:uid="{00000000-0005-0000-0000-000035090000}"/>
    <cellStyle name="강조색5" xfId="23" builtinId="45" customBuiltin="1"/>
    <cellStyle name="강조색5 2" xfId="88" xr:uid="{00000000-0005-0000-0000-000037090000}"/>
    <cellStyle name="강조색5 3" xfId="224" xr:uid="{00000000-0005-0000-0000-000038090000}"/>
    <cellStyle name="강조색6" xfId="24" builtinId="49" customBuiltin="1"/>
    <cellStyle name="강조색6 2" xfId="89" xr:uid="{00000000-0005-0000-0000-00003A090000}"/>
    <cellStyle name="강조색6 3" xfId="228" xr:uid="{00000000-0005-0000-0000-00003B090000}"/>
    <cellStyle name="경고문" xfId="25" builtinId="11" customBuiltin="1"/>
    <cellStyle name="경고문 2" xfId="90" xr:uid="{00000000-0005-0000-0000-00003D090000}"/>
    <cellStyle name="경고문 3" xfId="205" xr:uid="{00000000-0005-0000-0000-00003E090000}"/>
    <cellStyle name="계산" xfId="26" builtinId="22" customBuiltin="1"/>
    <cellStyle name="계산 2" xfId="91" xr:uid="{00000000-0005-0000-0000-000040090000}"/>
    <cellStyle name="계산 3" xfId="202" xr:uid="{00000000-0005-0000-0000-000041090000}"/>
    <cellStyle name="나쁨" xfId="27" builtinId="27" customBuiltin="1"/>
    <cellStyle name="나쁨 2" xfId="92" xr:uid="{00000000-0005-0000-0000-000043090000}"/>
    <cellStyle name="나쁨 3" xfId="198" xr:uid="{00000000-0005-0000-0000-000044090000}"/>
    <cellStyle name="메모" xfId="28" builtinId="10" customBuiltin="1"/>
    <cellStyle name="메모 10" xfId="482" xr:uid="{00000000-0005-0000-0000-000046090000}"/>
    <cellStyle name="메모 10 2" xfId="744" xr:uid="{00000000-0005-0000-0000-000047090000}"/>
    <cellStyle name="메모 10 2 2" xfId="1262" xr:uid="{00000000-0005-0000-0000-000048090000}"/>
    <cellStyle name="메모 10 2 2 2" xfId="2566" xr:uid="{00000000-0005-0000-0000-000049090000}"/>
    <cellStyle name="메모 10 2 2 3" xfId="3735" xr:uid="{00000000-0005-0000-0000-00004A090000}"/>
    <cellStyle name="메모 10 2 3" xfId="2048" xr:uid="{00000000-0005-0000-0000-00004B090000}"/>
    <cellStyle name="메모 10 2 4" xfId="3217" xr:uid="{00000000-0005-0000-0000-00004C090000}"/>
    <cellStyle name="메모 10 3" xfId="1000" xr:uid="{00000000-0005-0000-0000-00004D090000}"/>
    <cellStyle name="메모 10 3 2" xfId="2304" xr:uid="{00000000-0005-0000-0000-00004E090000}"/>
    <cellStyle name="메모 10 3 3" xfId="3473" xr:uid="{00000000-0005-0000-0000-00004F090000}"/>
    <cellStyle name="메모 10 4" xfId="1786" xr:uid="{00000000-0005-0000-0000-000050090000}"/>
    <cellStyle name="메모 10 5" xfId="2955" xr:uid="{00000000-0005-0000-0000-000051090000}"/>
    <cellStyle name="메모 11" xfId="502" xr:uid="{00000000-0005-0000-0000-000052090000}"/>
    <cellStyle name="메모 11 2" xfId="1020" xr:uid="{00000000-0005-0000-0000-000053090000}"/>
    <cellStyle name="메모 11 2 2" xfId="2324" xr:uid="{00000000-0005-0000-0000-000054090000}"/>
    <cellStyle name="메모 11 2 3" xfId="3493" xr:uid="{00000000-0005-0000-0000-000055090000}"/>
    <cellStyle name="메모 11 3" xfId="1806" xr:uid="{00000000-0005-0000-0000-000056090000}"/>
    <cellStyle name="메모 11 4" xfId="2975" xr:uid="{00000000-0005-0000-0000-000057090000}"/>
    <cellStyle name="메모 2" xfId="93" xr:uid="{00000000-0005-0000-0000-000058090000}"/>
    <cellStyle name="메모 2 2" xfId="280" xr:uid="{00000000-0005-0000-0000-000059090000}"/>
    <cellStyle name="메모 2 2 2" xfId="410" xr:uid="{00000000-0005-0000-0000-00005A090000}"/>
    <cellStyle name="메모 2 2 2 2" xfId="672" xr:uid="{00000000-0005-0000-0000-00005B090000}"/>
    <cellStyle name="메모 2 2 2 2 2" xfId="1190" xr:uid="{00000000-0005-0000-0000-00005C090000}"/>
    <cellStyle name="메모 2 2 2 2 2 2" xfId="2494" xr:uid="{00000000-0005-0000-0000-00005D090000}"/>
    <cellStyle name="메모 2 2 2 2 2 3" xfId="3663" xr:uid="{00000000-0005-0000-0000-00005E090000}"/>
    <cellStyle name="메모 2 2 2 2 3" xfId="1976" xr:uid="{00000000-0005-0000-0000-00005F090000}"/>
    <cellStyle name="메모 2 2 2 2 4" xfId="3145" xr:uid="{00000000-0005-0000-0000-000060090000}"/>
    <cellStyle name="메모 2 2 2 3" xfId="928" xr:uid="{00000000-0005-0000-0000-000061090000}"/>
    <cellStyle name="메모 2 2 2 3 2" xfId="2232" xr:uid="{00000000-0005-0000-0000-000062090000}"/>
    <cellStyle name="메모 2 2 2 3 3" xfId="3401" xr:uid="{00000000-0005-0000-0000-000063090000}"/>
    <cellStyle name="메모 2 2 2 4" xfId="1714" xr:uid="{00000000-0005-0000-0000-000064090000}"/>
    <cellStyle name="메모 2 2 2 5" xfId="2883" xr:uid="{00000000-0005-0000-0000-000065090000}"/>
    <cellStyle name="메모 2 2 3" xfId="542" xr:uid="{00000000-0005-0000-0000-000066090000}"/>
    <cellStyle name="메모 2 2 3 2" xfId="1060" xr:uid="{00000000-0005-0000-0000-000067090000}"/>
    <cellStyle name="메모 2 2 3 2 2" xfId="2364" xr:uid="{00000000-0005-0000-0000-000068090000}"/>
    <cellStyle name="메모 2 2 3 2 3" xfId="3533" xr:uid="{00000000-0005-0000-0000-000069090000}"/>
    <cellStyle name="메모 2 2 3 3" xfId="1846" xr:uid="{00000000-0005-0000-0000-00006A090000}"/>
    <cellStyle name="메모 2 2 3 4" xfId="3015" xr:uid="{00000000-0005-0000-0000-00006B090000}"/>
    <cellStyle name="메모 2 2 4" xfId="798" xr:uid="{00000000-0005-0000-0000-00006C090000}"/>
    <cellStyle name="메모 2 2 4 2" xfId="2102" xr:uid="{00000000-0005-0000-0000-00006D090000}"/>
    <cellStyle name="메모 2 2 4 3" xfId="3271" xr:uid="{00000000-0005-0000-0000-00006E090000}"/>
    <cellStyle name="메모 2 2 5" xfId="1585" xr:uid="{00000000-0005-0000-0000-00006F090000}"/>
    <cellStyle name="메모 2 2 6" xfId="2754" xr:uid="{00000000-0005-0000-0000-000070090000}"/>
    <cellStyle name="메모 2 3" xfId="386" xr:uid="{00000000-0005-0000-0000-000071090000}"/>
    <cellStyle name="메모 2 3 2" xfId="648" xr:uid="{00000000-0005-0000-0000-000072090000}"/>
    <cellStyle name="메모 2 3 2 2" xfId="1166" xr:uid="{00000000-0005-0000-0000-000073090000}"/>
    <cellStyle name="메모 2 3 2 2 2" xfId="2470" xr:uid="{00000000-0005-0000-0000-000074090000}"/>
    <cellStyle name="메모 2 3 2 2 3" xfId="3639" xr:uid="{00000000-0005-0000-0000-000075090000}"/>
    <cellStyle name="메모 2 3 2 3" xfId="1952" xr:uid="{00000000-0005-0000-0000-000076090000}"/>
    <cellStyle name="메모 2 3 2 4" xfId="3121" xr:uid="{00000000-0005-0000-0000-000077090000}"/>
    <cellStyle name="메모 2 3 3" xfId="904" xr:uid="{00000000-0005-0000-0000-000078090000}"/>
    <cellStyle name="메모 2 3 3 2" xfId="2208" xr:uid="{00000000-0005-0000-0000-000079090000}"/>
    <cellStyle name="메모 2 3 3 3" xfId="3377" xr:uid="{00000000-0005-0000-0000-00007A090000}"/>
    <cellStyle name="메모 2 3 4" xfId="1690" xr:uid="{00000000-0005-0000-0000-00007B090000}"/>
    <cellStyle name="메모 2 3 5" xfId="2859" xr:uid="{00000000-0005-0000-0000-00007C090000}"/>
    <cellStyle name="메모 2 4" xfId="518" xr:uid="{00000000-0005-0000-0000-00007D090000}"/>
    <cellStyle name="메모 2 4 2" xfId="1036" xr:uid="{00000000-0005-0000-0000-00007E090000}"/>
    <cellStyle name="메모 2 4 2 2" xfId="2340" xr:uid="{00000000-0005-0000-0000-00007F090000}"/>
    <cellStyle name="메모 2 4 2 3" xfId="3509" xr:uid="{00000000-0005-0000-0000-000080090000}"/>
    <cellStyle name="메모 2 4 3" xfId="1822" xr:uid="{00000000-0005-0000-0000-000081090000}"/>
    <cellStyle name="메모 2 4 4" xfId="2991" xr:uid="{00000000-0005-0000-0000-000082090000}"/>
    <cellStyle name="메모 2 5" xfId="774" xr:uid="{00000000-0005-0000-0000-000083090000}"/>
    <cellStyle name="메모 2 5 2" xfId="2078" xr:uid="{00000000-0005-0000-0000-000084090000}"/>
    <cellStyle name="메모 2 5 3" xfId="3247" xr:uid="{00000000-0005-0000-0000-000085090000}"/>
    <cellStyle name="메모 2 6" xfId="256" xr:uid="{00000000-0005-0000-0000-000086090000}"/>
    <cellStyle name="메모 2 6 2" xfId="1562" xr:uid="{00000000-0005-0000-0000-000087090000}"/>
    <cellStyle name="메모 2 6 3" xfId="2731" xr:uid="{00000000-0005-0000-0000-000088090000}"/>
    <cellStyle name="메모 3" xfId="257" xr:uid="{00000000-0005-0000-0000-000089090000}"/>
    <cellStyle name="메모 3 2" xfId="388" xr:uid="{00000000-0005-0000-0000-00008A090000}"/>
    <cellStyle name="메모 3 2 2" xfId="650" xr:uid="{00000000-0005-0000-0000-00008B090000}"/>
    <cellStyle name="메모 3 2 2 2" xfId="1168" xr:uid="{00000000-0005-0000-0000-00008C090000}"/>
    <cellStyle name="메모 3 2 2 2 2" xfId="2472" xr:uid="{00000000-0005-0000-0000-00008D090000}"/>
    <cellStyle name="메모 3 2 2 2 3" xfId="3641" xr:uid="{00000000-0005-0000-0000-00008E090000}"/>
    <cellStyle name="메모 3 2 2 3" xfId="1954" xr:uid="{00000000-0005-0000-0000-00008F090000}"/>
    <cellStyle name="메모 3 2 2 4" xfId="3123" xr:uid="{00000000-0005-0000-0000-000090090000}"/>
    <cellStyle name="메모 3 2 3" xfId="906" xr:uid="{00000000-0005-0000-0000-000091090000}"/>
    <cellStyle name="메모 3 2 3 2" xfId="2210" xr:uid="{00000000-0005-0000-0000-000092090000}"/>
    <cellStyle name="메모 3 2 3 3" xfId="3379" xr:uid="{00000000-0005-0000-0000-000093090000}"/>
    <cellStyle name="메모 3 2 4" xfId="1692" xr:uid="{00000000-0005-0000-0000-000094090000}"/>
    <cellStyle name="메모 3 2 5" xfId="2861" xr:uid="{00000000-0005-0000-0000-000095090000}"/>
    <cellStyle name="메모 3 3" xfId="520" xr:uid="{00000000-0005-0000-0000-000096090000}"/>
    <cellStyle name="메모 3 3 2" xfId="1038" xr:uid="{00000000-0005-0000-0000-000097090000}"/>
    <cellStyle name="메모 3 3 2 2" xfId="2342" xr:uid="{00000000-0005-0000-0000-000098090000}"/>
    <cellStyle name="메모 3 3 2 3" xfId="3511" xr:uid="{00000000-0005-0000-0000-000099090000}"/>
    <cellStyle name="메모 3 3 3" xfId="1824" xr:uid="{00000000-0005-0000-0000-00009A090000}"/>
    <cellStyle name="메모 3 3 4" xfId="2993" xr:uid="{00000000-0005-0000-0000-00009B090000}"/>
    <cellStyle name="메모 3 4" xfId="776" xr:uid="{00000000-0005-0000-0000-00009C090000}"/>
    <cellStyle name="메모 3 4 2" xfId="2080" xr:uid="{00000000-0005-0000-0000-00009D090000}"/>
    <cellStyle name="메모 3 4 3" xfId="3249" xr:uid="{00000000-0005-0000-0000-00009E090000}"/>
    <cellStyle name="메모 3 5" xfId="1563" xr:uid="{00000000-0005-0000-0000-00009F090000}"/>
    <cellStyle name="메모 3 6" xfId="2732" xr:uid="{00000000-0005-0000-0000-0000A0090000}"/>
    <cellStyle name="메모 4" xfId="281" xr:uid="{00000000-0005-0000-0000-0000A1090000}"/>
    <cellStyle name="메모 4 2" xfId="412" xr:uid="{00000000-0005-0000-0000-0000A2090000}"/>
    <cellStyle name="메모 4 2 2" xfId="674" xr:uid="{00000000-0005-0000-0000-0000A3090000}"/>
    <cellStyle name="메모 4 2 2 2" xfId="1192" xr:uid="{00000000-0005-0000-0000-0000A4090000}"/>
    <cellStyle name="메모 4 2 2 2 2" xfId="2496" xr:uid="{00000000-0005-0000-0000-0000A5090000}"/>
    <cellStyle name="메모 4 2 2 2 3" xfId="3665" xr:uid="{00000000-0005-0000-0000-0000A6090000}"/>
    <cellStyle name="메모 4 2 2 3" xfId="1978" xr:uid="{00000000-0005-0000-0000-0000A7090000}"/>
    <cellStyle name="메모 4 2 2 4" xfId="3147" xr:uid="{00000000-0005-0000-0000-0000A8090000}"/>
    <cellStyle name="메모 4 2 3" xfId="930" xr:uid="{00000000-0005-0000-0000-0000A9090000}"/>
    <cellStyle name="메모 4 2 3 2" xfId="2234" xr:uid="{00000000-0005-0000-0000-0000AA090000}"/>
    <cellStyle name="메모 4 2 3 3" xfId="3403" xr:uid="{00000000-0005-0000-0000-0000AB090000}"/>
    <cellStyle name="메모 4 2 4" xfId="1716" xr:uid="{00000000-0005-0000-0000-0000AC090000}"/>
    <cellStyle name="메모 4 2 5" xfId="2885" xr:uid="{00000000-0005-0000-0000-0000AD090000}"/>
    <cellStyle name="메모 4 3" xfId="544" xr:uid="{00000000-0005-0000-0000-0000AE090000}"/>
    <cellStyle name="메모 4 3 2" xfId="1062" xr:uid="{00000000-0005-0000-0000-0000AF090000}"/>
    <cellStyle name="메모 4 3 2 2" xfId="2366" xr:uid="{00000000-0005-0000-0000-0000B0090000}"/>
    <cellStyle name="메모 4 3 2 3" xfId="3535" xr:uid="{00000000-0005-0000-0000-0000B1090000}"/>
    <cellStyle name="메모 4 3 3" xfId="1848" xr:uid="{00000000-0005-0000-0000-0000B2090000}"/>
    <cellStyle name="메모 4 3 4" xfId="3017" xr:uid="{00000000-0005-0000-0000-0000B3090000}"/>
    <cellStyle name="메모 4 4" xfId="800" xr:uid="{00000000-0005-0000-0000-0000B4090000}"/>
    <cellStyle name="메모 4 4 2" xfId="2104" xr:uid="{00000000-0005-0000-0000-0000B5090000}"/>
    <cellStyle name="메모 4 4 3" xfId="3273" xr:uid="{00000000-0005-0000-0000-0000B6090000}"/>
    <cellStyle name="메모 4 5" xfId="1586" xr:uid="{00000000-0005-0000-0000-0000B7090000}"/>
    <cellStyle name="메모 4 6" xfId="2755" xr:uid="{00000000-0005-0000-0000-0000B8090000}"/>
    <cellStyle name="메모 5" xfId="296" xr:uid="{00000000-0005-0000-0000-0000B9090000}"/>
    <cellStyle name="메모 5 2" xfId="426" xr:uid="{00000000-0005-0000-0000-0000BA090000}"/>
    <cellStyle name="메모 5 2 2" xfId="688" xr:uid="{00000000-0005-0000-0000-0000BB090000}"/>
    <cellStyle name="메모 5 2 2 2" xfId="1206" xr:uid="{00000000-0005-0000-0000-0000BC090000}"/>
    <cellStyle name="메모 5 2 2 2 2" xfId="2510" xr:uid="{00000000-0005-0000-0000-0000BD090000}"/>
    <cellStyle name="메모 5 2 2 2 3" xfId="3679" xr:uid="{00000000-0005-0000-0000-0000BE090000}"/>
    <cellStyle name="메모 5 2 2 3" xfId="1992" xr:uid="{00000000-0005-0000-0000-0000BF090000}"/>
    <cellStyle name="메모 5 2 2 4" xfId="3161" xr:uid="{00000000-0005-0000-0000-0000C0090000}"/>
    <cellStyle name="메모 5 2 3" xfId="944" xr:uid="{00000000-0005-0000-0000-0000C1090000}"/>
    <cellStyle name="메모 5 2 3 2" xfId="2248" xr:uid="{00000000-0005-0000-0000-0000C2090000}"/>
    <cellStyle name="메모 5 2 3 3" xfId="3417" xr:uid="{00000000-0005-0000-0000-0000C3090000}"/>
    <cellStyle name="메모 5 2 4" xfId="1730" xr:uid="{00000000-0005-0000-0000-0000C4090000}"/>
    <cellStyle name="메모 5 2 5" xfId="2899" xr:uid="{00000000-0005-0000-0000-0000C5090000}"/>
    <cellStyle name="메모 5 3" xfId="558" xr:uid="{00000000-0005-0000-0000-0000C6090000}"/>
    <cellStyle name="메모 5 3 2" xfId="1076" xr:uid="{00000000-0005-0000-0000-0000C7090000}"/>
    <cellStyle name="메모 5 3 2 2" xfId="2380" xr:uid="{00000000-0005-0000-0000-0000C8090000}"/>
    <cellStyle name="메모 5 3 2 3" xfId="3549" xr:uid="{00000000-0005-0000-0000-0000C9090000}"/>
    <cellStyle name="메모 5 3 3" xfId="1862" xr:uid="{00000000-0005-0000-0000-0000CA090000}"/>
    <cellStyle name="메모 5 3 4" xfId="3031" xr:uid="{00000000-0005-0000-0000-0000CB090000}"/>
    <cellStyle name="메모 5 4" xfId="814" xr:uid="{00000000-0005-0000-0000-0000CC090000}"/>
    <cellStyle name="메모 5 4 2" xfId="2118" xr:uid="{00000000-0005-0000-0000-0000CD090000}"/>
    <cellStyle name="메모 5 4 3" xfId="3287" xr:uid="{00000000-0005-0000-0000-0000CE090000}"/>
    <cellStyle name="메모 5 5" xfId="1600" xr:uid="{00000000-0005-0000-0000-0000CF090000}"/>
    <cellStyle name="메모 5 6" xfId="2769" xr:uid="{00000000-0005-0000-0000-0000D0090000}"/>
    <cellStyle name="메모 6" xfId="310" xr:uid="{00000000-0005-0000-0000-0000D1090000}"/>
    <cellStyle name="메모 6 2" xfId="440" xr:uid="{00000000-0005-0000-0000-0000D2090000}"/>
    <cellStyle name="메모 6 2 2" xfId="702" xr:uid="{00000000-0005-0000-0000-0000D3090000}"/>
    <cellStyle name="메모 6 2 2 2" xfId="1220" xr:uid="{00000000-0005-0000-0000-0000D4090000}"/>
    <cellStyle name="메모 6 2 2 2 2" xfId="2524" xr:uid="{00000000-0005-0000-0000-0000D5090000}"/>
    <cellStyle name="메모 6 2 2 2 3" xfId="3693" xr:uid="{00000000-0005-0000-0000-0000D6090000}"/>
    <cellStyle name="메모 6 2 2 3" xfId="2006" xr:uid="{00000000-0005-0000-0000-0000D7090000}"/>
    <cellStyle name="메모 6 2 2 4" xfId="3175" xr:uid="{00000000-0005-0000-0000-0000D8090000}"/>
    <cellStyle name="메모 6 2 3" xfId="958" xr:uid="{00000000-0005-0000-0000-0000D9090000}"/>
    <cellStyle name="메모 6 2 3 2" xfId="2262" xr:uid="{00000000-0005-0000-0000-0000DA090000}"/>
    <cellStyle name="메모 6 2 3 3" xfId="3431" xr:uid="{00000000-0005-0000-0000-0000DB090000}"/>
    <cellStyle name="메모 6 2 4" xfId="1744" xr:uid="{00000000-0005-0000-0000-0000DC090000}"/>
    <cellStyle name="메모 6 2 5" xfId="2913" xr:uid="{00000000-0005-0000-0000-0000DD090000}"/>
    <cellStyle name="메모 6 3" xfId="572" xr:uid="{00000000-0005-0000-0000-0000DE090000}"/>
    <cellStyle name="메모 6 3 2" xfId="1090" xr:uid="{00000000-0005-0000-0000-0000DF090000}"/>
    <cellStyle name="메모 6 3 2 2" xfId="2394" xr:uid="{00000000-0005-0000-0000-0000E0090000}"/>
    <cellStyle name="메모 6 3 2 3" xfId="3563" xr:uid="{00000000-0005-0000-0000-0000E1090000}"/>
    <cellStyle name="메모 6 3 3" xfId="1876" xr:uid="{00000000-0005-0000-0000-0000E2090000}"/>
    <cellStyle name="메모 6 3 4" xfId="3045" xr:uid="{00000000-0005-0000-0000-0000E3090000}"/>
    <cellStyle name="메모 6 4" xfId="828" xr:uid="{00000000-0005-0000-0000-0000E4090000}"/>
    <cellStyle name="메모 6 4 2" xfId="2132" xr:uid="{00000000-0005-0000-0000-0000E5090000}"/>
    <cellStyle name="메모 6 4 3" xfId="3301" xr:uid="{00000000-0005-0000-0000-0000E6090000}"/>
    <cellStyle name="메모 6 5" xfId="1614" xr:uid="{00000000-0005-0000-0000-0000E7090000}"/>
    <cellStyle name="메모 6 6" xfId="2783" xr:uid="{00000000-0005-0000-0000-0000E8090000}"/>
    <cellStyle name="메모 7" xfId="324" xr:uid="{00000000-0005-0000-0000-0000E9090000}"/>
    <cellStyle name="메모 7 2" xfId="454" xr:uid="{00000000-0005-0000-0000-0000EA090000}"/>
    <cellStyle name="메모 7 2 2" xfId="716" xr:uid="{00000000-0005-0000-0000-0000EB090000}"/>
    <cellStyle name="메모 7 2 2 2" xfId="1234" xr:uid="{00000000-0005-0000-0000-0000EC090000}"/>
    <cellStyle name="메모 7 2 2 2 2" xfId="2538" xr:uid="{00000000-0005-0000-0000-0000ED090000}"/>
    <cellStyle name="메모 7 2 2 2 3" xfId="3707" xr:uid="{00000000-0005-0000-0000-0000EE090000}"/>
    <cellStyle name="메모 7 2 2 3" xfId="2020" xr:uid="{00000000-0005-0000-0000-0000EF090000}"/>
    <cellStyle name="메모 7 2 2 4" xfId="3189" xr:uid="{00000000-0005-0000-0000-0000F0090000}"/>
    <cellStyle name="메모 7 2 3" xfId="972" xr:uid="{00000000-0005-0000-0000-0000F1090000}"/>
    <cellStyle name="메모 7 2 3 2" xfId="2276" xr:uid="{00000000-0005-0000-0000-0000F2090000}"/>
    <cellStyle name="메모 7 2 3 3" xfId="3445" xr:uid="{00000000-0005-0000-0000-0000F3090000}"/>
    <cellStyle name="메모 7 2 4" xfId="1758" xr:uid="{00000000-0005-0000-0000-0000F4090000}"/>
    <cellStyle name="메모 7 2 5" xfId="2927" xr:uid="{00000000-0005-0000-0000-0000F5090000}"/>
    <cellStyle name="메모 7 3" xfId="586" xr:uid="{00000000-0005-0000-0000-0000F6090000}"/>
    <cellStyle name="메모 7 3 2" xfId="1104" xr:uid="{00000000-0005-0000-0000-0000F7090000}"/>
    <cellStyle name="메모 7 3 2 2" xfId="2408" xr:uid="{00000000-0005-0000-0000-0000F8090000}"/>
    <cellStyle name="메모 7 3 2 3" xfId="3577" xr:uid="{00000000-0005-0000-0000-0000F9090000}"/>
    <cellStyle name="메모 7 3 3" xfId="1890" xr:uid="{00000000-0005-0000-0000-0000FA090000}"/>
    <cellStyle name="메모 7 3 4" xfId="3059" xr:uid="{00000000-0005-0000-0000-0000FB090000}"/>
    <cellStyle name="메모 7 4" xfId="842" xr:uid="{00000000-0005-0000-0000-0000FC090000}"/>
    <cellStyle name="메모 7 4 2" xfId="2146" xr:uid="{00000000-0005-0000-0000-0000FD090000}"/>
    <cellStyle name="메모 7 4 3" xfId="3315" xr:uid="{00000000-0005-0000-0000-0000FE090000}"/>
    <cellStyle name="메모 7 5" xfId="1628" xr:uid="{00000000-0005-0000-0000-0000FF090000}"/>
    <cellStyle name="메모 7 6" xfId="2797" xr:uid="{00000000-0005-0000-0000-0000000A0000}"/>
    <cellStyle name="메모 8" xfId="338" xr:uid="{00000000-0005-0000-0000-0000010A0000}"/>
    <cellStyle name="메모 8 2" xfId="468" xr:uid="{00000000-0005-0000-0000-0000020A0000}"/>
    <cellStyle name="메모 8 2 2" xfId="730" xr:uid="{00000000-0005-0000-0000-0000030A0000}"/>
    <cellStyle name="메모 8 2 2 2" xfId="1248" xr:uid="{00000000-0005-0000-0000-0000040A0000}"/>
    <cellStyle name="메모 8 2 2 2 2" xfId="2552" xr:uid="{00000000-0005-0000-0000-0000050A0000}"/>
    <cellStyle name="메모 8 2 2 2 3" xfId="3721" xr:uid="{00000000-0005-0000-0000-0000060A0000}"/>
    <cellStyle name="메모 8 2 2 3" xfId="2034" xr:uid="{00000000-0005-0000-0000-0000070A0000}"/>
    <cellStyle name="메모 8 2 2 4" xfId="3203" xr:uid="{00000000-0005-0000-0000-0000080A0000}"/>
    <cellStyle name="메모 8 2 3" xfId="986" xr:uid="{00000000-0005-0000-0000-0000090A0000}"/>
    <cellStyle name="메모 8 2 3 2" xfId="2290" xr:uid="{00000000-0005-0000-0000-00000A0A0000}"/>
    <cellStyle name="메모 8 2 3 3" xfId="3459" xr:uid="{00000000-0005-0000-0000-00000B0A0000}"/>
    <cellStyle name="메모 8 2 4" xfId="1772" xr:uid="{00000000-0005-0000-0000-00000C0A0000}"/>
    <cellStyle name="메모 8 2 5" xfId="2941" xr:uid="{00000000-0005-0000-0000-00000D0A0000}"/>
    <cellStyle name="메모 8 3" xfId="600" xr:uid="{00000000-0005-0000-0000-00000E0A0000}"/>
    <cellStyle name="메모 8 3 2" xfId="1118" xr:uid="{00000000-0005-0000-0000-00000F0A0000}"/>
    <cellStyle name="메모 8 3 2 2" xfId="2422" xr:uid="{00000000-0005-0000-0000-0000100A0000}"/>
    <cellStyle name="메모 8 3 2 3" xfId="3591" xr:uid="{00000000-0005-0000-0000-0000110A0000}"/>
    <cellStyle name="메모 8 3 3" xfId="1904" xr:uid="{00000000-0005-0000-0000-0000120A0000}"/>
    <cellStyle name="메모 8 3 4" xfId="3073" xr:uid="{00000000-0005-0000-0000-0000130A0000}"/>
    <cellStyle name="메모 8 4" xfId="856" xr:uid="{00000000-0005-0000-0000-0000140A0000}"/>
    <cellStyle name="메모 8 4 2" xfId="2160" xr:uid="{00000000-0005-0000-0000-0000150A0000}"/>
    <cellStyle name="메모 8 4 3" xfId="3329" xr:uid="{00000000-0005-0000-0000-0000160A0000}"/>
    <cellStyle name="메모 8 5" xfId="1642" xr:uid="{00000000-0005-0000-0000-0000170A0000}"/>
    <cellStyle name="메모 8 6" xfId="2811" xr:uid="{00000000-0005-0000-0000-0000180A0000}"/>
    <cellStyle name="메모 9" xfId="352" xr:uid="{00000000-0005-0000-0000-0000190A0000}"/>
    <cellStyle name="메모 9 2" xfId="614" xr:uid="{00000000-0005-0000-0000-00001A0A0000}"/>
    <cellStyle name="메모 9 2 2" xfId="1132" xr:uid="{00000000-0005-0000-0000-00001B0A0000}"/>
    <cellStyle name="메모 9 2 2 2" xfId="2436" xr:uid="{00000000-0005-0000-0000-00001C0A0000}"/>
    <cellStyle name="메모 9 2 2 3" xfId="3605" xr:uid="{00000000-0005-0000-0000-00001D0A0000}"/>
    <cellStyle name="메모 9 2 3" xfId="1918" xr:uid="{00000000-0005-0000-0000-00001E0A0000}"/>
    <cellStyle name="메모 9 2 4" xfId="3087" xr:uid="{00000000-0005-0000-0000-00001F0A0000}"/>
    <cellStyle name="메모 9 3" xfId="870" xr:uid="{00000000-0005-0000-0000-0000200A0000}"/>
    <cellStyle name="메모 9 3 2" xfId="2174" xr:uid="{00000000-0005-0000-0000-0000210A0000}"/>
    <cellStyle name="메모 9 3 3" xfId="3343" xr:uid="{00000000-0005-0000-0000-0000220A0000}"/>
    <cellStyle name="메모 9 4" xfId="1656" xr:uid="{00000000-0005-0000-0000-0000230A0000}"/>
    <cellStyle name="메모 9 5" xfId="2825" xr:uid="{00000000-0005-0000-0000-0000240A0000}"/>
    <cellStyle name="백분율" xfId="3814" builtinId="5"/>
    <cellStyle name="백분율 2" xfId="113" xr:uid="{00000000-0005-0000-0000-0000260A0000}"/>
    <cellStyle name="백분율 2 2" xfId="1294" xr:uid="{00000000-0005-0000-0000-0000270A0000}"/>
    <cellStyle name="백분율 3" xfId="131" xr:uid="{00000000-0005-0000-0000-0000280A0000}"/>
    <cellStyle name="보통" xfId="29" builtinId="28" customBuiltin="1"/>
    <cellStyle name="보통 2" xfId="94" xr:uid="{00000000-0005-0000-0000-00002A0A0000}"/>
    <cellStyle name="보통 3" xfId="199" xr:uid="{00000000-0005-0000-0000-00002B0A0000}"/>
    <cellStyle name="설명 텍스트" xfId="30" builtinId="53" customBuiltin="1"/>
    <cellStyle name="설명 텍스트 2" xfId="95" xr:uid="{00000000-0005-0000-0000-00002D0A0000}"/>
    <cellStyle name="설명 텍스트 3" xfId="206" xr:uid="{00000000-0005-0000-0000-00002E0A0000}"/>
    <cellStyle name="셀 확인" xfId="31" builtinId="23" customBuiltin="1"/>
    <cellStyle name="셀 확인 2" xfId="96" xr:uid="{00000000-0005-0000-0000-0000300A0000}"/>
    <cellStyle name="셀 확인 3" xfId="204" xr:uid="{00000000-0005-0000-0000-0000310A0000}"/>
    <cellStyle name="쉼표 [0]" xfId="32" builtinId="6"/>
    <cellStyle name="쉼표 [0] 10" xfId="186" xr:uid="{00000000-0005-0000-0000-0000330A0000}"/>
    <cellStyle name="쉼표 [0] 10 2" xfId="1529" xr:uid="{00000000-0005-0000-0000-0000340A0000}"/>
    <cellStyle name="쉼표 [0] 10 3" xfId="2698" xr:uid="{00000000-0005-0000-0000-0000350A0000}"/>
    <cellStyle name="쉼표 [0] 11" xfId="245" xr:uid="{00000000-0005-0000-0000-0000360A0000}"/>
    <cellStyle name="쉼표 [0] 11 2" xfId="1555" xr:uid="{00000000-0005-0000-0000-0000370A0000}"/>
    <cellStyle name="쉼표 [0] 11 3" xfId="2724" xr:uid="{00000000-0005-0000-0000-0000380A0000}"/>
    <cellStyle name="쉼표 [0] 12" xfId="233" xr:uid="{00000000-0005-0000-0000-0000390A0000}"/>
    <cellStyle name="쉼표 [0] 13" xfId="50" xr:uid="{00000000-0005-0000-0000-00003A0A0000}"/>
    <cellStyle name="쉼표 [0] 13 2" xfId="2597" xr:uid="{00000000-0005-0000-0000-00003B0A0000}"/>
    <cellStyle name="쉼표 [0] 13 3" xfId="3768" xr:uid="{00000000-0005-0000-0000-00003C0A0000}"/>
    <cellStyle name="쉼표 [0] 14" xfId="2611" xr:uid="{00000000-0005-0000-0000-00003D0A0000}"/>
    <cellStyle name="쉼표 [0] 14 2" xfId="3782" xr:uid="{00000000-0005-0000-0000-00003E0A0000}"/>
    <cellStyle name="쉼표 [0] 15" xfId="1445" xr:uid="{00000000-0005-0000-0000-00003F0A0000}"/>
    <cellStyle name="쉼표 [0] 15 2" xfId="3783" xr:uid="{00000000-0005-0000-0000-0000400A0000}"/>
    <cellStyle name="쉼표 [0] 16" xfId="3796" xr:uid="{00000000-0005-0000-0000-0000410A0000}"/>
    <cellStyle name="쉼표 [0] 17" xfId="2613" xr:uid="{00000000-0005-0000-0000-0000420A0000}"/>
    <cellStyle name="쉼표 [0] 18" xfId="3810" xr:uid="{00000000-0005-0000-0000-0000430A0000}"/>
    <cellStyle name="쉼표 [0] 2" xfId="47" xr:uid="{00000000-0005-0000-0000-0000440A0000}"/>
    <cellStyle name="쉼표 [0] 2 10" xfId="2608" xr:uid="{00000000-0005-0000-0000-0000450A0000}"/>
    <cellStyle name="쉼표 [0] 2 10 2" xfId="3779" xr:uid="{00000000-0005-0000-0000-0000460A0000}"/>
    <cellStyle name="쉼표 [0] 2 11" xfId="1454" xr:uid="{00000000-0005-0000-0000-0000470A0000}"/>
    <cellStyle name="쉼표 [0] 2 11 2" xfId="3793" xr:uid="{00000000-0005-0000-0000-0000480A0000}"/>
    <cellStyle name="쉼표 [0] 2 12" xfId="2623" xr:uid="{00000000-0005-0000-0000-0000490A0000}"/>
    <cellStyle name="쉼표 [0] 2 2" xfId="121" xr:uid="{00000000-0005-0000-0000-00004A0A0000}"/>
    <cellStyle name="쉼표 [0] 2 2 2" xfId="155" xr:uid="{00000000-0005-0000-0000-00004B0A0000}"/>
    <cellStyle name="쉼표 [0] 2 2 2 2" xfId="664" xr:uid="{00000000-0005-0000-0000-00004C0A0000}"/>
    <cellStyle name="쉼표 [0] 2 2 2 2 2" xfId="1182" xr:uid="{00000000-0005-0000-0000-00004D0A0000}"/>
    <cellStyle name="쉼표 [0] 2 2 2 2 2 2" xfId="2486" xr:uid="{00000000-0005-0000-0000-00004E0A0000}"/>
    <cellStyle name="쉼표 [0] 2 2 2 2 2 3" xfId="3655" xr:uid="{00000000-0005-0000-0000-00004F0A0000}"/>
    <cellStyle name="쉼표 [0] 2 2 2 2 3" xfId="1968" xr:uid="{00000000-0005-0000-0000-0000500A0000}"/>
    <cellStyle name="쉼표 [0] 2 2 2 2 4" xfId="3137" xr:uid="{00000000-0005-0000-0000-0000510A0000}"/>
    <cellStyle name="쉼표 [0] 2 2 2 3" xfId="920" xr:uid="{00000000-0005-0000-0000-0000520A0000}"/>
    <cellStyle name="쉼표 [0] 2 2 2 3 2" xfId="2224" xr:uid="{00000000-0005-0000-0000-0000530A0000}"/>
    <cellStyle name="쉼표 [0] 2 2 2 3 3" xfId="3393" xr:uid="{00000000-0005-0000-0000-0000540A0000}"/>
    <cellStyle name="쉼표 [0] 2 2 2 4" xfId="402" xr:uid="{00000000-0005-0000-0000-0000550A0000}"/>
    <cellStyle name="쉼표 [0] 2 2 2 4 2" xfId="1706" xr:uid="{00000000-0005-0000-0000-0000560A0000}"/>
    <cellStyle name="쉼표 [0] 2 2 2 4 3" xfId="2875" xr:uid="{00000000-0005-0000-0000-0000570A0000}"/>
    <cellStyle name="쉼표 [0] 2 2 2 5" xfId="1501" xr:uid="{00000000-0005-0000-0000-0000580A0000}"/>
    <cellStyle name="쉼표 [0] 2 2 2 6" xfId="2670" xr:uid="{00000000-0005-0000-0000-0000590A0000}"/>
    <cellStyle name="쉼표 [0] 2 2 3" xfId="534" xr:uid="{00000000-0005-0000-0000-00005A0A0000}"/>
    <cellStyle name="쉼표 [0] 2 2 3 2" xfId="1052" xr:uid="{00000000-0005-0000-0000-00005B0A0000}"/>
    <cellStyle name="쉼표 [0] 2 2 3 2 2" xfId="2356" xr:uid="{00000000-0005-0000-0000-00005C0A0000}"/>
    <cellStyle name="쉼표 [0] 2 2 3 2 3" xfId="3525" xr:uid="{00000000-0005-0000-0000-00005D0A0000}"/>
    <cellStyle name="쉼표 [0] 2 2 3 3" xfId="1838" xr:uid="{00000000-0005-0000-0000-00005E0A0000}"/>
    <cellStyle name="쉼표 [0] 2 2 3 4" xfId="3007" xr:uid="{00000000-0005-0000-0000-00005F0A0000}"/>
    <cellStyle name="쉼표 [0] 2 2 4" xfId="790" xr:uid="{00000000-0005-0000-0000-0000600A0000}"/>
    <cellStyle name="쉼표 [0] 2 2 4 2" xfId="2094" xr:uid="{00000000-0005-0000-0000-0000610A0000}"/>
    <cellStyle name="쉼표 [0] 2 2 4 3" xfId="3263" xr:uid="{00000000-0005-0000-0000-0000620A0000}"/>
    <cellStyle name="쉼표 [0] 2 2 5" xfId="272" xr:uid="{00000000-0005-0000-0000-0000630A0000}"/>
    <cellStyle name="쉼표 [0] 2 2 5 2" xfId="1577" xr:uid="{00000000-0005-0000-0000-0000640A0000}"/>
    <cellStyle name="쉼표 [0] 2 2 5 3" xfId="2746" xr:uid="{00000000-0005-0000-0000-0000650A0000}"/>
    <cellStyle name="쉼표 [0] 2 2 6" xfId="1471" xr:uid="{00000000-0005-0000-0000-0000660A0000}"/>
    <cellStyle name="쉼표 [0] 2 2 7" xfId="2640" xr:uid="{00000000-0005-0000-0000-0000670A0000}"/>
    <cellStyle name="쉼표 [0] 2 3" xfId="141" xr:uid="{00000000-0005-0000-0000-0000680A0000}"/>
    <cellStyle name="쉼표 [0] 2 3 2" xfId="628" xr:uid="{00000000-0005-0000-0000-0000690A0000}"/>
    <cellStyle name="쉼표 [0] 2 3 2 2" xfId="1146" xr:uid="{00000000-0005-0000-0000-00006A0A0000}"/>
    <cellStyle name="쉼표 [0] 2 3 2 2 2" xfId="2450" xr:uid="{00000000-0005-0000-0000-00006B0A0000}"/>
    <cellStyle name="쉼표 [0] 2 3 2 2 3" xfId="3619" xr:uid="{00000000-0005-0000-0000-00006C0A0000}"/>
    <cellStyle name="쉼표 [0] 2 3 2 3" xfId="1932" xr:uid="{00000000-0005-0000-0000-00006D0A0000}"/>
    <cellStyle name="쉼표 [0] 2 3 2 4" xfId="3101" xr:uid="{00000000-0005-0000-0000-00006E0A0000}"/>
    <cellStyle name="쉼표 [0] 2 3 3" xfId="884" xr:uid="{00000000-0005-0000-0000-00006F0A0000}"/>
    <cellStyle name="쉼표 [0] 2 3 3 2" xfId="2188" xr:uid="{00000000-0005-0000-0000-0000700A0000}"/>
    <cellStyle name="쉼표 [0] 2 3 3 3" xfId="3357" xr:uid="{00000000-0005-0000-0000-0000710A0000}"/>
    <cellStyle name="쉼표 [0] 2 3 4" xfId="366" xr:uid="{00000000-0005-0000-0000-0000720A0000}"/>
    <cellStyle name="쉼표 [0] 2 3 4 2" xfId="1670" xr:uid="{00000000-0005-0000-0000-0000730A0000}"/>
    <cellStyle name="쉼표 [0] 2 3 4 3" xfId="2839" xr:uid="{00000000-0005-0000-0000-0000740A0000}"/>
    <cellStyle name="쉼표 [0] 2 3 5" xfId="1487" xr:uid="{00000000-0005-0000-0000-0000750A0000}"/>
    <cellStyle name="쉼표 [0] 2 3 6" xfId="2656" xr:uid="{00000000-0005-0000-0000-0000760A0000}"/>
    <cellStyle name="쉼표 [0] 2 4" xfId="175" xr:uid="{00000000-0005-0000-0000-0000770A0000}"/>
    <cellStyle name="쉼표 [0] 2 4 2" xfId="1014" xr:uid="{00000000-0005-0000-0000-0000780A0000}"/>
    <cellStyle name="쉼표 [0] 2 4 2 2" xfId="2318" xr:uid="{00000000-0005-0000-0000-0000790A0000}"/>
    <cellStyle name="쉼표 [0] 2 4 2 3" xfId="3487" xr:uid="{00000000-0005-0000-0000-00007A0A0000}"/>
    <cellStyle name="쉼표 [0] 2 4 3" xfId="496" xr:uid="{00000000-0005-0000-0000-00007B0A0000}"/>
    <cellStyle name="쉼표 [0] 2 4 3 2" xfId="1800" xr:uid="{00000000-0005-0000-0000-00007C0A0000}"/>
    <cellStyle name="쉼표 [0] 2 4 3 3" xfId="2969" xr:uid="{00000000-0005-0000-0000-00007D0A0000}"/>
    <cellStyle name="쉼표 [0] 2 4 4" xfId="1520" xr:uid="{00000000-0005-0000-0000-00007E0A0000}"/>
    <cellStyle name="쉼표 [0] 2 4 5" xfId="2689" xr:uid="{00000000-0005-0000-0000-00007F0A0000}"/>
    <cellStyle name="쉼표 [0] 2 5" xfId="188" xr:uid="{00000000-0005-0000-0000-0000800A0000}"/>
    <cellStyle name="쉼표 [0] 2 5 2" xfId="770" xr:uid="{00000000-0005-0000-0000-0000810A0000}"/>
    <cellStyle name="쉼표 [0] 2 5 2 2" xfId="2074" xr:uid="{00000000-0005-0000-0000-0000820A0000}"/>
    <cellStyle name="쉼표 [0] 2 5 2 3" xfId="3243" xr:uid="{00000000-0005-0000-0000-0000830A0000}"/>
    <cellStyle name="쉼표 [0] 2 5 3" xfId="252" xr:uid="{00000000-0005-0000-0000-0000840A0000}"/>
    <cellStyle name="쉼표 [0] 2 5 3 2" xfId="1559" xr:uid="{00000000-0005-0000-0000-0000850A0000}"/>
    <cellStyle name="쉼표 [0] 2 5 3 3" xfId="2728" xr:uid="{00000000-0005-0000-0000-0000860A0000}"/>
    <cellStyle name="쉼표 [0] 2 5 4" xfId="1530" xr:uid="{00000000-0005-0000-0000-0000870A0000}"/>
    <cellStyle name="쉼표 [0] 2 5 5" xfId="2699" xr:uid="{00000000-0005-0000-0000-0000880A0000}"/>
    <cellStyle name="쉼표 [0] 2 6" xfId="242" xr:uid="{00000000-0005-0000-0000-0000890A0000}"/>
    <cellStyle name="쉼표 [0] 2 6 2" xfId="1552" xr:uid="{00000000-0005-0000-0000-00008A0A0000}"/>
    <cellStyle name="쉼표 [0] 2 6 3" xfId="2721" xr:uid="{00000000-0005-0000-0000-00008B0A0000}"/>
    <cellStyle name="쉼표 [0] 2 7" xfId="249" xr:uid="{00000000-0005-0000-0000-00008C0A0000}"/>
    <cellStyle name="쉼표 [0] 2 7 2" xfId="1557" xr:uid="{00000000-0005-0000-0000-00008D0A0000}"/>
    <cellStyle name="쉼표 [0] 2 7 3" xfId="2726" xr:uid="{00000000-0005-0000-0000-00008E0A0000}"/>
    <cellStyle name="쉼표 [0] 2 8" xfId="59" xr:uid="{00000000-0005-0000-0000-00008F0A0000}"/>
    <cellStyle name="쉼표 [0] 2 8 2" xfId="1295" xr:uid="{00000000-0005-0000-0000-0000900A0000}"/>
    <cellStyle name="쉼표 [0] 2 8 3" xfId="2579" xr:uid="{00000000-0005-0000-0000-0000910A0000}"/>
    <cellStyle name="쉼표 [0] 2 8 4" xfId="3748" xr:uid="{00000000-0005-0000-0000-0000920A0000}"/>
    <cellStyle name="쉼표 [0] 2 9" xfId="2598" xr:uid="{00000000-0005-0000-0000-0000930A0000}"/>
    <cellStyle name="쉼표 [0] 2 9 2" xfId="3769" xr:uid="{00000000-0005-0000-0000-0000940A0000}"/>
    <cellStyle name="쉼표 [0] 3" xfId="97" xr:uid="{00000000-0005-0000-0000-0000950A0000}"/>
    <cellStyle name="쉼표 [0] 3 2" xfId="163" xr:uid="{00000000-0005-0000-0000-0000960A0000}"/>
    <cellStyle name="쉼표 [0] 3 2 2" xfId="1509" xr:uid="{00000000-0005-0000-0000-0000970A0000}"/>
    <cellStyle name="쉼표 [0] 3 2 3" xfId="2678" xr:uid="{00000000-0005-0000-0000-0000980A0000}"/>
    <cellStyle name="쉼표 [0] 3 3" xfId="189" xr:uid="{00000000-0005-0000-0000-0000990A0000}"/>
    <cellStyle name="쉼표 [0] 3 3 2" xfId="1531" xr:uid="{00000000-0005-0000-0000-00009A0A0000}"/>
    <cellStyle name="쉼표 [0] 3 3 3" xfId="2700" xr:uid="{00000000-0005-0000-0000-00009B0A0000}"/>
    <cellStyle name="쉼표 [0] 3 4" xfId="2599" xr:uid="{00000000-0005-0000-0000-00009C0A0000}"/>
    <cellStyle name="쉼표 [0] 3 4 2" xfId="3770" xr:uid="{00000000-0005-0000-0000-00009D0A0000}"/>
    <cellStyle name="쉼표 [0] 3 5" xfId="1460" xr:uid="{00000000-0005-0000-0000-00009E0A0000}"/>
    <cellStyle name="쉼표 [0] 3 6" xfId="2629" xr:uid="{00000000-0005-0000-0000-00009F0A0000}"/>
    <cellStyle name="쉼표 [0] 4" xfId="114" xr:uid="{00000000-0005-0000-0000-0000A00A0000}"/>
    <cellStyle name="쉼표 [0] 4 2" xfId="247" xr:uid="{00000000-0005-0000-0000-0000A10A0000}"/>
    <cellStyle name="쉼표 [0] 4 2 2" xfId="1556" xr:uid="{00000000-0005-0000-0000-0000A20A0000}"/>
    <cellStyle name="쉼표 [0] 4 2 3" xfId="2725" xr:uid="{00000000-0005-0000-0000-0000A30A0000}"/>
    <cellStyle name="쉼표 [0] 4 3" xfId="1464" xr:uid="{00000000-0005-0000-0000-0000A40A0000}"/>
    <cellStyle name="쉼표 [0] 4 4" xfId="2633" xr:uid="{00000000-0005-0000-0000-0000A50A0000}"/>
    <cellStyle name="쉼표 [0] 5" xfId="108" xr:uid="{00000000-0005-0000-0000-0000A60A0000}"/>
    <cellStyle name="쉼표 [0] 5 2" xfId="147" xr:uid="{00000000-0005-0000-0000-0000A70A0000}"/>
    <cellStyle name="쉼표 [0] 5 2 2" xfId="1493" xr:uid="{00000000-0005-0000-0000-0000A80A0000}"/>
    <cellStyle name="쉼표 [0] 5 2 3" xfId="2662" xr:uid="{00000000-0005-0000-0000-0000A90A0000}"/>
    <cellStyle name="쉼표 [0] 5 3" xfId="251" xr:uid="{00000000-0005-0000-0000-0000AA0A0000}"/>
    <cellStyle name="쉼표 [0] 5 3 2" xfId="1558" xr:uid="{00000000-0005-0000-0000-0000AB0A0000}"/>
    <cellStyle name="쉼표 [0] 5 3 3" xfId="2727" xr:uid="{00000000-0005-0000-0000-0000AC0A0000}"/>
    <cellStyle name="쉼표 [0] 5 4" xfId="1461" xr:uid="{00000000-0005-0000-0000-0000AD0A0000}"/>
    <cellStyle name="쉼표 [0] 5 5" xfId="2630" xr:uid="{00000000-0005-0000-0000-0000AE0A0000}"/>
    <cellStyle name="쉼표 [0] 6" xfId="132" xr:uid="{00000000-0005-0000-0000-0000AF0A0000}"/>
    <cellStyle name="쉼표 [0] 6 2" xfId="1478" xr:uid="{00000000-0005-0000-0000-0000B00A0000}"/>
    <cellStyle name="쉼표 [0] 6 3" xfId="2647" xr:uid="{00000000-0005-0000-0000-0000B10A0000}"/>
    <cellStyle name="쉼표 [0] 7" xfId="162" xr:uid="{00000000-0005-0000-0000-0000B20A0000}"/>
    <cellStyle name="쉼표 [0] 7 2" xfId="1508" xr:uid="{00000000-0005-0000-0000-0000B30A0000}"/>
    <cellStyle name="쉼표 [0] 7 3" xfId="2677" xr:uid="{00000000-0005-0000-0000-0000B40A0000}"/>
    <cellStyle name="쉼표 [0] 8" xfId="164" xr:uid="{00000000-0005-0000-0000-0000B50A0000}"/>
    <cellStyle name="쉼표 [0] 8 2" xfId="1510" xr:uid="{00000000-0005-0000-0000-0000B60A0000}"/>
    <cellStyle name="쉼표 [0] 8 3" xfId="2679" xr:uid="{00000000-0005-0000-0000-0000B70A0000}"/>
    <cellStyle name="쉼표 [0] 9" xfId="178" xr:uid="{00000000-0005-0000-0000-0000B80A0000}"/>
    <cellStyle name="쉼표 [0] 9 2" xfId="1523" xr:uid="{00000000-0005-0000-0000-0000B90A0000}"/>
    <cellStyle name="쉼표 [0] 9 3" xfId="2692" xr:uid="{00000000-0005-0000-0000-0000BA0A0000}"/>
    <cellStyle name="연결된 셀" xfId="33" builtinId="24" customBuiltin="1"/>
    <cellStyle name="연결된 셀 2" xfId="98" xr:uid="{00000000-0005-0000-0000-0000BC0A0000}"/>
    <cellStyle name="연결된 셀 3" xfId="203" xr:uid="{00000000-0005-0000-0000-0000BD0A0000}"/>
    <cellStyle name="요약" xfId="34" builtinId="25" customBuiltin="1"/>
    <cellStyle name="요약 2" xfId="99" xr:uid="{00000000-0005-0000-0000-0000BF0A0000}"/>
    <cellStyle name="요약 3" xfId="207" xr:uid="{00000000-0005-0000-0000-0000C00A0000}"/>
    <cellStyle name="입력" xfId="35" builtinId="20" customBuiltin="1"/>
    <cellStyle name="입력 2" xfId="100" xr:uid="{00000000-0005-0000-0000-0000C20A0000}"/>
    <cellStyle name="입력 3" xfId="200" xr:uid="{00000000-0005-0000-0000-0000C30A0000}"/>
    <cellStyle name="제목" xfId="36" builtinId="15" customBuiltin="1"/>
    <cellStyle name="제목 1" xfId="37" builtinId="16" customBuiltin="1"/>
    <cellStyle name="제목 1 2" xfId="102" xr:uid="{00000000-0005-0000-0000-0000C60A0000}"/>
    <cellStyle name="제목 1 3" xfId="193" xr:uid="{00000000-0005-0000-0000-0000C70A0000}"/>
    <cellStyle name="제목 2" xfId="38" builtinId="17" customBuiltin="1"/>
    <cellStyle name="제목 2 2" xfId="103" xr:uid="{00000000-0005-0000-0000-0000C90A0000}"/>
    <cellStyle name="제목 2 3" xfId="194" xr:uid="{00000000-0005-0000-0000-0000CA0A0000}"/>
    <cellStyle name="제목 3" xfId="39" builtinId="18" customBuiltin="1"/>
    <cellStyle name="제목 3 2" xfId="104" xr:uid="{00000000-0005-0000-0000-0000CC0A0000}"/>
    <cellStyle name="제목 3 3" xfId="195" xr:uid="{00000000-0005-0000-0000-0000CD0A0000}"/>
    <cellStyle name="제목 4" xfId="40" builtinId="19" customBuiltin="1"/>
    <cellStyle name="제목 4 2" xfId="105" xr:uid="{00000000-0005-0000-0000-0000CF0A0000}"/>
    <cellStyle name="제목 4 3" xfId="196" xr:uid="{00000000-0005-0000-0000-0000D00A0000}"/>
    <cellStyle name="제목 5" xfId="101" xr:uid="{00000000-0005-0000-0000-0000D10A0000}"/>
    <cellStyle name="제목 6" xfId="192" xr:uid="{00000000-0005-0000-0000-0000D20A0000}"/>
    <cellStyle name="좋음" xfId="41" builtinId="26" customBuiltin="1"/>
    <cellStyle name="좋음 2" xfId="106" xr:uid="{00000000-0005-0000-0000-0000D40A0000}"/>
    <cellStyle name="좋음 3" xfId="197" xr:uid="{00000000-0005-0000-0000-0000D50A0000}"/>
    <cellStyle name="출력" xfId="42" builtinId="21" customBuiltin="1"/>
    <cellStyle name="출력 2" xfId="107" xr:uid="{00000000-0005-0000-0000-0000D70A0000}"/>
    <cellStyle name="출력 3" xfId="201" xr:uid="{00000000-0005-0000-0000-0000D80A0000}"/>
    <cellStyle name="콤마 [0]_1.상호금융" xfId="43" xr:uid="{00000000-0005-0000-0000-0000D90A0000}"/>
    <cellStyle name="콤마_1.상호금융" xfId="44" xr:uid="{00000000-0005-0000-0000-0000DA0A0000}"/>
    <cellStyle name="통화 [0] 2" xfId="115" xr:uid="{00000000-0005-0000-0000-0000DB0A0000}"/>
    <cellStyle name="통화 [0] 2 2" xfId="167" xr:uid="{00000000-0005-0000-0000-0000DC0A0000}"/>
    <cellStyle name="통화 [0] 2 2 2" xfId="1512" xr:uid="{00000000-0005-0000-0000-0000DD0A0000}"/>
    <cellStyle name="통화 [0] 2 2 3" xfId="2681" xr:uid="{00000000-0005-0000-0000-0000DE0A0000}"/>
    <cellStyle name="통화 [0] 2 3" xfId="1465" xr:uid="{00000000-0005-0000-0000-0000DF0A0000}"/>
    <cellStyle name="통화 [0] 2 4" xfId="2634" xr:uid="{00000000-0005-0000-0000-0000E00A0000}"/>
    <cellStyle name="통화 [0] 3" xfId="133" xr:uid="{00000000-0005-0000-0000-0000E10A0000}"/>
    <cellStyle name="통화 [0] 3 2" xfId="1479" xr:uid="{00000000-0005-0000-0000-0000E20A0000}"/>
    <cellStyle name="통화 [0] 3 3" xfId="2648" xr:uid="{00000000-0005-0000-0000-0000E30A0000}"/>
    <cellStyle name="통화 [0] 4" xfId="179" xr:uid="{00000000-0005-0000-0000-0000E40A0000}"/>
    <cellStyle name="통화 [0] 4 2" xfId="1524" xr:uid="{00000000-0005-0000-0000-0000E50A0000}"/>
    <cellStyle name="통화 [0] 4 3" xfId="2693" xr:uid="{00000000-0005-0000-0000-0000E60A0000}"/>
    <cellStyle name="통화 [0] 5" xfId="1446" xr:uid="{00000000-0005-0000-0000-0000E70A0000}"/>
    <cellStyle name="통화 [0] 6" xfId="2614" xr:uid="{00000000-0005-0000-0000-0000E80A0000}"/>
    <cellStyle name="통화 [0]_raw여수신" xfId="2615" xr:uid="{00000000-0005-0000-0000-0000E90A0000}"/>
    <cellStyle name="표준" xfId="0" builtinId="0"/>
    <cellStyle name="표준 10" xfId="61" xr:uid="{00000000-0005-0000-0000-0000EB0A0000}"/>
    <cellStyle name="표준 10 2" xfId="123" xr:uid="{00000000-0005-0000-0000-0000EC0A0000}"/>
    <cellStyle name="표준 10 2 2" xfId="157" xr:uid="{00000000-0005-0000-0000-0000ED0A0000}"/>
    <cellStyle name="표준 10 2 2 2" xfId="1191" xr:uid="{00000000-0005-0000-0000-0000EE0A0000}"/>
    <cellStyle name="표준 10 2 2 2 2" xfId="2495" xr:uid="{00000000-0005-0000-0000-0000EF0A0000}"/>
    <cellStyle name="표준 10 2 2 2 3" xfId="3664" xr:uid="{00000000-0005-0000-0000-0000F00A0000}"/>
    <cellStyle name="표준 10 2 2 3" xfId="673" xr:uid="{00000000-0005-0000-0000-0000F10A0000}"/>
    <cellStyle name="표준 10 2 2 3 2" xfId="1977" xr:uid="{00000000-0005-0000-0000-0000F20A0000}"/>
    <cellStyle name="표준 10 2 2 3 3" xfId="3146" xr:uid="{00000000-0005-0000-0000-0000F30A0000}"/>
    <cellStyle name="표준 10 2 2 4" xfId="1503" xr:uid="{00000000-0005-0000-0000-0000F40A0000}"/>
    <cellStyle name="표준 10 2 2 5" xfId="2672" xr:uid="{00000000-0005-0000-0000-0000F50A0000}"/>
    <cellStyle name="표준 10 2 3" xfId="929" xr:uid="{00000000-0005-0000-0000-0000F60A0000}"/>
    <cellStyle name="표준 10 2 3 2" xfId="2233" xr:uid="{00000000-0005-0000-0000-0000F70A0000}"/>
    <cellStyle name="표준 10 2 3 3" xfId="3402" xr:uid="{00000000-0005-0000-0000-0000F80A0000}"/>
    <cellStyle name="표준 10 2 4" xfId="411" xr:uid="{00000000-0005-0000-0000-0000F90A0000}"/>
    <cellStyle name="표준 10 2 4 2" xfId="1715" xr:uid="{00000000-0005-0000-0000-0000FA0A0000}"/>
    <cellStyle name="표준 10 2 4 3" xfId="2884" xr:uid="{00000000-0005-0000-0000-0000FB0A0000}"/>
    <cellStyle name="표준 10 2 5" xfId="1296" xr:uid="{00000000-0005-0000-0000-0000FC0A0000}"/>
    <cellStyle name="표준 10 2 6" xfId="1473" xr:uid="{00000000-0005-0000-0000-0000FD0A0000}"/>
    <cellStyle name="표준 10 2 7" xfId="2642" xr:uid="{00000000-0005-0000-0000-0000FE0A0000}"/>
    <cellStyle name="표준 10 3" xfId="143" xr:uid="{00000000-0005-0000-0000-0000FF0A0000}"/>
    <cellStyle name="표준 10 3 2" xfId="1061" xr:uid="{00000000-0005-0000-0000-0000000B0000}"/>
    <cellStyle name="표준 10 3 2 2" xfId="2365" xr:uid="{00000000-0005-0000-0000-0000010B0000}"/>
    <cellStyle name="표준 10 3 2 3" xfId="3534" xr:uid="{00000000-0005-0000-0000-0000020B0000}"/>
    <cellStyle name="표준 10 3 3" xfId="543" xr:uid="{00000000-0005-0000-0000-0000030B0000}"/>
    <cellStyle name="표준 10 3 3 2" xfId="1847" xr:uid="{00000000-0005-0000-0000-0000040B0000}"/>
    <cellStyle name="표준 10 3 3 3" xfId="3016" xr:uid="{00000000-0005-0000-0000-0000050B0000}"/>
    <cellStyle name="표준 10 3 4" xfId="1489" xr:uid="{00000000-0005-0000-0000-0000060B0000}"/>
    <cellStyle name="표준 10 3 5" xfId="2658" xr:uid="{00000000-0005-0000-0000-0000070B0000}"/>
    <cellStyle name="표준 10 4" xfId="177" xr:uid="{00000000-0005-0000-0000-0000080B0000}"/>
    <cellStyle name="표준 10 4 2" xfId="799" xr:uid="{00000000-0005-0000-0000-0000090B0000}"/>
    <cellStyle name="표준 10 4 2 2" xfId="2103" xr:uid="{00000000-0005-0000-0000-00000A0B0000}"/>
    <cellStyle name="표준 10 4 2 3" xfId="3272" xr:uid="{00000000-0005-0000-0000-00000B0B0000}"/>
    <cellStyle name="표준 10 4 3" xfId="1522" xr:uid="{00000000-0005-0000-0000-00000C0B0000}"/>
    <cellStyle name="표준 10 4 4" xfId="2691" xr:uid="{00000000-0005-0000-0000-00000D0B0000}"/>
    <cellStyle name="표준 10 5" xfId="244" xr:uid="{00000000-0005-0000-0000-00000E0B0000}"/>
    <cellStyle name="표준 10 5 2" xfId="1554" xr:uid="{00000000-0005-0000-0000-00000F0B0000}"/>
    <cellStyle name="표준 10 5 3" xfId="2723" xr:uid="{00000000-0005-0000-0000-0000100B0000}"/>
    <cellStyle name="표준 10 6" xfId="1291" xr:uid="{00000000-0005-0000-0000-0000110B0000}"/>
    <cellStyle name="표준 10 7" xfId="2610" xr:uid="{00000000-0005-0000-0000-0000120B0000}"/>
    <cellStyle name="표준 10 7 2" xfId="3781" xr:uid="{00000000-0005-0000-0000-0000130B0000}"/>
    <cellStyle name="표준 10 8" xfId="1456" xr:uid="{00000000-0005-0000-0000-0000140B0000}"/>
    <cellStyle name="표준 10 8 2" xfId="3795" xr:uid="{00000000-0005-0000-0000-0000150B0000}"/>
    <cellStyle name="표준 10 9" xfId="2625" xr:uid="{00000000-0005-0000-0000-0000160B0000}"/>
    <cellStyle name="표준 100" xfId="3805" xr:uid="{00000000-0005-0000-0000-0000170B0000}"/>
    <cellStyle name="표준 101" xfId="3809" xr:uid="{00000000-0005-0000-0000-0000180B0000}"/>
    <cellStyle name="표준 102" xfId="3804" xr:uid="{00000000-0005-0000-0000-0000190B0000}"/>
    <cellStyle name="표준 103" xfId="3798" xr:uid="{00000000-0005-0000-0000-00001A0B0000}"/>
    <cellStyle name="표준 104" xfId="3812" xr:uid="{00000000-0005-0000-0000-00001B0B0000}"/>
    <cellStyle name="표준 105" xfId="3797" xr:uid="{00000000-0005-0000-0000-00001C0B0000}"/>
    <cellStyle name="표준 106" xfId="3803" xr:uid="{00000000-0005-0000-0000-00001D0B0000}"/>
    <cellStyle name="표준 107" xfId="3807" xr:uid="{00000000-0005-0000-0000-00001E0B0000}"/>
    <cellStyle name="표준 108" xfId="3813" xr:uid="{00000000-0005-0000-0000-00001F0B0000}"/>
    <cellStyle name="표준 109" xfId="3802" xr:uid="{00000000-0005-0000-0000-0000200B0000}"/>
    <cellStyle name="표준 11" xfId="62" xr:uid="{00000000-0005-0000-0000-0000210B0000}"/>
    <cellStyle name="표준 11 2" xfId="124" xr:uid="{00000000-0005-0000-0000-0000220B0000}"/>
    <cellStyle name="표준 11 2 2" xfId="158" xr:uid="{00000000-0005-0000-0000-0000230B0000}"/>
    <cellStyle name="표준 11 2 2 2" xfId="1504" xr:uid="{00000000-0005-0000-0000-0000240B0000}"/>
    <cellStyle name="표준 11 2 2 3" xfId="2673" xr:uid="{00000000-0005-0000-0000-0000250B0000}"/>
    <cellStyle name="표준 11 2 3" xfId="1297" xr:uid="{00000000-0005-0000-0000-0000260B0000}"/>
    <cellStyle name="표준 11 2 4" xfId="1474" xr:uid="{00000000-0005-0000-0000-0000270B0000}"/>
    <cellStyle name="표준 11 2 5" xfId="2643" xr:uid="{00000000-0005-0000-0000-0000280B0000}"/>
    <cellStyle name="표준 11 3" xfId="144" xr:uid="{00000000-0005-0000-0000-0000290B0000}"/>
    <cellStyle name="표준 11 3 2" xfId="1490" xr:uid="{00000000-0005-0000-0000-00002A0B0000}"/>
    <cellStyle name="표준 11 3 3" xfId="2659" xr:uid="{00000000-0005-0000-0000-00002B0B0000}"/>
    <cellStyle name="표준 11 4" xfId="165" xr:uid="{00000000-0005-0000-0000-00002C0B0000}"/>
    <cellStyle name="표준 11 5" xfId="294" xr:uid="{00000000-0005-0000-0000-00002D0B0000}"/>
    <cellStyle name="표준 11 6" xfId="1457" xr:uid="{00000000-0005-0000-0000-00002E0B0000}"/>
    <cellStyle name="표준 11 7" xfId="2626" xr:uid="{00000000-0005-0000-0000-00002F0B0000}"/>
    <cellStyle name="표준 110" xfId="3799" xr:uid="{00000000-0005-0000-0000-0000300B0000}"/>
    <cellStyle name="표준 111" xfId="3811" xr:uid="{00000000-0005-0000-0000-0000310B0000}"/>
    <cellStyle name="표준 12" xfId="63" xr:uid="{00000000-0005-0000-0000-0000320B0000}"/>
    <cellStyle name="표준 12 2" xfId="125" xr:uid="{00000000-0005-0000-0000-0000330B0000}"/>
    <cellStyle name="표준 12 2 2" xfId="159" xr:uid="{00000000-0005-0000-0000-0000340B0000}"/>
    <cellStyle name="표준 12 2 2 2" xfId="1205" xr:uid="{00000000-0005-0000-0000-0000350B0000}"/>
    <cellStyle name="표준 12 2 2 2 2" xfId="2509" xr:uid="{00000000-0005-0000-0000-0000360B0000}"/>
    <cellStyle name="표준 12 2 2 2 3" xfId="3678" xr:uid="{00000000-0005-0000-0000-0000370B0000}"/>
    <cellStyle name="표준 12 2 2 3" xfId="687" xr:uid="{00000000-0005-0000-0000-0000380B0000}"/>
    <cellStyle name="표준 12 2 2 3 2" xfId="1991" xr:uid="{00000000-0005-0000-0000-0000390B0000}"/>
    <cellStyle name="표준 12 2 2 3 3" xfId="3160" xr:uid="{00000000-0005-0000-0000-00003A0B0000}"/>
    <cellStyle name="표준 12 2 2 4" xfId="1505" xr:uid="{00000000-0005-0000-0000-00003B0B0000}"/>
    <cellStyle name="표준 12 2 2 5" xfId="2674" xr:uid="{00000000-0005-0000-0000-00003C0B0000}"/>
    <cellStyle name="표준 12 2 3" xfId="943" xr:uid="{00000000-0005-0000-0000-00003D0B0000}"/>
    <cellStyle name="표준 12 2 3 2" xfId="2247" xr:uid="{00000000-0005-0000-0000-00003E0B0000}"/>
    <cellStyle name="표준 12 2 3 3" xfId="3416" xr:uid="{00000000-0005-0000-0000-00003F0B0000}"/>
    <cellStyle name="표준 12 2 4" xfId="425" xr:uid="{00000000-0005-0000-0000-0000400B0000}"/>
    <cellStyle name="표준 12 2 4 2" xfId="1729" xr:uid="{00000000-0005-0000-0000-0000410B0000}"/>
    <cellStyle name="표준 12 2 4 3" xfId="2898" xr:uid="{00000000-0005-0000-0000-0000420B0000}"/>
    <cellStyle name="표준 12 2 5" xfId="1298" xr:uid="{00000000-0005-0000-0000-0000430B0000}"/>
    <cellStyle name="표준 12 2 6" xfId="1475" xr:uid="{00000000-0005-0000-0000-0000440B0000}"/>
    <cellStyle name="표준 12 2 7" xfId="2644" xr:uid="{00000000-0005-0000-0000-0000450B0000}"/>
    <cellStyle name="표준 12 3" xfId="145" xr:uid="{00000000-0005-0000-0000-0000460B0000}"/>
    <cellStyle name="표준 12 3 2" xfId="1075" xr:uid="{00000000-0005-0000-0000-0000470B0000}"/>
    <cellStyle name="표준 12 3 2 2" xfId="2379" xr:uid="{00000000-0005-0000-0000-0000480B0000}"/>
    <cellStyle name="표준 12 3 2 3" xfId="3548" xr:uid="{00000000-0005-0000-0000-0000490B0000}"/>
    <cellStyle name="표준 12 3 3" xfId="557" xr:uid="{00000000-0005-0000-0000-00004A0B0000}"/>
    <cellStyle name="표준 12 3 3 2" xfId="1861" xr:uid="{00000000-0005-0000-0000-00004B0B0000}"/>
    <cellStyle name="표준 12 3 3 3" xfId="3030" xr:uid="{00000000-0005-0000-0000-00004C0B0000}"/>
    <cellStyle name="표준 12 3 4" xfId="1491" xr:uid="{00000000-0005-0000-0000-00004D0B0000}"/>
    <cellStyle name="표준 12 3 5" xfId="2660" xr:uid="{00000000-0005-0000-0000-00004E0B0000}"/>
    <cellStyle name="표준 12 4" xfId="246" xr:uid="{00000000-0005-0000-0000-00004F0B0000}"/>
    <cellStyle name="표준 12 4 2" xfId="813" xr:uid="{00000000-0005-0000-0000-0000500B0000}"/>
    <cellStyle name="표준 12 4 2 2" xfId="2117" xr:uid="{00000000-0005-0000-0000-0000510B0000}"/>
    <cellStyle name="표준 12 4 2 3" xfId="3286" xr:uid="{00000000-0005-0000-0000-0000520B0000}"/>
    <cellStyle name="표준 12 5" xfId="295" xr:uid="{00000000-0005-0000-0000-0000530B0000}"/>
    <cellStyle name="표준 12 5 2" xfId="1599" xr:uid="{00000000-0005-0000-0000-0000540B0000}"/>
    <cellStyle name="표준 12 5 3" xfId="2768" xr:uid="{00000000-0005-0000-0000-0000550B0000}"/>
    <cellStyle name="표준 12 6" xfId="1458" xr:uid="{00000000-0005-0000-0000-0000560B0000}"/>
    <cellStyle name="표준 12 7" xfId="2627" xr:uid="{00000000-0005-0000-0000-0000570B0000}"/>
    <cellStyle name="표준 13" xfId="64" xr:uid="{00000000-0005-0000-0000-0000580B0000}"/>
    <cellStyle name="표준 13 2" xfId="126" xr:uid="{00000000-0005-0000-0000-0000590B0000}"/>
    <cellStyle name="표준 13 2 2" xfId="160" xr:uid="{00000000-0005-0000-0000-00005A0B0000}"/>
    <cellStyle name="표준 13 2 2 2" xfId="1219" xr:uid="{00000000-0005-0000-0000-00005B0B0000}"/>
    <cellStyle name="표준 13 2 2 2 2" xfId="2523" xr:uid="{00000000-0005-0000-0000-00005C0B0000}"/>
    <cellStyle name="표준 13 2 2 2 3" xfId="3692" xr:uid="{00000000-0005-0000-0000-00005D0B0000}"/>
    <cellStyle name="표준 13 2 2 3" xfId="701" xr:uid="{00000000-0005-0000-0000-00005E0B0000}"/>
    <cellStyle name="표준 13 2 2 3 2" xfId="2005" xr:uid="{00000000-0005-0000-0000-00005F0B0000}"/>
    <cellStyle name="표준 13 2 2 3 3" xfId="3174" xr:uid="{00000000-0005-0000-0000-0000600B0000}"/>
    <cellStyle name="표준 13 2 2 4" xfId="1506" xr:uid="{00000000-0005-0000-0000-0000610B0000}"/>
    <cellStyle name="표준 13 2 2 5" xfId="2675" xr:uid="{00000000-0005-0000-0000-0000620B0000}"/>
    <cellStyle name="표준 13 2 3" xfId="957" xr:uid="{00000000-0005-0000-0000-0000630B0000}"/>
    <cellStyle name="표준 13 2 3 2" xfId="2261" xr:uid="{00000000-0005-0000-0000-0000640B0000}"/>
    <cellStyle name="표준 13 2 3 3" xfId="3430" xr:uid="{00000000-0005-0000-0000-0000650B0000}"/>
    <cellStyle name="표준 13 2 4" xfId="439" xr:uid="{00000000-0005-0000-0000-0000660B0000}"/>
    <cellStyle name="표준 13 2 4 2" xfId="1743" xr:uid="{00000000-0005-0000-0000-0000670B0000}"/>
    <cellStyle name="표준 13 2 4 3" xfId="2912" xr:uid="{00000000-0005-0000-0000-0000680B0000}"/>
    <cellStyle name="표준 13 2 5" xfId="1300" xr:uid="{00000000-0005-0000-0000-0000690B0000}"/>
    <cellStyle name="표준 13 2 6" xfId="1476" xr:uid="{00000000-0005-0000-0000-00006A0B0000}"/>
    <cellStyle name="표준 13 2 7" xfId="2645" xr:uid="{00000000-0005-0000-0000-00006B0B0000}"/>
    <cellStyle name="표준 13 3" xfId="146" xr:uid="{00000000-0005-0000-0000-00006C0B0000}"/>
    <cellStyle name="표준 13 3 2" xfId="1089" xr:uid="{00000000-0005-0000-0000-00006D0B0000}"/>
    <cellStyle name="표준 13 3 2 2" xfId="2393" xr:uid="{00000000-0005-0000-0000-00006E0B0000}"/>
    <cellStyle name="표준 13 3 2 3" xfId="3562" xr:uid="{00000000-0005-0000-0000-00006F0B0000}"/>
    <cellStyle name="표준 13 3 3" xfId="571" xr:uid="{00000000-0005-0000-0000-0000700B0000}"/>
    <cellStyle name="표준 13 3 3 2" xfId="1875" xr:uid="{00000000-0005-0000-0000-0000710B0000}"/>
    <cellStyle name="표준 13 3 3 3" xfId="3044" xr:uid="{00000000-0005-0000-0000-0000720B0000}"/>
    <cellStyle name="표준 13 3 4" xfId="1492" xr:uid="{00000000-0005-0000-0000-0000730B0000}"/>
    <cellStyle name="표준 13 3 5" xfId="2661" xr:uid="{00000000-0005-0000-0000-0000740B0000}"/>
    <cellStyle name="표준 13 4" xfId="248" xr:uid="{00000000-0005-0000-0000-0000750B0000}"/>
    <cellStyle name="표준 13 4 2" xfId="827" xr:uid="{00000000-0005-0000-0000-0000760B0000}"/>
    <cellStyle name="표준 13 4 2 2" xfId="2131" xr:uid="{00000000-0005-0000-0000-0000770B0000}"/>
    <cellStyle name="표준 13 4 2 3" xfId="3300" xr:uid="{00000000-0005-0000-0000-0000780B0000}"/>
    <cellStyle name="표준 13 5" xfId="309" xr:uid="{00000000-0005-0000-0000-0000790B0000}"/>
    <cellStyle name="표준 13 5 2" xfId="1613" xr:uid="{00000000-0005-0000-0000-00007A0B0000}"/>
    <cellStyle name="표준 13 5 3" xfId="2782" xr:uid="{00000000-0005-0000-0000-00007B0B0000}"/>
    <cellStyle name="표준 13 6" xfId="1299" xr:uid="{00000000-0005-0000-0000-00007C0B0000}"/>
    <cellStyle name="표준 13 7" xfId="1459" xr:uid="{00000000-0005-0000-0000-00007D0B0000}"/>
    <cellStyle name="표준 13 8" xfId="2628" xr:uid="{00000000-0005-0000-0000-00007E0B0000}"/>
    <cellStyle name="표준 14" xfId="65" xr:uid="{00000000-0005-0000-0000-00007F0B0000}"/>
    <cellStyle name="표준 14 2" xfId="453" xr:uid="{00000000-0005-0000-0000-0000800B0000}"/>
    <cellStyle name="표준 14 2 2" xfId="715" xr:uid="{00000000-0005-0000-0000-0000810B0000}"/>
    <cellStyle name="표준 14 2 2 2" xfId="1233" xr:uid="{00000000-0005-0000-0000-0000820B0000}"/>
    <cellStyle name="표준 14 2 2 2 2" xfId="2537" xr:uid="{00000000-0005-0000-0000-0000830B0000}"/>
    <cellStyle name="표준 14 2 2 2 3" xfId="3706" xr:uid="{00000000-0005-0000-0000-0000840B0000}"/>
    <cellStyle name="표준 14 2 2 3" xfId="2019" xr:uid="{00000000-0005-0000-0000-0000850B0000}"/>
    <cellStyle name="표준 14 2 2 4" xfId="3188" xr:uid="{00000000-0005-0000-0000-0000860B0000}"/>
    <cellStyle name="표준 14 2 3" xfId="971" xr:uid="{00000000-0005-0000-0000-0000870B0000}"/>
    <cellStyle name="표준 14 2 3 2" xfId="2275" xr:uid="{00000000-0005-0000-0000-0000880B0000}"/>
    <cellStyle name="표준 14 2 3 3" xfId="3444" xr:uid="{00000000-0005-0000-0000-0000890B0000}"/>
    <cellStyle name="표준 14 2 4" xfId="1302" xr:uid="{00000000-0005-0000-0000-00008A0B0000}"/>
    <cellStyle name="표준 14 2 5" xfId="1757" xr:uid="{00000000-0005-0000-0000-00008B0B0000}"/>
    <cellStyle name="표준 14 2 6" xfId="2926" xr:uid="{00000000-0005-0000-0000-00008C0B0000}"/>
    <cellStyle name="표준 14 3" xfId="585" xr:uid="{00000000-0005-0000-0000-00008D0B0000}"/>
    <cellStyle name="표준 14 3 2" xfId="1103" xr:uid="{00000000-0005-0000-0000-00008E0B0000}"/>
    <cellStyle name="표준 14 3 2 2" xfId="2407" xr:uid="{00000000-0005-0000-0000-00008F0B0000}"/>
    <cellStyle name="표준 14 3 2 3" xfId="3576" xr:uid="{00000000-0005-0000-0000-0000900B0000}"/>
    <cellStyle name="표준 14 3 3" xfId="1889" xr:uid="{00000000-0005-0000-0000-0000910B0000}"/>
    <cellStyle name="표준 14 3 4" xfId="3058" xr:uid="{00000000-0005-0000-0000-0000920B0000}"/>
    <cellStyle name="표준 14 4" xfId="841" xr:uid="{00000000-0005-0000-0000-0000930B0000}"/>
    <cellStyle name="표준 14 4 2" xfId="2145" xr:uid="{00000000-0005-0000-0000-0000940B0000}"/>
    <cellStyle name="표준 14 4 3" xfId="3314" xr:uid="{00000000-0005-0000-0000-0000950B0000}"/>
    <cellStyle name="표준 14 5" xfId="323" xr:uid="{00000000-0005-0000-0000-0000960B0000}"/>
    <cellStyle name="표준 14 5 2" xfId="1627" xr:uid="{00000000-0005-0000-0000-0000970B0000}"/>
    <cellStyle name="표준 14 5 3" xfId="2796" xr:uid="{00000000-0005-0000-0000-0000980B0000}"/>
    <cellStyle name="표준 14 6" xfId="1301" xr:uid="{00000000-0005-0000-0000-0000990B0000}"/>
    <cellStyle name="표준 15" xfId="109" xr:uid="{00000000-0005-0000-0000-00009A0B0000}"/>
    <cellStyle name="표준 15 2" xfId="467" xr:uid="{00000000-0005-0000-0000-00009B0B0000}"/>
    <cellStyle name="표준 15 2 2" xfId="729" xr:uid="{00000000-0005-0000-0000-00009C0B0000}"/>
    <cellStyle name="표준 15 2 2 2" xfId="1247" xr:uid="{00000000-0005-0000-0000-00009D0B0000}"/>
    <cellStyle name="표준 15 2 2 2 2" xfId="2551" xr:uid="{00000000-0005-0000-0000-00009E0B0000}"/>
    <cellStyle name="표준 15 2 2 2 3" xfId="3720" xr:uid="{00000000-0005-0000-0000-00009F0B0000}"/>
    <cellStyle name="표준 15 2 2 3" xfId="2033" xr:uid="{00000000-0005-0000-0000-0000A00B0000}"/>
    <cellStyle name="표준 15 2 2 4" xfId="3202" xr:uid="{00000000-0005-0000-0000-0000A10B0000}"/>
    <cellStyle name="표준 15 2 3" xfId="985" xr:uid="{00000000-0005-0000-0000-0000A20B0000}"/>
    <cellStyle name="표준 15 2 3 2" xfId="2289" xr:uid="{00000000-0005-0000-0000-0000A30B0000}"/>
    <cellStyle name="표준 15 2 3 3" xfId="3458" xr:uid="{00000000-0005-0000-0000-0000A40B0000}"/>
    <cellStyle name="표준 15 2 4" xfId="1304" xr:uid="{00000000-0005-0000-0000-0000A50B0000}"/>
    <cellStyle name="표준 15 2 5" xfId="1771" xr:uid="{00000000-0005-0000-0000-0000A60B0000}"/>
    <cellStyle name="표준 15 2 6" xfId="2940" xr:uid="{00000000-0005-0000-0000-0000A70B0000}"/>
    <cellStyle name="표준 15 3" xfId="599" xr:uid="{00000000-0005-0000-0000-0000A80B0000}"/>
    <cellStyle name="표준 15 3 2" xfId="1117" xr:uid="{00000000-0005-0000-0000-0000A90B0000}"/>
    <cellStyle name="표준 15 3 2 2" xfId="2421" xr:uid="{00000000-0005-0000-0000-0000AA0B0000}"/>
    <cellStyle name="표준 15 3 2 3" xfId="3590" xr:uid="{00000000-0005-0000-0000-0000AB0B0000}"/>
    <cellStyle name="표준 15 3 3" xfId="1903" xr:uid="{00000000-0005-0000-0000-0000AC0B0000}"/>
    <cellStyle name="표준 15 3 4" xfId="3072" xr:uid="{00000000-0005-0000-0000-0000AD0B0000}"/>
    <cellStyle name="표준 15 4" xfId="855" xr:uid="{00000000-0005-0000-0000-0000AE0B0000}"/>
    <cellStyle name="표준 15 4 2" xfId="2159" xr:uid="{00000000-0005-0000-0000-0000AF0B0000}"/>
    <cellStyle name="표준 15 4 3" xfId="3328" xr:uid="{00000000-0005-0000-0000-0000B00B0000}"/>
    <cellStyle name="표준 15 5" xfId="337" xr:uid="{00000000-0005-0000-0000-0000B10B0000}"/>
    <cellStyle name="표준 15 5 2" xfId="1641" xr:uid="{00000000-0005-0000-0000-0000B20B0000}"/>
    <cellStyle name="표준 15 5 3" xfId="2810" xr:uid="{00000000-0005-0000-0000-0000B30B0000}"/>
    <cellStyle name="표준 15 6" xfId="1303" xr:uid="{00000000-0005-0000-0000-0000B40B0000}"/>
    <cellStyle name="표준 16" xfId="127" xr:uid="{00000000-0005-0000-0000-0000B50B0000}"/>
    <cellStyle name="표준 16 2" xfId="613" xr:uid="{00000000-0005-0000-0000-0000B60B0000}"/>
    <cellStyle name="표준 16 2 2" xfId="1131" xr:uid="{00000000-0005-0000-0000-0000B70B0000}"/>
    <cellStyle name="표준 16 2 2 2" xfId="2435" xr:uid="{00000000-0005-0000-0000-0000B80B0000}"/>
    <cellStyle name="표준 16 2 2 3" xfId="3604" xr:uid="{00000000-0005-0000-0000-0000B90B0000}"/>
    <cellStyle name="표준 16 2 3" xfId="1306" xr:uid="{00000000-0005-0000-0000-0000BA0B0000}"/>
    <cellStyle name="표준 16 2 4" xfId="1917" xr:uid="{00000000-0005-0000-0000-0000BB0B0000}"/>
    <cellStyle name="표준 16 2 5" xfId="3086" xr:uid="{00000000-0005-0000-0000-0000BC0B0000}"/>
    <cellStyle name="표준 16 3" xfId="869" xr:uid="{00000000-0005-0000-0000-0000BD0B0000}"/>
    <cellStyle name="표준 16 3 2" xfId="2173" xr:uid="{00000000-0005-0000-0000-0000BE0B0000}"/>
    <cellStyle name="표준 16 3 3" xfId="3342" xr:uid="{00000000-0005-0000-0000-0000BF0B0000}"/>
    <cellStyle name="표준 16 4" xfId="351" xr:uid="{00000000-0005-0000-0000-0000C00B0000}"/>
    <cellStyle name="표준 16 4 2" xfId="1655" xr:uid="{00000000-0005-0000-0000-0000C10B0000}"/>
    <cellStyle name="표준 16 4 3" xfId="2824" xr:uid="{00000000-0005-0000-0000-0000C20B0000}"/>
    <cellStyle name="표준 16 5" xfId="1305" xr:uid="{00000000-0005-0000-0000-0000C30B0000}"/>
    <cellStyle name="표준 17" xfId="112" xr:uid="{00000000-0005-0000-0000-0000C40B0000}"/>
    <cellStyle name="표준 17 2" xfId="743" xr:uid="{00000000-0005-0000-0000-0000C50B0000}"/>
    <cellStyle name="표준 17 2 2" xfId="1261" xr:uid="{00000000-0005-0000-0000-0000C60B0000}"/>
    <cellStyle name="표준 17 2 2 2" xfId="2565" xr:uid="{00000000-0005-0000-0000-0000C70B0000}"/>
    <cellStyle name="표준 17 2 2 3" xfId="3734" xr:uid="{00000000-0005-0000-0000-0000C80B0000}"/>
    <cellStyle name="표준 17 2 3" xfId="1308" xr:uid="{00000000-0005-0000-0000-0000C90B0000}"/>
    <cellStyle name="표준 17 2 4" xfId="2047" xr:uid="{00000000-0005-0000-0000-0000CA0B0000}"/>
    <cellStyle name="표준 17 2 5" xfId="3216" xr:uid="{00000000-0005-0000-0000-0000CB0B0000}"/>
    <cellStyle name="표준 17 3" xfId="999" xr:uid="{00000000-0005-0000-0000-0000CC0B0000}"/>
    <cellStyle name="표준 17 3 2" xfId="2303" xr:uid="{00000000-0005-0000-0000-0000CD0B0000}"/>
    <cellStyle name="표준 17 3 3" xfId="3472" xr:uid="{00000000-0005-0000-0000-0000CE0B0000}"/>
    <cellStyle name="표준 17 4" xfId="481" xr:uid="{00000000-0005-0000-0000-0000CF0B0000}"/>
    <cellStyle name="표준 17 4 2" xfId="1785" xr:uid="{00000000-0005-0000-0000-0000D00B0000}"/>
    <cellStyle name="표준 17 4 3" xfId="2954" xr:uid="{00000000-0005-0000-0000-0000D10B0000}"/>
    <cellStyle name="표준 17 5" xfId="1307" xr:uid="{00000000-0005-0000-0000-0000D20B0000}"/>
    <cellStyle name="표준 18" xfId="128" xr:uid="{00000000-0005-0000-0000-0000D30B0000}"/>
    <cellStyle name="표준 18 2" xfId="1013" xr:uid="{00000000-0005-0000-0000-0000D40B0000}"/>
    <cellStyle name="표준 18 2 2" xfId="1310" xr:uid="{00000000-0005-0000-0000-0000D50B0000}"/>
    <cellStyle name="표준 18 2 3" xfId="2317" xr:uid="{00000000-0005-0000-0000-0000D60B0000}"/>
    <cellStyle name="표준 18 2 4" xfId="3486" xr:uid="{00000000-0005-0000-0000-0000D70B0000}"/>
    <cellStyle name="표준 18 3" xfId="495" xr:uid="{00000000-0005-0000-0000-0000D80B0000}"/>
    <cellStyle name="표준 18 3 2" xfId="1799" xr:uid="{00000000-0005-0000-0000-0000D90B0000}"/>
    <cellStyle name="표준 18 3 3" xfId="2968" xr:uid="{00000000-0005-0000-0000-0000DA0B0000}"/>
    <cellStyle name="표준 18 4" xfId="1309" xr:uid="{00000000-0005-0000-0000-0000DB0B0000}"/>
    <cellStyle name="표준 19" xfId="130" xr:uid="{00000000-0005-0000-0000-0000DC0B0000}"/>
    <cellStyle name="표준 19 2" xfId="1433" xr:uid="{00000000-0005-0000-0000-0000DD0B0000}"/>
    <cellStyle name="표준 19 2 2" xfId="2587" xr:uid="{00000000-0005-0000-0000-0000DE0B0000}"/>
    <cellStyle name="표준 19 2 3" xfId="3758" xr:uid="{00000000-0005-0000-0000-0000DF0B0000}"/>
    <cellStyle name="표준 19 3" xfId="1425" xr:uid="{00000000-0005-0000-0000-0000E00B0000}"/>
    <cellStyle name="표준 19 3 2" xfId="2581" xr:uid="{00000000-0005-0000-0000-0000E10B0000}"/>
    <cellStyle name="표준 19 3 3" xfId="3752" xr:uid="{00000000-0005-0000-0000-0000E20B0000}"/>
    <cellStyle name="표준 2" xfId="45" xr:uid="{00000000-0005-0000-0000-0000E30B0000}"/>
    <cellStyle name="표준 2 10" xfId="2601" xr:uid="{00000000-0005-0000-0000-0000E40B0000}"/>
    <cellStyle name="표준 2 10 2" xfId="3772" xr:uid="{00000000-0005-0000-0000-0000E50B0000}"/>
    <cellStyle name="표준 2 11" xfId="1447" xr:uid="{00000000-0005-0000-0000-0000E60B0000}"/>
    <cellStyle name="표준 2 11 2" xfId="3786" xr:uid="{00000000-0005-0000-0000-0000E70B0000}"/>
    <cellStyle name="표준 2 12" xfId="2616" xr:uid="{00000000-0005-0000-0000-0000E80B0000}"/>
    <cellStyle name="표준 2 2" xfId="110" xr:uid="{00000000-0005-0000-0000-0000E90B0000}"/>
    <cellStyle name="표준 2 2 10" xfId="2631" xr:uid="{00000000-0005-0000-0000-0000EA0B0000}"/>
    <cellStyle name="표준 2 2 2" xfId="148" xr:uid="{00000000-0005-0000-0000-0000EB0B0000}"/>
    <cellStyle name="표준 2 2 2 2" xfId="275" xr:uid="{00000000-0005-0000-0000-0000EC0B0000}"/>
    <cellStyle name="표준 2 2 2 2 2" xfId="405" xr:uid="{00000000-0005-0000-0000-0000ED0B0000}"/>
    <cellStyle name="표준 2 2 2 2 2 2" xfId="667" xr:uid="{00000000-0005-0000-0000-0000EE0B0000}"/>
    <cellStyle name="표준 2 2 2 2 2 2 2" xfId="1185" xr:uid="{00000000-0005-0000-0000-0000EF0B0000}"/>
    <cellStyle name="표준 2 2 2 2 2 2 2 2" xfId="2489" xr:uid="{00000000-0005-0000-0000-0000F00B0000}"/>
    <cellStyle name="표준 2 2 2 2 2 2 2 3" xfId="3658" xr:uid="{00000000-0005-0000-0000-0000F10B0000}"/>
    <cellStyle name="표준 2 2 2 2 2 2 3" xfId="1971" xr:uid="{00000000-0005-0000-0000-0000F20B0000}"/>
    <cellStyle name="표준 2 2 2 2 2 2 4" xfId="3140" xr:uid="{00000000-0005-0000-0000-0000F30B0000}"/>
    <cellStyle name="표준 2 2 2 2 2 3" xfId="923" xr:uid="{00000000-0005-0000-0000-0000F40B0000}"/>
    <cellStyle name="표준 2 2 2 2 2 3 2" xfId="2227" xr:uid="{00000000-0005-0000-0000-0000F50B0000}"/>
    <cellStyle name="표준 2 2 2 2 2 3 3" xfId="3396" xr:uid="{00000000-0005-0000-0000-0000F60B0000}"/>
    <cellStyle name="표준 2 2 2 2 2 4" xfId="1709" xr:uid="{00000000-0005-0000-0000-0000F70B0000}"/>
    <cellStyle name="표준 2 2 2 2 2 5" xfId="2878" xr:uid="{00000000-0005-0000-0000-0000F80B0000}"/>
    <cellStyle name="표준 2 2 2 2 3" xfId="537" xr:uid="{00000000-0005-0000-0000-0000F90B0000}"/>
    <cellStyle name="표준 2 2 2 2 3 2" xfId="1055" xr:uid="{00000000-0005-0000-0000-0000FA0B0000}"/>
    <cellStyle name="표준 2 2 2 2 3 2 2" xfId="2359" xr:uid="{00000000-0005-0000-0000-0000FB0B0000}"/>
    <cellStyle name="표준 2 2 2 2 3 2 3" xfId="3528" xr:uid="{00000000-0005-0000-0000-0000FC0B0000}"/>
    <cellStyle name="표준 2 2 2 2 3 3" xfId="1841" xr:uid="{00000000-0005-0000-0000-0000FD0B0000}"/>
    <cellStyle name="표준 2 2 2 2 3 4" xfId="3010" xr:uid="{00000000-0005-0000-0000-0000FE0B0000}"/>
    <cellStyle name="표준 2 2 2 2 4" xfId="793" xr:uid="{00000000-0005-0000-0000-0000FF0B0000}"/>
    <cellStyle name="표준 2 2 2 2 4 2" xfId="2097" xr:uid="{00000000-0005-0000-0000-0000000C0000}"/>
    <cellStyle name="표준 2 2 2 2 4 3" xfId="3266" xr:uid="{00000000-0005-0000-0000-0000010C0000}"/>
    <cellStyle name="표준 2 2 2 2 5" xfId="1580" xr:uid="{00000000-0005-0000-0000-0000020C0000}"/>
    <cellStyle name="표준 2 2 2 2 6" xfId="2749" xr:uid="{00000000-0005-0000-0000-0000030C0000}"/>
    <cellStyle name="표준 2 2 2 3" xfId="369" xr:uid="{00000000-0005-0000-0000-0000040C0000}"/>
    <cellStyle name="표준 2 2 2 3 2" xfId="631" xr:uid="{00000000-0005-0000-0000-0000050C0000}"/>
    <cellStyle name="표준 2 2 2 3 2 2" xfId="1149" xr:uid="{00000000-0005-0000-0000-0000060C0000}"/>
    <cellStyle name="표준 2 2 2 3 2 2 2" xfId="2453" xr:uid="{00000000-0005-0000-0000-0000070C0000}"/>
    <cellStyle name="표준 2 2 2 3 2 2 3" xfId="3622" xr:uid="{00000000-0005-0000-0000-0000080C0000}"/>
    <cellStyle name="표준 2 2 2 3 2 3" xfId="1935" xr:uid="{00000000-0005-0000-0000-0000090C0000}"/>
    <cellStyle name="표준 2 2 2 3 2 4" xfId="3104" xr:uid="{00000000-0005-0000-0000-00000A0C0000}"/>
    <cellStyle name="표준 2 2 2 3 3" xfId="887" xr:uid="{00000000-0005-0000-0000-00000B0C0000}"/>
    <cellStyle name="표준 2 2 2 3 3 2" xfId="2191" xr:uid="{00000000-0005-0000-0000-00000C0C0000}"/>
    <cellStyle name="표준 2 2 2 3 3 3" xfId="3360" xr:uid="{00000000-0005-0000-0000-00000D0C0000}"/>
    <cellStyle name="표준 2 2 2 3 4" xfId="1673" xr:uid="{00000000-0005-0000-0000-00000E0C0000}"/>
    <cellStyle name="표준 2 2 2 3 5" xfId="2842" xr:uid="{00000000-0005-0000-0000-00000F0C0000}"/>
    <cellStyle name="표준 2 2 2 4" xfId="503" xr:uid="{00000000-0005-0000-0000-0000100C0000}"/>
    <cellStyle name="표준 2 2 2 4 2" xfId="1021" xr:uid="{00000000-0005-0000-0000-0000110C0000}"/>
    <cellStyle name="표준 2 2 2 4 2 2" xfId="2325" xr:uid="{00000000-0005-0000-0000-0000120C0000}"/>
    <cellStyle name="표준 2 2 2 4 2 3" xfId="3494" xr:uid="{00000000-0005-0000-0000-0000130C0000}"/>
    <cellStyle name="표준 2 2 2 4 3" xfId="1807" xr:uid="{00000000-0005-0000-0000-0000140C0000}"/>
    <cellStyle name="표준 2 2 2 4 4" xfId="2976" xr:uid="{00000000-0005-0000-0000-0000150C0000}"/>
    <cellStyle name="표준 2 2 2 5" xfId="773" xr:uid="{00000000-0005-0000-0000-0000160C0000}"/>
    <cellStyle name="표준 2 2 2 5 2" xfId="2077" xr:uid="{00000000-0005-0000-0000-0000170C0000}"/>
    <cellStyle name="표준 2 2 2 5 3" xfId="3246" xr:uid="{00000000-0005-0000-0000-0000180C0000}"/>
    <cellStyle name="표준 2 2 2 6" xfId="255" xr:uid="{00000000-0005-0000-0000-0000190C0000}"/>
    <cellStyle name="표준 2 2 2 6 2" xfId="1561" xr:uid="{00000000-0005-0000-0000-00001A0C0000}"/>
    <cellStyle name="표준 2 2 2 6 3" xfId="2730" xr:uid="{00000000-0005-0000-0000-00001B0C0000}"/>
    <cellStyle name="표준 2 2 2 7" xfId="1494" xr:uid="{00000000-0005-0000-0000-00001C0C0000}"/>
    <cellStyle name="표준 2 2 2 8" xfId="2663" xr:uid="{00000000-0005-0000-0000-00001D0C0000}"/>
    <cellStyle name="표준 2 2 3" xfId="274" xr:uid="{00000000-0005-0000-0000-00001E0C0000}"/>
    <cellStyle name="표준 2 2 3 2" xfId="404" xr:uid="{00000000-0005-0000-0000-00001F0C0000}"/>
    <cellStyle name="표준 2 2 3 2 2" xfId="666" xr:uid="{00000000-0005-0000-0000-0000200C0000}"/>
    <cellStyle name="표준 2 2 3 2 2 2" xfId="1184" xr:uid="{00000000-0005-0000-0000-0000210C0000}"/>
    <cellStyle name="표준 2 2 3 2 2 2 2" xfId="2488" xr:uid="{00000000-0005-0000-0000-0000220C0000}"/>
    <cellStyle name="표준 2 2 3 2 2 2 3" xfId="3657" xr:uid="{00000000-0005-0000-0000-0000230C0000}"/>
    <cellStyle name="표준 2 2 3 2 2 3" xfId="1970" xr:uid="{00000000-0005-0000-0000-0000240C0000}"/>
    <cellStyle name="표준 2 2 3 2 2 4" xfId="3139" xr:uid="{00000000-0005-0000-0000-0000250C0000}"/>
    <cellStyle name="표준 2 2 3 2 3" xfId="922" xr:uid="{00000000-0005-0000-0000-0000260C0000}"/>
    <cellStyle name="표준 2 2 3 2 3 2" xfId="2226" xr:uid="{00000000-0005-0000-0000-0000270C0000}"/>
    <cellStyle name="표준 2 2 3 2 3 3" xfId="3395" xr:uid="{00000000-0005-0000-0000-0000280C0000}"/>
    <cellStyle name="표준 2 2 3 2 4" xfId="1708" xr:uid="{00000000-0005-0000-0000-0000290C0000}"/>
    <cellStyle name="표준 2 2 3 2 5" xfId="2877" xr:uid="{00000000-0005-0000-0000-00002A0C0000}"/>
    <cellStyle name="표준 2 2 3 3" xfId="536" xr:uid="{00000000-0005-0000-0000-00002B0C0000}"/>
    <cellStyle name="표준 2 2 3 3 2" xfId="1054" xr:uid="{00000000-0005-0000-0000-00002C0C0000}"/>
    <cellStyle name="표준 2 2 3 3 2 2" xfId="2358" xr:uid="{00000000-0005-0000-0000-00002D0C0000}"/>
    <cellStyle name="표준 2 2 3 3 2 3" xfId="3527" xr:uid="{00000000-0005-0000-0000-00002E0C0000}"/>
    <cellStyle name="표준 2 2 3 3 3" xfId="1840" xr:uid="{00000000-0005-0000-0000-00002F0C0000}"/>
    <cellStyle name="표준 2 2 3 3 4" xfId="3009" xr:uid="{00000000-0005-0000-0000-0000300C0000}"/>
    <cellStyle name="표준 2 2 3 4" xfId="792" xr:uid="{00000000-0005-0000-0000-0000310C0000}"/>
    <cellStyle name="표준 2 2 3 4 2" xfId="2096" xr:uid="{00000000-0005-0000-0000-0000320C0000}"/>
    <cellStyle name="표준 2 2 3 4 3" xfId="3265" xr:uid="{00000000-0005-0000-0000-0000330C0000}"/>
    <cellStyle name="표준 2 2 3 5" xfId="1579" xr:uid="{00000000-0005-0000-0000-0000340C0000}"/>
    <cellStyle name="표준 2 2 3 6" xfId="2748" xr:uid="{00000000-0005-0000-0000-0000350C0000}"/>
    <cellStyle name="표준 2 2 4" xfId="368" xr:uid="{00000000-0005-0000-0000-0000360C0000}"/>
    <cellStyle name="표준 2 2 4 2" xfId="630" xr:uid="{00000000-0005-0000-0000-0000370C0000}"/>
    <cellStyle name="표준 2 2 4 2 2" xfId="1148" xr:uid="{00000000-0005-0000-0000-0000380C0000}"/>
    <cellStyle name="표준 2 2 4 2 2 2" xfId="2452" xr:uid="{00000000-0005-0000-0000-0000390C0000}"/>
    <cellStyle name="표준 2 2 4 2 2 3" xfId="3621" xr:uid="{00000000-0005-0000-0000-00003A0C0000}"/>
    <cellStyle name="표준 2 2 4 2 3" xfId="1934" xr:uid="{00000000-0005-0000-0000-00003B0C0000}"/>
    <cellStyle name="표준 2 2 4 2 4" xfId="3103" xr:uid="{00000000-0005-0000-0000-00003C0C0000}"/>
    <cellStyle name="표준 2 2 4 3" xfId="886" xr:uid="{00000000-0005-0000-0000-00003D0C0000}"/>
    <cellStyle name="표준 2 2 4 3 2" xfId="2190" xr:uid="{00000000-0005-0000-0000-00003E0C0000}"/>
    <cellStyle name="표준 2 2 4 3 3" xfId="3359" xr:uid="{00000000-0005-0000-0000-00003F0C0000}"/>
    <cellStyle name="표준 2 2 4 4" xfId="1672" xr:uid="{00000000-0005-0000-0000-0000400C0000}"/>
    <cellStyle name="표준 2 2 4 5" xfId="2841" xr:uid="{00000000-0005-0000-0000-0000410C0000}"/>
    <cellStyle name="표준 2 2 5" xfId="504" xr:uid="{00000000-0005-0000-0000-0000420C0000}"/>
    <cellStyle name="표준 2 2 5 2" xfId="1022" xr:uid="{00000000-0005-0000-0000-0000430C0000}"/>
    <cellStyle name="표준 2 2 5 2 2" xfId="2326" xr:uid="{00000000-0005-0000-0000-0000440C0000}"/>
    <cellStyle name="표준 2 2 5 2 3" xfId="3495" xr:uid="{00000000-0005-0000-0000-0000450C0000}"/>
    <cellStyle name="표준 2 2 5 3" xfId="1808" xr:uid="{00000000-0005-0000-0000-0000460C0000}"/>
    <cellStyle name="표준 2 2 5 4" xfId="2977" xr:uid="{00000000-0005-0000-0000-0000470C0000}"/>
    <cellStyle name="표준 2 2 6" xfId="772" xr:uid="{00000000-0005-0000-0000-0000480C0000}"/>
    <cellStyle name="표준 2 2 6 2" xfId="2076" xr:uid="{00000000-0005-0000-0000-0000490C0000}"/>
    <cellStyle name="표준 2 2 6 3" xfId="3245" xr:uid="{00000000-0005-0000-0000-00004A0C0000}"/>
    <cellStyle name="표준 2 2 7" xfId="253" xr:uid="{00000000-0005-0000-0000-00004B0C0000}"/>
    <cellStyle name="표준 2 2 7 2" xfId="1560" xr:uid="{00000000-0005-0000-0000-00004C0C0000}"/>
    <cellStyle name="표준 2 2 7 3" xfId="2729" xr:uid="{00000000-0005-0000-0000-00004D0C0000}"/>
    <cellStyle name="표준 2 2 8" xfId="1311" xr:uid="{00000000-0005-0000-0000-00004E0C0000}"/>
    <cellStyle name="표준 2 2 9" xfId="1462" xr:uid="{00000000-0005-0000-0000-00004F0C0000}"/>
    <cellStyle name="표준 2 3" xfId="134" xr:uid="{00000000-0005-0000-0000-0000500C0000}"/>
    <cellStyle name="표준 2 3 2" xfId="254" xr:uid="{00000000-0005-0000-0000-0000510C0000}"/>
    <cellStyle name="표준 2 3 2 2" xfId="1434" xr:uid="{00000000-0005-0000-0000-0000520C0000}"/>
    <cellStyle name="표준 2 3 2 2 2" xfId="2588" xr:uid="{00000000-0005-0000-0000-0000530C0000}"/>
    <cellStyle name="표준 2 3 2 2 3" xfId="3759" xr:uid="{00000000-0005-0000-0000-0000540C0000}"/>
    <cellStyle name="표준 2 3 3" xfId="1427" xr:uid="{00000000-0005-0000-0000-0000550C0000}"/>
    <cellStyle name="표준 2 3 3 2" xfId="2582" xr:uid="{00000000-0005-0000-0000-0000560C0000}"/>
    <cellStyle name="표준 2 3 3 3" xfId="3753" xr:uid="{00000000-0005-0000-0000-0000570C0000}"/>
    <cellStyle name="표준 2 3 4" xfId="1480" xr:uid="{00000000-0005-0000-0000-0000580C0000}"/>
    <cellStyle name="표준 2 3 5" xfId="2649" xr:uid="{00000000-0005-0000-0000-0000590C0000}"/>
    <cellStyle name="표준 2 4" xfId="168" xr:uid="{00000000-0005-0000-0000-00005A0C0000}"/>
    <cellStyle name="표준 2 4 2" xfId="401" xr:uid="{00000000-0005-0000-0000-00005B0C0000}"/>
    <cellStyle name="표준 2 4 2 2" xfId="663" xr:uid="{00000000-0005-0000-0000-00005C0C0000}"/>
    <cellStyle name="표준 2 4 2 2 2" xfId="1181" xr:uid="{00000000-0005-0000-0000-00005D0C0000}"/>
    <cellStyle name="표준 2 4 2 2 2 2" xfId="2485" xr:uid="{00000000-0005-0000-0000-00005E0C0000}"/>
    <cellStyle name="표준 2 4 2 2 2 3" xfId="3654" xr:uid="{00000000-0005-0000-0000-00005F0C0000}"/>
    <cellStyle name="표준 2 4 2 2 3" xfId="1967" xr:uid="{00000000-0005-0000-0000-0000600C0000}"/>
    <cellStyle name="표준 2 4 2 2 4" xfId="3136" xr:uid="{00000000-0005-0000-0000-0000610C0000}"/>
    <cellStyle name="표준 2 4 2 3" xfId="919" xr:uid="{00000000-0005-0000-0000-0000620C0000}"/>
    <cellStyle name="표준 2 4 2 3 2" xfId="2223" xr:uid="{00000000-0005-0000-0000-0000630C0000}"/>
    <cellStyle name="표준 2 4 2 3 3" xfId="3392" xr:uid="{00000000-0005-0000-0000-0000640C0000}"/>
    <cellStyle name="표준 2 4 2 4" xfId="1705" xr:uid="{00000000-0005-0000-0000-0000650C0000}"/>
    <cellStyle name="표준 2 4 2 5" xfId="2874" xr:uid="{00000000-0005-0000-0000-0000660C0000}"/>
    <cellStyle name="표준 2 4 3" xfId="533" xr:uid="{00000000-0005-0000-0000-0000670C0000}"/>
    <cellStyle name="표준 2 4 3 2" xfId="1051" xr:uid="{00000000-0005-0000-0000-0000680C0000}"/>
    <cellStyle name="표준 2 4 3 2 2" xfId="2355" xr:uid="{00000000-0005-0000-0000-0000690C0000}"/>
    <cellStyle name="표준 2 4 3 2 3" xfId="3524" xr:uid="{00000000-0005-0000-0000-00006A0C0000}"/>
    <cellStyle name="표준 2 4 3 3" xfId="1837" xr:uid="{00000000-0005-0000-0000-00006B0C0000}"/>
    <cellStyle name="표준 2 4 3 4" xfId="3006" xr:uid="{00000000-0005-0000-0000-00006C0C0000}"/>
    <cellStyle name="표준 2 4 4" xfId="789" xr:uid="{00000000-0005-0000-0000-00006D0C0000}"/>
    <cellStyle name="표준 2 4 4 2" xfId="2093" xr:uid="{00000000-0005-0000-0000-00006E0C0000}"/>
    <cellStyle name="표준 2 4 4 3" xfId="3262" xr:uid="{00000000-0005-0000-0000-00006F0C0000}"/>
    <cellStyle name="표준 2 4 5" xfId="271" xr:uid="{00000000-0005-0000-0000-0000700C0000}"/>
    <cellStyle name="표준 2 4 5 2" xfId="1576" xr:uid="{00000000-0005-0000-0000-0000710C0000}"/>
    <cellStyle name="표준 2 4 5 3" xfId="2745" xr:uid="{00000000-0005-0000-0000-0000720C0000}"/>
    <cellStyle name="표준 2 4 6" xfId="1432" xr:uid="{00000000-0005-0000-0000-0000730C0000}"/>
    <cellStyle name="표준 2 4 6 2" xfId="2586" xr:uid="{00000000-0005-0000-0000-0000740C0000}"/>
    <cellStyle name="표준 2 4 6 3" xfId="3757" xr:uid="{00000000-0005-0000-0000-0000750C0000}"/>
    <cellStyle name="표준 2 4 7" xfId="1513" xr:uid="{00000000-0005-0000-0000-0000760C0000}"/>
    <cellStyle name="표준 2 4 8" xfId="2682" xr:uid="{00000000-0005-0000-0000-0000770C0000}"/>
    <cellStyle name="표준 2 5" xfId="180" xr:uid="{00000000-0005-0000-0000-0000780C0000}"/>
    <cellStyle name="표준 2 5 2" xfId="627" xr:uid="{00000000-0005-0000-0000-0000790C0000}"/>
    <cellStyle name="표준 2 5 2 2" xfId="1145" xr:uid="{00000000-0005-0000-0000-00007A0C0000}"/>
    <cellStyle name="표준 2 5 2 2 2" xfId="2449" xr:uid="{00000000-0005-0000-0000-00007B0C0000}"/>
    <cellStyle name="표준 2 5 2 2 3" xfId="3618" xr:uid="{00000000-0005-0000-0000-00007C0C0000}"/>
    <cellStyle name="표준 2 5 2 3" xfId="1931" xr:uid="{00000000-0005-0000-0000-00007D0C0000}"/>
    <cellStyle name="표준 2 5 2 4" xfId="3100" xr:uid="{00000000-0005-0000-0000-00007E0C0000}"/>
    <cellStyle name="표준 2 5 3" xfId="883" xr:uid="{00000000-0005-0000-0000-00007F0C0000}"/>
    <cellStyle name="표준 2 5 3 2" xfId="2187" xr:uid="{00000000-0005-0000-0000-0000800C0000}"/>
    <cellStyle name="표준 2 5 3 3" xfId="3356" xr:uid="{00000000-0005-0000-0000-0000810C0000}"/>
    <cellStyle name="표준 2 5 4" xfId="365" xr:uid="{00000000-0005-0000-0000-0000820C0000}"/>
    <cellStyle name="표준 2 5 4 2" xfId="1669" xr:uid="{00000000-0005-0000-0000-0000830C0000}"/>
    <cellStyle name="표준 2 5 4 3" xfId="2838" xr:uid="{00000000-0005-0000-0000-0000840C0000}"/>
    <cellStyle name="표준 2 6" xfId="190" xr:uid="{00000000-0005-0000-0000-0000850C0000}"/>
    <cellStyle name="표준 2 6 2" xfId="1015" xr:uid="{00000000-0005-0000-0000-0000860C0000}"/>
    <cellStyle name="표준 2 6 2 2" xfId="2319" xr:uid="{00000000-0005-0000-0000-0000870C0000}"/>
    <cellStyle name="표준 2 6 2 3" xfId="3488" xr:uid="{00000000-0005-0000-0000-0000880C0000}"/>
    <cellStyle name="표준 2 6 3" xfId="497" xr:uid="{00000000-0005-0000-0000-0000890C0000}"/>
    <cellStyle name="표준 2 6 3 2" xfId="1801" xr:uid="{00000000-0005-0000-0000-00008A0C0000}"/>
    <cellStyle name="표준 2 6 3 3" xfId="2970" xr:uid="{00000000-0005-0000-0000-00008B0C0000}"/>
    <cellStyle name="표준 2 7" xfId="235" xr:uid="{00000000-0005-0000-0000-00008C0C0000}"/>
    <cellStyle name="표준 2 7 2" xfId="769" xr:uid="{00000000-0005-0000-0000-00008D0C0000}"/>
    <cellStyle name="표준 2 7 2 2" xfId="2073" xr:uid="{00000000-0005-0000-0000-00008E0C0000}"/>
    <cellStyle name="표준 2 7 2 3" xfId="3242" xr:uid="{00000000-0005-0000-0000-00008F0C0000}"/>
    <cellStyle name="표준 2 7 3" xfId="1545" xr:uid="{00000000-0005-0000-0000-0000900C0000}"/>
    <cellStyle name="표준 2 7 4" xfId="2714" xr:uid="{00000000-0005-0000-0000-0000910C0000}"/>
    <cellStyle name="표준 2 8" xfId="250" xr:uid="{00000000-0005-0000-0000-0000920C0000}"/>
    <cellStyle name="표준 2 9" xfId="52" xr:uid="{00000000-0005-0000-0000-0000930C0000}"/>
    <cellStyle name="표준 2 9 2" xfId="2580" xr:uid="{00000000-0005-0000-0000-0000940C0000}"/>
    <cellStyle name="표준 2 9 3" xfId="3751" xr:uid="{00000000-0005-0000-0000-0000950C0000}"/>
    <cellStyle name="표준 20" xfId="129" xr:uid="{00000000-0005-0000-0000-0000960C0000}"/>
    <cellStyle name="표준 20 2" xfId="1435" xr:uid="{00000000-0005-0000-0000-0000970C0000}"/>
    <cellStyle name="표준 20 2 2" xfId="2589" xr:uid="{00000000-0005-0000-0000-0000980C0000}"/>
    <cellStyle name="표준 20 2 3" xfId="3760" xr:uid="{00000000-0005-0000-0000-0000990C0000}"/>
    <cellStyle name="표준 20 3" xfId="1428" xr:uid="{00000000-0005-0000-0000-00009A0C0000}"/>
    <cellStyle name="표준 20 3 2" xfId="2583" xr:uid="{00000000-0005-0000-0000-00009B0C0000}"/>
    <cellStyle name="표준 20 3 3" xfId="3754" xr:uid="{00000000-0005-0000-0000-00009C0C0000}"/>
    <cellStyle name="표준 20 4" xfId="1477" xr:uid="{00000000-0005-0000-0000-00009D0C0000}"/>
    <cellStyle name="표준 20 5" xfId="2646" xr:uid="{00000000-0005-0000-0000-00009E0C0000}"/>
    <cellStyle name="표준 21" xfId="161" xr:uid="{00000000-0005-0000-0000-00009F0C0000}"/>
    <cellStyle name="표준 21 2" xfId="1313" xr:uid="{00000000-0005-0000-0000-0000A00C0000}"/>
    <cellStyle name="표준 21 3" xfId="1312" xr:uid="{00000000-0005-0000-0000-0000A10C0000}"/>
    <cellStyle name="표준 21 4" xfId="1507" xr:uid="{00000000-0005-0000-0000-0000A20C0000}"/>
    <cellStyle name="표준 21 5" xfId="2676" xr:uid="{00000000-0005-0000-0000-0000A30C0000}"/>
    <cellStyle name="표준 22" xfId="166" xr:uid="{00000000-0005-0000-0000-0000A40C0000}"/>
    <cellStyle name="표준 22 2" xfId="1315" xr:uid="{00000000-0005-0000-0000-0000A50C0000}"/>
    <cellStyle name="표준 22 3" xfId="1314" xr:uid="{00000000-0005-0000-0000-0000A60C0000}"/>
    <cellStyle name="표준 22 4" xfId="1511" xr:uid="{00000000-0005-0000-0000-0000A70C0000}"/>
    <cellStyle name="표준 22 5" xfId="2680" xr:uid="{00000000-0005-0000-0000-0000A80C0000}"/>
    <cellStyle name="표준 23" xfId="181" xr:uid="{00000000-0005-0000-0000-0000A90C0000}"/>
    <cellStyle name="표준 23 2" xfId="1317" xr:uid="{00000000-0005-0000-0000-0000AA0C0000}"/>
    <cellStyle name="표준 23 3" xfId="1316" xr:uid="{00000000-0005-0000-0000-0000AB0C0000}"/>
    <cellStyle name="표준 23 4" xfId="1525" xr:uid="{00000000-0005-0000-0000-0000AC0C0000}"/>
    <cellStyle name="표준 23 5" xfId="2694" xr:uid="{00000000-0005-0000-0000-0000AD0C0000}"/>
    <cellStyle name="표준 24" xfId="182" xr:uid="{00000000-0005-0000-0000-0000AE0C0000}"/>
    <cellStyle name="표준 24 2" xfId="1319" xr:uid="{00000000-0005-0000-0000-0000AF0C0000}"/>
    <cellStyle name="표준 24 3" xfId="1318" xr:uid="{00000000-0005-0000-0000-0000B00C0000}"/>
    <cellStyle name="표준 24 4" xfId="1526" xr:uid="{00000000-0005-0000-0000-0000B10C0000}"/>
    <cellStyle name="표준 24 5" xfId="2695" xr:uid="{00000000-0005-0000-0000-0000B20C0000}"/>
    <cellStyle name="표준 25" xfId="183" xr:uid="{00000000-0005-0000-0000-0000B30C0000}"/>
    <cellStyle name="표준 25 2" xfId="1321" xr:uid="{00000000-0005-0000-0000-0000B40C0000}"/>
    <cellStyle name="표준 25 3" xfId="1320" xr:uid="{00000000-0005-0000-0000-0000B50C0000}"/>
    <cellStyle name="표준 25 4" xfId="1527" xr:uid="{00000000-0005-0000-0000-0000B60C0000}"/>
    <cellStyle name="표준 25 5" xfId="2696" xr:uid="{00000000-0005-0000-0000-0000B70C0000}"/>
    <cellStyle name="표준 26" xfId="185" xr:uid="{00000000-0005-0000-0000-0000B80C0000}"/>
    <cellStyle name="표준 26 2" xfId="1323" xr:uid="{00000000-0005-0000-0000-0000B90C0000}"/>
    <cellStyle name="표준 26 3" xfId="1322" xr:uid="{00000000-0005-0000-0000-0000BA0C0000}"/>
    <cellStyle name="표준 26 4" xfId="1528" xr:uid="{00000000-0005-0000-0000-0000BB0C0000}"/>
    <cellStyle name="표준 26 5" xfId="2697" xr:uid="{00000000-0005-0000-0000-0000BC0C0000}"/>
    <cellStyle name="표준 27" xfId="187" xr:uid="{00000000-0005-0000-0000-0000BD0C0000}"/>
    <cellStyle name="표준 27 2" xfId="1325" xr:uid="{00000000-0005-0000-0000-0000BE0C0000}"/>
    <cellStyle name="표준 27 3" xfId="1324" xr:uid="{00000000-0005-0000-0000-0000BF0C0000}"/>
    <cellStyle name="표준 28" xfId="232" xr:uid="{00000000-0005-0000-0000-0000C00C0000}"/>
    <cellStyle name="표준 28 2" xfId="1327" xr:uid="{00000000-0005-0000-0000-0000C10C0000}"/>
    <cellStyle name="표준 28 3" xfId="1326" xr:uid="{00000000-0005-0000-0000-0000C20C0000}"/>
    <cellStyle name="표준 28 4" xfId="1544" xr:uid="{00000000-0005-0000-0000-0000C30C0000}"/>
    <cellStyle name="표준 28 5" xfId="2713" xr:uid="{00000000-0005-0000-0000-0000C40C0000}"/>
    <cellStyle name="표준 29" xfId="234" xr:uid="{00000000-0005-0000-0000-0000C50C0000}"/>
    <cellStyle name="표준 29 2" xfId="1329" xr:uid="{00000000-0005-0000-0000-0000C60C0000}"/>
    <cellStyle name="표준 29 3" xfId="1328" xr:uid="{00000000-0005-0000-0000-0000C70C0000}"/>
    <cellStyle name="표준 3" xfId="46" xr:uid="{00000000-0005-0000-0000-0000C80C0000}"/>
    <cellStyle name="표준 3 2" xfId="111" xr:uid="{00000000-0005-0000-0000-0000C90C0000}"/>
    <cellStyle name="표준 3 2 2" xfId="149" xr:uid="{00000000-0005-0000-0000-0000CA0C0000}"/>
    <cellStyle name="표준 3 2 2 2" xfId="665" xr:uid="{00000000-0005-0000-0000-0000CB0C0000}"/>
    <cellStyle name="표준 3 2 2 2 2" xfId="1183" xr:uid="{00000000-0005-0000-0000-0000CC0C0000}"/>
    <cellStyle name="표준 3 2 2 2 2 2" xfId="2487" xr:uid="{00000000-0005-0000-0000-0000CD0C0000}"/>
    <cellStyle name="표준 3 2 2 2 2 3" xfId="3656" xr:uid="{00000000-0005-0000-0000-0000CE0C0000}"/>
    <cellStyle name="표준 3 2 2 2 3" xfId="1969" xr:uid="{00000000-0005-0000-0000-0000CF0C0000}"/>
    <cellStyle name="표준 3 2 2 2 4" xfId="3138" xr:uid="{00000000-0005-0000-0000-0000D00C0000}"/>
    <cellStyle name="표준 3 2 2 3" xfId="921" xr:uid="{00000000-0005-0000-0000-0000D10C0000}"/>
    <cellStyle name="표준 3 2 2 3 2" xfId="2225" xr:uid="{00000000-0005-0000-0000-0000D20C0000}"/>
    <cellStyle name="표준 3 2 2 3 3" xfId="3394" xr:uid="{00000000-0005-0000-0000-0000D30C0000}"/>
    <cellStyle name="표준 3 2 2 4" xfId="403" xr:uid="{00000000-0005-0000-0000-0000D40C0000}"/>
    <cellStyle name="표준 3 2 2 4 2" xfId="1707" xr:uid="{00000000-0005-0000-0000-0000D50C0000}"/>
    <cellStyle name="표준 3 2 2 4 3" xfId="2876" xr:uid="{00000000-0005-0000-0000-0000D60C0000}"/>
    <cellStyle name="표준 3 2 2 5" xfId="1495" xr:uid="{00000000-0005-0000-0000-0000D70C0000}"/>
    <cellStyle name="표준 3 2 2 6" xfId="2664" xr:uid="{00000000-0005-0000-0000-0000D80C0000}"/>
    <cellStyle name="표준 3 2 3" xfId="535" xr:uid="{00000000-0005-0000-0000-0000D90C0000}"/>
    <cellStyle name="표준 3 2 3 2" xfId="1053" xr:uid="{00000000-0005-0000-0000-0000DA0C0000}"/>
    <cellStyle name="표준 3 2 3 2 2" xfId="2357" xr:uid="{00000000-0005-0000-0000-0000DB0C0000}"/>
    <cellStyle name="표준 3 2 3 2 3" xfId="3526" xr:uid="{00000000-0005-0000-0000-0000DC0C0000}"/>
    <cellStyle name="표준 3 2 3 3" xfId="1839" xr:uid="{00000000-0005-0000-0000-0000DD0C0000}"/>
    <cellStyle name="표준 3 2 3 4" xfId="3008" xr:uid="{00000000-0005-0000-0000-0000DE0C0000}"/>
    <cellStyle name="표준 3 2 4" xfId="791" xr:uid="{00000000-0005-0000-0000-0000DF0C0000}"/>
    <cellStyle name="표준 3 2 4 2" xfId="2095" xr:uid="{00000000-0005-0000-0000-0000E00C0000}"/>
    <cellStyle name="표준 3 2 4 3" xfId="3264" xr:uid="{00000000-0005-0000-0000-0000E10C0000}"/>
    <cellStyle name="표준 3 2 5" xfId="273" xr:uid="{00000000-0005-0000-0000-0000E20C0000}"/>
    <cellStyle name="표준 3 2 5 2" xfId="1578" xr:uid="{00000000-0005-0000-0000-0000E30C0000}"/>
    <cellStyle name="표준 3 2 5 3" xfId="2747" xr:uid="{00000000-0005-0000-0000-0000E40C0000}"/>
    <cellStyle name="표준 3 2 6" xfId="1330" xr:uid="{00000000-0005-0000-0000-0000E50C0000}"/>
    <cellStyle name="표준 3 2 7" xfId="1463" xr:uid="{00000000-0005-0000-0000-0000E60C0000}"/>
    <cellStyle name="표준 3 2 8" xfId="2632" xr:uid="{00000000-0005-0000-0000-0000E70C0000}"/>
    <cellStyle name="표준 3 3" xfId="135" xr:uid="{00000000-0005-0000-0000-0000E80C0000}"/>
    <cellStyle name="표준 3 3 2" xfId="629" xr:uid="{00000000-0005-0000-0000-0000E90C0000}"/>
    <cellStyle name="표준 3 3 2 2" xfId="1147" xr:uid="{00000000-0005-0000-0000-0000EA0C0000}"/>
    <cellStyle name="표준 3 3 2 2 2" xfId="2451" xr:uid="{00000000-0005-0000-0000-0000EB0C0000}"/>
    <cellStyle name="표준 3 3 2 2 3" xfId="3620" xr:uid="{00000000-0005-0000-0000-0000EC0C0000}"/>
    <cellStyle name="표준 3 3 2 3" xfId="1933" xr:uid="{00000000-0005-0000-0000-0000ED0C0000}"/>
    <cellStyle name="표준 3 3 2 4" xfId="3102" xr:uid="{00000000-0005-0000-0000-0000EE0C0000}"/>
    <cellStyle name="표준 3 3 3" xfId="885" xr:uid="{00000000-0005-0000-0000-0000EF0C0000}"/>
    <cellStyle name="표준 3 3 3 2" xfId="2189" xr:uid="{00000000-0005-0000-0000-0000F00C0000}"/>
    <cellStyle name="표준 3 3 3 3" xfId="3358" xr:uid="{00000000-0005-0000-0000-0000F10C0000}"/>
    <cellStyle name="표준 3 3 4" xfId="367" xr:uid="{00000000-0005-0000-0000-0000F20C0000}"/>
    <cellStyle name="표준 3 3 4 2" xfId="1671" xr:uid="{00000000-0005-0000-0000-0000F30C0000}"/>
    <cellStyle name="표준 3 3 4 3" xfId="2840" xr:uid="{00000000-0005-0000-0000-0000F40C0000}"/>
    <cellStyle name="표준 3 3 5" xfId="1481" xr:uid="{00000000-0005-0000-0000-0000F50C0000}"/>
    <cellStyle name="표준 3 3 6" xfId="2650" xr:uid="{00000000-0005-0000-0000-0000F60C0000}"/>
    <cellStyle name="표준 3 4" xfId="169" xr:uid="{00000000-0005-0000-0000-0000F70C0000}"/>
    <cellStyle name="표준 3 4 2" xfId="1018" xr:uid="{00000000-0005-0000-0000-0000F80C0000}"/>
    <cellStyle name="표준 3 4 2 2" xfId="2322" xr:uid="{00000000-0005-0000-0000-0000F90C0000}"/>
    <cellStyle name="표준 3 4 2 3" xfId="3491" xr:uid="{00000000-0005-0000-0000-0000FA0C0000}"/>
    <cellStyle name="표준 3 4 3" xfId="500" xr:uid="{00000000-0005-0000-0000-0000FB0C0000}"/>
    <cellStyle name="표준 3 4 3 2" xfId="1804" xr:uid="{00000000-0005-0000-0000-0000FC0C0000}"/>
    <cellStyle name="표준 3 4 3 3" xfId="2973" xr:uid="{00000000-0005-0000-0000-0000FD0C0000}"/>
    <cellStyle name="표준 3 4 4" xfId="1514" xr:uid="{00000000-0005-0000-0000-0000FE0C0000}"/>
    <cellStyle name="표준 3 4 5" xfId="2683" xr:uid="{00000000-0005-0000-0000-0000FF0C0000}"/>
    <cellStyle name="표준 3 5" xfId="191" xr:uid="{00000000-0005-0000-0000-0000000D0000}"/>
    <cellStyle name="표준 3 5 2" xfId="771" xr:uid="{00000000-0005-0000-0000-0000010D0000}"/>
    <cellStyle name="표준 3 5 2 2" xfId="2075" xr:uid="{00000000-0005-0000-0000-0000020D0000}"/>
    <cellStyle name="표준 3 5 2 3" xfId="3244" xr:uid="{00000000-0005-0000-0000-0000030D0000}"/>
    <cellStyle name="표준 3 6" xfId="236" xr:uid="{00000000-0005-0000-0000-0000040D0000}"/>
    <cellStyle name="표준 3 6 2" xfId="1546" xr:uid="{00000000-0005-0000-0000-0000050D0000}"/>
    <cellStyle name="표준 3 6 3" xfId="2715" xr:uid="{00000000-0005-0000-0000-0000060D0000}"/>
    <cellStyle name="표준 3 7" xfId="53" xr:uid="{00000000-0005-0000-0000-0000070D0000}"/>
    <cellStyle name="표준 3 7 2" xfId="2602" xr:uid="{00000000-0005-0000-0000-0000080D0000}"/>
    <cellStyle name="표준 3 7 3" xfId="3773" xr:uid="{00000000-0005-0000-0000-0000090D0000}"/>
    <cellStyle name="표준 3 8" xfId="1448" xr:uid="{00000000-0005-0000-0000-00000A0D0000}"/>
    <cellStyle name="표준 3 8 2" xfId="3787" xr:uid="{00000000-0005-0000-0000-00000B0D0000}"/>
    <cellStyle name="표준 3 9" xfId="2617" xr:uid="{00000000-0005-0000-0000-00000C0D0000}"/>
    <cellStyle name="표준 30" xfId="49" xr:uid="{00000000-0005-0000-0000-00000D0D0000}"/>
    <cellStyle name="표준 30 2" xfId="1332" xr:uid="{00000000-0005-0000-0000-00000E0D0000}"/>
    <cellStyle name="표준 30 3" xfId="1331" xr:uid="{00000000-0005-0000-0000-00000F0D0000}"/>
    <cellStyle name="표준 31" xfId="51" xr:uid="{00000000-0005-0000-0000-0000100D0000}"/>
    <cellStyle name="표준 31 2" xfId="1334" xr:uid="{00000000-0005-0000-0000-0000110D0000}"/>
    <cellStyle name="표준 31 3" xfId="1333" xr:uid="{00000000-0005-0000-0000-0000120D0000}"/>
    <cellStyle name="표준 32" xfId="1282" xr:uid="{00000000-0005-0000-0000-0000130D0000}"/>
    <cellStyle name="표준 32 2" xfId="1336" xr:uid="{00000000-0005-0000-0000-0000140D0000}"/>
    <cellStyle name="표준 32 3" xfId="1335" xr:uid="{00000000-0005-0000-0000-0000150D0000}"/>
    <cellStyle name="표준 33" xfId="1279" xr:uid="{00000000-0005-0000-0000-0000160D0000}"/>
    <cellStyle name="표준 33 2" xfId="1338" xr:uid="{00000000-0005-0000-0000-0000170D0000}"/>
    <cellStyle name="표준 33 3" xfId="1337" xr:uid="{00000000-0005-0000-0000-0000180D0000}"/>
    <cellStyle name="표준 34" xfId="1288" xr:uid="{00000000-0005-0000-0000-0000190D0000}"/>
    <cellStyle name="표준 34 2" xfId="1340" xr:uid="{00000000-0005-0000-0000-00001A0D0000}"/>
    <cellStyle name="표준 34 3" xfId="1339" xr:uid="{00000000-0005-0000-0000-00001B0D0000}"/>
    <cellStyle name="표준 35" xfId="1290" xr:uid="{00000000-0005-0000-0000-00001C0D0000}"/>
    <cellStyle name="표준 35 2" xfId="1342" xr:uid="{00000000-0005-0000-0000-00001D0D0000}"/>
    <cellStyle name="표준 35 3" xfId="1341" xr:uid="{00000000-0005-0000-0000-00001E0D0000}"/>
    <cellStyle name="표준 36" xfId="1285" xr:uid="{00000000-0005-0000-0000-00001F0D0000}"/>
    <cellStyle name="표준 36 2" xfId="1344" xr:uid="{00000000-0005-0000-0000-0000200D0000}"/>
    <cellStyle name="표준 36 3" xfId="1343" xr:uid="{00000000-0005-0000-0000-0000210D0000}"/>
    <cellStyle name="표준 37" xfId="1289" xr:uid="{00000000-0005-0000-0000-0000220D0000}"/>
    <cellStyle name="표준 37 2" xfId="1346" xr:uid="{00000000-0005-0000-0000-0000230D0000}"/>
    <cellStyle name="표준 37 3" xfId="1345" xr:uid="{00000000-0005-0000-0000-0000240D0000}"/>
    <cellStyle name="표준 38" xfId="1281" xr:uid="{00000000-0005-0000-0000-0000250D0000}"/>
    <cellStyle name="표준 38 2" xfId="1348" xr:uid="{00000000-0005-0000-0000-0000260D0000}"/>
    <cellStyle name="표준 38 3" xfId="1347" xr:uid="{00000000-0005-0000-0000-0000270D0000}"/>
    <cellStyle name="표준 39" xfId="1284" xr:uid="{00000000-0005-0000-0000-0000280D0000}"/>
    <cellStyle name="표준 39 2" xfId="1350" xr:uid="{00000000-0005-0000-0000-0000290D0000}"/>
    <cellStyle name="표준 39 3" xfId="1349" xr:uid="{00000000-0005-0000-0000-00002A0D0000}"/>
    <cellStyle name="표준 4" xfId="48" xr:uid="{00000000-0005-0000-0000-00002B0D0000}"/>
    <cellStyle name="표준 4 2" xfId="116" xr:uid="{00000000-0005-0000-0000-00002C0D0000}"/>
    <cellStyle name="표준 4 2 2" xfId="150" xr:uid="{00000000-0005-0000-0000-00002D0D0000}"/>
    <cellStyle name="표준 4 2 2 2" xfId="668" xr:uid="{00000000-0005-0000-0000-00002E0D0000}"/>
    <cellStyle name="표준 4 2 2 2 2" xfId="1186" xr:uid="{00000000-0005-0000-0000-00002F0D0000}"/>
    <cellStyle name="표준 4 2 2 2 2 2" xfId="2490" xr:uid="{00000000-0005-0000-0000-0000300D0000}"/>
    <cellStyle name="표준 4 2 2 2 2 3" xfId="3659" xr:uid="{00000000-0005-0000-0000-0000310D0000}"/>
    <cellStyle name="표준 4 2 2 2 3" xfId="1972" xr:uid="{00000000-0005-0000-0000-0000320D0000}"/>
    <cellStyle name="표준 4 2 2 2 4" xfId="3141" xr:uid="{00000000-0005-0000-0000-0000330D0000}"/>
    <cellStyle name="표준 4 2 2 3" xfId="924" xr:uid="{00000000-0005-0000-0000-0000340D0000}"/>
    <cellStyle name="표준 4 2 2 3 2" xfId="2228" xr:uid="{00000000-0005-0000-0000-0000350D0000}"/>
    <cellStyle name="표준 4 2 2 3 3" xfId="3397" xr:uid="{00000000-0005-0000-0000-0000360D0000}"/>
    <cellStyle name="표준 4 2 2 4" xfId="406" xr:uid="{00000000-0005-0000-0000-0000370D0000}"/>
    <cellStyle name="표준 4 2 2 4 2" xfId="1710" xr:uid="{00000000-0005-0000-0000-0000380D0000}"/>
    <cellStyle name="표준 4 2 2 4 3" xfId="2879" xr:uid="{00000000-0005-0000-0000-0000390D0000}"/>
    <cellStyle name="표준 4 2 2 5" xfId="1496" xr:uid="{00000000-0005-0000-0000-00003A0D0000}"/>
    <cellStyle name="표준 4 2 2 6" xfId="2665" xr:uid="{00000000-0005-0000-0000-00003B0D0000}"/>
    <cellStyle name="표준 4 2 3" xfId="538" xr:uid="{00000000-0005-0000-0000-00003C0D0000}"/>
    <cellStyle name="표준 4 2 3 2" xfId="1056" xr:uid="{00000000-0005-0000-0000-00003D0D0000}"/>
    <cellStyle name="표준 4 2 3 2 2" xfId="2360" xr:uid="{00000000-0005-0000-0000-00003E0D0000}"/>
    <cellStyle name="표준 4 2 3 2 3" xfId="3529" xr:uid="{00000000-0005-0000-0000-00003F0D0000}"/>
    <cellStyle name="표준 4 2 3 3" xfId="1842" xr:uid="{00000000-0005-0000-0000-0000400D0000}"/>
    <cellStyle name="표준 4 2 3 4" xfId="3011" xr:uid="{00000000-0005-0000-0000-0000410D0000}"/>
    <cellStyle name="표준 4 2 4" xfId="794" xr:uid="{00000000-0005-0000-0000-0000420D0000}"/>
    <cellStyle name="표준 4 2 4 2" xfId="2098" xr:uid="{00000000-0005-0000-0000-0000430D0000}"/>
    <cellStyle name="표준 4 2 4 3" xfId="3267" xr:uid="{00000000-0005-0000-0000-0000440D0000}"/>
    <cellStyle name="표준 4 2 5" xfId="276" xr:uid="{00000000-0005-0000-0000-0000450D0000}"/>
    <cellStyle name="표준 4 2 5 2" xfId="1581" xr:uid="{00000000-0005-0000-0000-0000460D0000}"/>
    <cellStyle name="표준 4 2 5 3" xfId="2750" xr:uid="{00000000-0005-0000-0000-0000470D0000}"/>
    <cellStyle name="표준 4 2 6" xfId="1352" xr:uid="{00000000-0005-0000-0000-0000480D0000}"/>
    <cellStyle name="표준 4 2 7" xfId="1466" xr:uid="{00000000-0005-0000-0000-0000490D0000}"/>
    <cellStyle name="표준 4 2 8" xfId="2635" xr:uid="{00000000-0005-0000-0000-00004A0D0000}"/>
    <cellStyle name="표준 4 3" xfId="136" xr:uid="{00000000-0005-0000-0000-00004B0D0000}"/>
    <cellStyle name="표준 4 3 2" xfId="632" xr:uid="{00000000-0005-0000-0000-00004C0D0000}"/>
    <cellStyle name="표준 4 3 2 2" xfId="1150" xr:uid="{00000000-0005-0000-0000-00004D0D0000}"/>
    <cellStyle name="표준 4 3 2 2 2" xfId="2454" xr:uid="{00000000-0005-0000-0000-00004E0D0000}"/>
    <cellStyle name="표준 4 3 2 2 3" xfId="3623" xr:uid="{00000000-0005-0000-0000-00004F0D0000}"/>
    <cellStyle name="표준 4 3 2 3" xfId="1936" xr:uid="{00000000-0005-0000-0000-0000500D0000}"/>
    <cellStyle name="표준 4 3 2 4" xfId="3105" xr:uid="{00000000-0005-0000-0000-0000510D0000}"/>
    <cellStyle name="표준 4 3 3" xfId="888" xr:uid="{00000000-0005-0000-0000-0000520D0000}"/>
    <cellStyle name="표준 4 3 3 2" xfId="2192" xr:uid="{00000000-0005-0000-0000-0000530D0000}"/>
    <cellStyle name="표준 4 3 3 3" xfId="3361" xr:uid="{00000000-0005-0000-0000-0000540D0000}"/>
    <cellStyle name="표준 4 3 4" xfId="370" xr:uid="{00000000-0005-0000-0000-0000550D0000}"/>
    <cellStyle name="표준 4 3 4 2" xfId="1674" xr:uid="{00000000-0005-0000-0000-0000560D0000}"/>
    <cellStyle name="표준 4 3 4 3" xfId="2843" xr:uid="{00000000-0005-0000-0000-0000570D0000}"/>
    <cellStyle name="표준 4 3 5" xfId="1482" xr:uid="{00000000-0005-0000-0000-0000580D0000}"/>
    <cellStyle name="표준 4 3 6" xfId="2651" xr:uid="{00000000-0005-0000-0000-0000590D0000}"/>
    <cellStyle name="표준 4 4" xfId="170" xr:uid="{00000000-0005-0000-0000-00005A0D0000}"/>
    <cellStyle name="표준 4 4 2" xfId="1017" xr:uid="{00000000-0005-0000-0000-00005B0D0000}"/>
    <cellStyle name="표준 4 4 2 2" xfId="2321" xr:uid="{00000000-0005-0000-0000-00005C0D0000}"/>
    <cellStyle name="표준 4 4 2 3" xfId="3490" xr:uid="{00000000-0005-0000-0000-00005D0D0000}"/>
    <cellStyle name="표준 4 4 3" xfId="499" xr:uid="{00000000-0005-0000-0000-00005E0D0000}"/>
    <cellStyle name="표준 4 4 3 2" xfId="1803" xr:uid="{00000000-0005-0000-0000-00005F0D0000}"/>
    <cellStyle name="표준 4 4 3 3" xfId="2972" xr:uid="{00000000-0005-0000-0000-0000600D0000}"/>
    <cellStyle name="표준 4 4 4" xfId="1515" xr:uid="{00000000-0005-0000-0000-0000610D0000}"/>
    <cellStyle name="표준 4 4 5" xfId="2684" xr:uid="{00000000-0005-0000-0000-0000620D0000}"/>
    <cellStyle name="표준 4 5" xfId="237" xr:uid="{00000000-0005-0000-0000-0000630D0000}"/>
    <cellStyle name="표준 4 5 2" xfId="1547" xr:uid="{00000000-0005-0000-0000-0000640D0000}"/>
    <cellStyle name="표준 4 5 3" xfId="2716" xr:uid="{00000000-0005-0000-0000-0000650D0000}"/>
    <cellStyle name="표준 4 6" xfId="54" xr:uid="{00000000-0005-0000-0000-0000660D0000}"/>
    <cellStyle name="표준 4 6 2" xfId="1351" xr:uid="{00000000-0005-0000-0000-0000670D0000}"/>
    <cellStyle name="표준 4 7" xfId="2603" xr:uid="{00000000-0005-0000-0000-0000680D0000}"/>
    <cellStyle name="표준 4 7 2" xfId="3774" xr:uid="{00000000-0005-0000-0000-0000690D0000}"/>
    <cellStyle name="표준 4 8" xfId="1449" xr:uid="{00000000-0005-0000-0000-00006A0D0000}"/>
    <cellStyle name="표준 4 8 2" xfId="3788" xr:uid="{00000000-0005-0000-0000-00006B0D0000}"/>
    <cellStyle name="표준 4 9" xfId="2618" xr:uid="{00000000-0005-0000-0000-00006C0D0000}"/>
    <cellStyle name="표준 40" xfId="1283" xr:uid="{00000000-0005-0000-0000-00006D0D0000}"/>
    <cellStyle name="표준 40 2" xfId="1354" xr:uid="{00000000-0005-0000-0000-00006E0D0000}"/>
    <cellStyle name="표준 40 3" xfId="1353" xr:uid="{00000000-0005-0000-0000-00006F0D0000}"/>
    <cellStyle name="표준 41" xfId="1286" xr:uid="{00000000-0005-0000-0000-0000700D0000}"/>
    <cellStyle name="표준 41 2" xfId="1356" xr:uid="{00000000-0005-0000-0000-0000710D0000}"/>
    <cellStyle name="표준 41 3" xfId="1355" xr:uid="{00000000-0005-0000-0000-0000720D0000}"/>
    <cellStyle name="표준 42" xfId="1277" xr:uid="{00000000-0005-0000-0000-0000730D0000}"/>
    <cellStyle name="표준 42 2" xfId="1358" xr:uid="{00000000-0005-0000-0000-0000740D0000}"/>
    <cellStyle name="표준 42 3" xfId="1357" xr:uid="{00000000-0005-0000-0000-0000750D0000}"/>
    <cellStyle name="표준 43" xfId="1292" xr:uid="{00000000-0005-0000-0000-0000760D0000}"/>
    <cellStyle name="표준 43 2" xfId="1360" xr:uid="{00000000-0005-0000-0000-0000770D0000}"/>
    <cellStyle name="표준 43 3" xfId="1359" xr:uid="{00000000-0005-0000-0000-0000780D0000}"/>
    <cellStyle name="표준 44" xfId="1278" xr:uid="{00000000-0005-0000-0000-0000790D0000}"/>
    <cellStyle name="표준 44 2" xfId="1362" xr:uid="{00000000-0005-0000-0000-00007A0D0000}"/>
    <cellStyle name="표준 44 3" xfId="1361" xr:uid="{00000000-0005-0000-0000-00007B0D0000}"/>
    <cellStyle name="표준 45" xfId="1287" xr:uid="{00000000-0005-0000-0000-00007C0D0000}"/>
    <cellStyle name="표준 45 2" xfId="1364" xr:uid="{00000000-0005-0000-0000-00007D0D0000}"/>
    <cellStyle name="표준 45 3" xfId="1363" xr:uid="{00000000-0005-0000-0000-00007E0D0000}"/>
    <cellStyle name="표준 46" xfId="1365" xr:uid="{00000000-0005-0000-0000-00007F0D0000}"/>
    <cellStyle name="표준 46 2" xfId="1366" xr:uid="{00000000-0005-0000-0000-0000800D0000}"/>
    <cellStyle name="표준 47" xfId="1367" xr:uid="{00000000-0005-0000-0000-0000810D0000}"/>
    <cellStyle name="표준 47 2" xfId="1368" xr:uid="{00000000-0005-0000-0000-0000820D0000}"/>
    <cellStyle name="표준 48" xfId="1369" xr:uid="{00000000-0005-0000-0000-0000830D0000}"/>
    <cellStyle name="표준 48 2" xfId="1370" xr:uid="{00000000-0005-0000-0000-0000840D0000}"/>
    <cellStyle name="표준 49" xfId="1371" xr:uid="{00000000-0005-0000-0000-0000850D0000}"/>
    <cellStyle name="표준 49 2" xfId="1372" xr:uid="{00000000-0005-0000-0000-0000860D0000}"/>
    <cellStyle name="표준 5" xfId="55" xr:uid="{00000000-0005-0000-0000-0000870D0000}"/>
    <cellStyle name="표준 5 2" xfId="117" xr:uid="{00000000-0005-0000-0000-0000880D0000}"/>
    <cellStyle name="표준 5 2 2" xfId="151" xr:uid="{00000000-0005-0000-0000-0000890D0000}"/>
    <cellStyle name="표준 5 2 2 2" xfId="669" xr:uid="{00000000-0005-0000-0000-00008A0D0000}"/>
    <cellStyle name="표준 5 2 2 2 2" xfId="1187" xr:uid="{00000000-0005-0000-0000-00008B0D0000}"/>
    <cellStyle name="표준 5 2 2 2 2 2" xfId="2491" xr:uid="{00000000-0005-0000-0000-00008C0D0000}"/>
    <cellStyle name="표준 5 2 2 2 2 3" xfId="3660" xr:uid="{00000000-0005-0000-0000-00008D0D0000}"/>
    <cellStyle name="표준 5 2 2 2 3" xfId="1973" xr:uid="{00000000-0005-0000-0000-00008E0D0000}"/>
    <cellStyle name="표준 5 2 2 2 4" xfId="3142" xr:uid="{00000000-0005-0000-0000-00008F0D0000}"/>
    <cellStyle name="표준 5 2 2 3" xfId="925" xr:uid="{00000000-0005-0000-0000-0000900D0000}"/>
    <cellStyle name="표준 5 2 2 3 2" xfId="2229" xr:uid="{00000000-0005-0000-0000-0000910D0000}"/>
    <cellStyle name="표준 5 2 2 3 3" xfId="3398" xr:uid="{00000000-0005-0000-0000-0000920D0000}"/>
    <cellStyle name="표준 5 2 2 4" xfId="407" xr:uid="{00000000-0005-0000-0000-0000930D0000}"/>
    <cellStyle name="표준 5 2 2 4 2" xfId="1711" xr:uid="{00000000-0005-0000-0000-0000940D0000}"/>
    <cellStyle name="표준 5 2 2 4 3" xfId="2880" xr:uid="{00000000-0005-0000-0000-0000950D0000}"/>
    <cellStyle name="표준 5 2 2 5" xfId="1497" xr:uid="{00000000-0005-0000-0000-0000960D0000}"/>
    <cellStyle name="표준 5 2 2 6" xfId="2666" xr:uid="{00000000-0005-0000-0000-0000970D0000}"/>
    <cellStyle name="표준 5 2 3" xfId="539" xr:uid="{00000000-0005-0000-0000-0000980D0000}"/>
    <cellStyle name="표준 5 2 3 2" xfId="1057" xr:uid="{00000000-0005-0000-0000-0000990D0000}"/>
    <cellStyle name="표준 5 2 3 2 2" xfId="2361" xr:uid="{00000000-0005-0000-0000-00009A0D0000}"/>
    <cellStyle name="표준 5 2 3 2 3" xfId="3530" xr:uid="{00000000-0005-0000-0000-00009B0D0000}"/>
    <cellStyle name="표준 5 2 3 3" xfId="1843" xr:uid="{00000000-0005-0000-0000-00009C0D0000}"/>
    <cellStyle name="표준 5 2 3 4" xfId="3012" xr:uid="{00000000-0005-0000-0000-00009D0D0000}"/>
    <cellStyle name="표준 5 2 4" xfId="795" xr:uid="{00000000-0005-0000-0000-00009E0D0000}"/>
    <cellStyle name="표준 5 2 4 2" xfId="2099" xr:uid="{00000000-0005-0000-0000-00009F0D0000}"/>
    <cellStyle name="표준 5 2 4 3" xfId="3268" xr:uid="{00000000-0005-0000-0000-0000A00D0000}"/>
    <cellStyle name="표준 5 2 5" xfId="277" xr:uid="{00000000-0005-0000-0000-0000A10D0000}"/>
    <cellStyle name="표준 5 2 5 2" xfId="1582" xr:uid="{00000000-0005-0000-0000-0000A20D0000}"/>
    <cellStyle name="표준 5 2 5 3" xfId="2751" xr:uid="{00000000-0005-0000-0000-0000A30D0000}"/>
    <cellStyle name="표준 5 2 6" xfId="1374" xr:uid="{00000000-0005-0000-0000-0000A40D0000}"/>
    <cellStyle name="표준 5 2 7" xfId="1467" xr:uid="{00000000-0005-0000-0000-0000A50D0000}"/>
    <cellStyle name="표준 5 2 8" xfId="2636" xr:uid="{00000000-0005-0000-0000-0000A60D0000}"/>
    <cellStyle name="표준 5 3" xfId="137" xr:uid="{00000000-0005-0000-0000-0000A70D0000}"/>
    <cellStyle name="표준 5 3 2" xfId="633" xr:uid="{00000000-0005-0000-0000-0000A80D0000}"/>
    <cellStyle name="표준 5 3 2 2" xfId="1151" xr:uid="{00000000-0005-0000-0000-0000A90D0000}"/>
    <cellStyle name="표준 5 3 2 2 2" xfId="2455" xr:uid="{00000000-0005-0000-0000-0000AA0D0000}"/>
    <cellStyle name="표준 5 3 2 2 3" xfId="3624" xr:uid="{00000000-0005-0000-0000-0000AB0D0000}"/>
    <cellStyle name="표준 5 3 2 3" xfId="1937" xr:uid="{00000000-0005-0000-0000-0000AC0D0000}"/>
    <cellStyle name="표준 5 3 2 4" xfId="3106" xr:uid="{00000000-0005-0000-0000-0000AD0D0000}"/>
    <cellStyle name="표준 5 3 3" xfId="889" xr:uid="{00000000-0005-0000-0000-0000AE0D0000}"/>
    <cellStyle name="표준 5 3 3 2" xfId="2193" xr:uid="{00000000-0005-0000-0000-0000AF0D0000}"/>
    <cellStyle name="표준 5 3 3 3" xfId="3362" xr:uid="{00000000-0005-0000-0000-0000B00D0000}"/>
    <cellStyle name="표준 5 3 4" xfId="371" xr:uid="{00000000-0005-0000-0000-0000B10D0000}"/>
    <cellStyle name="표준 5 3 4 2" xfId="1675" xr:uid="{00000000-0005-0000-0000-0000B20D0000}"/>
    <cellStyle name="표준 5 3 4 3" xfId="2844" xr:uid="{00000000-0005-0000-0000-0000B30D0000}"/>
    <cellStyle name="표준 5 3 5" xfId="1483" xr:uid="{00000000-0005-0000-0000-0000B40D0000}"/>
    <cellStyle name="표준 5 3 6" xfId="2652" xr:uid="{00000000-0005-0000-0000-0000B50D0000}"/>
    <cellStyle name="표준 5 4" xfId="171" xr:uid="{00000000-0005-0000-0000-0000B60D0000}"/>
    <cellStyle name="표준 5 4 2" xfId="1016" xr:uid="{00000000-0005-0000-0000-0000B70D0000}"/>
    <cellStyle name="표준 5 4 2 2" xfId="2320" xr:uid="{00000000-0005-0000-0000-0000B80D0000}"/>
    <cellStyle name="표준 5 4 2 3" xfId="3489" xr:uid="{00000000-0005-0000-0000-0000B90D0000}"/>
    <cellStyle name="표준 5 4 3" xfId="498" xr:uid="{00000000-0005-0000-0000-0000BA0D0000}"/>
    <cellStyle name="표준 5 4 3 2" xfId="1802" xr:uid="{00000000-0005-0000-0000-0000BB0D0000}"/>
    <cellStyle name="표준 5 4 3 3" xfId="2971" xr:uid="{00000000-0005-0000-0000-0000BC0D0000}"/>
    <cellStyle name="표준 5 4 4" xfId="1516" xr:uid="{00000000-0005-0000-0000-0000BD0D0000}"/>
    <cellStyle name="표준 5 4 5" xfId="2685" xr:uid="{00000000-0005-0000-0000-0000BE0D0000}"/>
    <cellStyle name="표준 5 5" xfId="238" xr:uid="{00000000-0005-0000-0000-0000BF0D0000}"/>
    <cellStyle name="표준 5 5 2" xfId="1548" xr:uid="{00000000-0005-0000-0000-0000C00D0000}"/>
    <cellStyle name="표준 5 5 3" xfId="2717" xr:uid="{00000000-0005-0000-0000-0000C10D0000}"/>
    <cellStyle name="표준 5 6" xfId="1373" xr:uid="{00000000-0005-0000-0000-0000C20D0000}"/>
    <cellStyle name="표준 5 7" xfId="2604" xr:uid="{00000000-0005-0000-0000-0000C30D0000}"/>
    <cellStyle name="표준 5 7 2" xfId="3775" xr:uid="{00000000-0005-0000-0000-0000C40D0000}"/>
    <cellStyle name="표준 5 8" xfId="1450" xr:uid="{00000000-0005-0000-0000-0000C50D0000}"/>
    <cellStyle name="표준 5 8 2" xfId="3789" xr:uid="{00000000-0005-0000-0000-0000C60D0000}"/>
    <cellStyle name="표준 5 9" xfId="2619" xr:uid="{00000000-0005-0000-0000-0000C70D0000}"/>
    <cellStyle name="표준 50" xfId="1375" xr:uid="{00000000-0005-0000-0000-0000C80D0000}"/>
    <cellStyle name="표준 50 2" xfId="1376" xr:uid="{00000000-0005-0000-0000-0000C90D0000}"/>
    <cellStyle name="표준 51" xfId="1377" xr:uid="{00000000-0005-0000-0000-0000CA0D0000}"/>
    <cellStyle name="표준 51 2" xfId="1378" xr:uid="{00000000-0005-0000-0000-0000CB0D0000}"/>
    <cellStyle name="표준 52" xfId="1379" xr:uid="{00000000-0005-0000-0000-0000CC0D0000}"/>
    <cellStyle name="표준 52 2" xfId="1380" xr:uid="{00000000-0005-0000-0000-0000CD0D0000}"/>
    <cellStyle name="표준 53" xfId="1381" xr:uid="{00000000-0005-0000-0000-0000CE0D0000}"/>
    <cellStyle name="표준 53 2" xfId="1382" xr:uid="{00000000-0005-0000-0000-0000CF0D0000}"/>
    <cellStyle name="표준 54" xfId="1383" xr:uid="{00000000-0005-0000-0000-0000D00D0000}"/>
    <cellStyle name="표준 54 2" xfId="1384" xr:uid="{00000000-0005-0000-0000-0000D10D0000}"/>
    <cellStyle name="표준 55" xfId="1385" xr:uid="{00000000-0005-0000-0000-0000D20D0000}"/>
    <cellStyle name="표준 55 2" xfId="1386" xr:uid="{00000000-0005-0000-0000-0000D30D0000}"/>
    <cellStyle name="표준 56" xfId="1387" xr:uid="{00000000-0005-0000-0000-0000D40D0000}"/>
    <cellStyle name="표준 56 2" xfId="1388" xr:uid="{00000000-0005-0000-0000-0000D50D0000}"/>
    <cellStyle name="표준 57" xfId="1389" xr:uid="{00000000-0005-0000-0000-0000D60D0000}"/>
    <cellStyle name="표준 57 2" xfId="1390" xr:uid="{00000000-0005-0000-0000-0000D70D0000}"/>
    <cellStyle name="표준 58" xfId="1391" xr:uid="{00000000-0005-0000-0000-0000D80D0000}"/>
    <cellStyle name="표준 58 2" xfId="1392" xr:uid="{00000000-0005-0000-0000-0000D90D0000}"/>
    <cellStyle name="표준 59" xfId="1393" xr:uid="{00000000-0005-0000-0000-0000DA0D0000}"/>
    <cellStyle name="표준 59 2" xfId="1394" xr:uid="{00000000-0005-0000-0000-0000DB0D0000}"/>
    <cellStyle name="표준 6" xfId="56" xr:uid="{00000000-0005-0000-0000-0000DC0D0000}"/>
    <cellStyle name="표준 6 2" xfId="118" xr:uid="{00000000-0005-0000-0000-0000DD0D0000}"/>
    <cellStyle name="표준 6 2 2" xfId="152" xr:uid="{00000000-0005-0000-0000-0000DE0D0000}"/>
    <cellStyle name="표준 6 2 2 2" xfId="670" xr:uid="{00000000-0005-0000-0000-0000DF0D0000}"/>
    <cellStyle name="표준 6 2 2 2 2" xfId="1188" xr:uid="{00000000-0005-0000-0000-0000E00D0000}"/>
    <cellStyle name="표준 6 2 2 2 2 2" xfId="2492" xr:uid="{00000000-0005-0000-0000-0000E10D0000}"/>
    <cellStyle name="표준 6 2 2 2 2 3" xfId="3661" xr:uid="{00000000-0005-0000-0000-0000E20D0000}"/>
    <cellStyle name="표준 6 2 2 2 3" xfId="1974" xr:uid="{00000000-0005-0000-0000-0000E30D0000}"/>
    <cellStyle name="표준 6 2 2 2 4" xfId="3143" xr:uid="{00000000-0005-0000-0000-0000E40D0000}"/>
    <cellStyle name="표준 6 2 2 3" xfId="926" xr:uid="{00000000-0005-0000-0000-0000E50D0000}"/>
    <cellStyle name="표준 6 2 2 3 2" xfId="2230" xr:uid="{00000000-0005-0000-0000-0000E60D0000}"/>
    <cellStyle name="표준 6 2 2 3 3" xfId="3399" xr:uid="{00000000-0005-0000-0000-0000E70D0000}"/>
    <cellStyle name="표준 6 2 2 4" xfId="408" xr:uid="{00000000-0005-0000-0000-0000E80D0000}"/>
    <cellStyle name="표준 6 2 2 4 2" xfId="1712" xr:uid="{00000000-0005-0000-0000-0000E90D0000}"/>
    <cellStyle name="표준 6 2 2 4 3" xfId="2881" xr:uid="{00000000-0005-0000-0000-0000EA0D0000}"/>
    <cellStyle name="표준 6 2 2 5" xfId="1498" xr:uid="{00000000-0005-0000-0000-0000EB0D0000}"/>
    <cellStyle name="표준 6 2 2 6" xfId="2667" xr:uid="{00000000-0005-0000-0000-0000EC0D0000}"/>
    <cellStyle name="표준 6 2 3" xfId="540" xr:uid="{00000000-0005-0000-0000-0000ED0D0000}"/>
    <cellStyle name="표준 6 2 3 2" xfId="1058" xr:uid="{00000000-0005-0000-0000-0000EE0D0000}"/>
    <cellStyle name="표준 6 2 3 2 2" xfId="2362" xr:uid="{00000000-0005-0000-0000-0000EF0D0000}"/>
    <cellStyle name="표준 6 2 3 2 3" xfId="3531" xr:uid="{00000000-0005-0000-0000-0000F00D0000}"/>
    <cellStyle name="표준 6 2 3 3" xfId="1844" xr:uid="{00000000-0005-0000-0000-0000F10D0000}"/>
    <cellStyle name="표준 6 2 3 4" xfId="3013" xr:uid="{00000000-0005-0000-0000-0000F20D0000}"/>
    <cellStyle name="표준 6 2 4" xfId="796" xr:uid="{00000000-0005-0000-0000-0000F30D0000}"/>
    <cellStyle name="표준 6 2 4 2" xfId="2100" xr:uid="{00000000-0005-0000-0000-0000F40D0000}"/>
    <cellStyle name="표준 6 2 4 3" xfId="3269" xr:uid="{00000000-0005-0000-0000-0000F50D0000}"/>
    <cellStyle name="표준 6 2 5" xfId="278" xr:uid="{00000000-0005-0000-0000-0000F60D0000}"/>
    <cellStyle name="표준 6 2 5 2" xfId="1583" xr:uid="{00000000-0005-0000-0000-0000F70D0000}"/>
    <cellStyle name="표준 6 2 5 3" xfId="2752" xr:uid="{00000000-0005-0000-0000-0000F80D0000}"/>
    <cellStyle name="표준 6 2 6" xfId="1468" xr:uid="{00000000-0005-0000-0000-0000F90D0000}"/>
    <cellStyle name="표준 6 2 7" xfId="2637" xr:uid="{00000000-0005-0000-0000-0000FA0D0000}"/>
    <cellStyle name="표준 6 3" xfId="138" xr:uid="{00000000-0005-0000-0000-0000FB0D0000}"/>
    <cellStyle name="표준 6 3 2" xfId="634" xr:uid="{00000000-0005-0000-0000-0000FC0D0000}"/>
    <cellStyle name="표준 6 3 2 2" xfId="1152" xr:uid="{00000000-0005-0000-0000-0000FD0D0000}"/>
    <cellStyle name="표준 6 3 2 2 2" xfId="2456" xr:uid="{00000000-0005-0000-0000-0000FE0D0000}"/>
    <cellStyle name="표준 6 3 2 2 3" xfId="3625" xr:uid="{00000000-0005-0000-0000-0000FF0D0000}"/>
    <cellStyle name="표준 6 3 2 3" xfId="1938" xr:uid="{00000000-0005-0000-0000-0000000E0000}"/>
    <cellStyle name="표준 6 3 2 4" xfId="3107" xr:uid="{00000000-0005-0000-0000-0000010E0000}"/>
    <cellStyle name="표준 6 3 3" xfId="890" xr:uid="{00000000-0005-0000-0000-0000020E0000}"/>
    <cellStyle name="표준 6 3 3 2" xfId="2194" xr:uid="{00000000-0005-0000-0000-0000030E0000}"/>
    <cellStyle name="표준 6 3 3 3" xfId="3363" xr:uid="{00000000-0005-0000-0000-0000040E0000}"/>
    <cellStyle name="표준 6 3 4" xfId="372" xr:uid="{00000000-0005-0000-0000-0000050E0000}"/>
    <cellStyle name="표준 6 3 4 2" xfId="1676" xr:uid="{00000000-0005-0000-0000-0000060E0000}"/>
    <cellStyle name="표준 6 3 4 3" xfId="2845" xr:uid="{00000000-0005-0000-0000-0000070E0000}"/>
    <cellStyle name="표준 6 3 5" xfId="1484" xr:uid="{00000000-0005-0000-0000-0000080E0000}"/>
    <cellStyle name="표준 6 3 6" xfId="2653" xr:uid="{00000000-0005-0000-0000-0000090E0000}"/>
    <cellStyle name="표준 6 4" xfId="172" xr:uid="{00000000-0005-0000-0000-00000A0E0000}"/>
    <cellStyle name="표준 6 4 2" xfId="1019" xr:uid="{00000000-0005-0000-0000-00000B0E0000}"/>
    <cellStyle name="표준 6 4 2 2" xfId="2323" xr:uid="{00000000-0005-0000-0000-00000C0E0000}"/>
    <cellStyle name="표준 6 4 2 3" xfId="3492" xr:uid="{00000000-0005-0000-0000-00000D0E0000}"/>
    <cellStyle name="표준 6 4 3" xfId="501" xr:uid="{00000000-0005-0000-0000-00000E0E0000}"/>
    <cellStyle name="표준 6 4 3 2" xfId="1805" xr:uid="{00000000-0005-0000-0000-00000F0E0000}"/>
    <cellStyle name="표준 6 4 3 3" xfId="2974" xr:uid="{00000000-0005-0000-0000-0000100E0000}"/>
    <cellStyle name="표준 6 4 4" xfId="1517" xr:uid="{00000000-0005-0000-0000-0000110E0000}"/>
    <cellStyle name="표준 6 4 5" xfId="2686" xr:uid="{00000000-0005-0000-0000-0000120E0000}"/>
    <cellStyle name="표준 6 5" xfId="239" xr:uid="{00000000-0005-0000-0000-0000130E0000}"/>
    <cellStyle name="표준 6 5 2" xfId="1549" xr:uid="{00000000-0005-0000-0000-0000140E0000}"/>
    <cellStyle name="표준 6 5 3" xfId="2718" xr:uid="{00000000-0005-0000-0000-0000150E0000}"/>
    <cellStyle name="표준 6 6" xfId="1426" xr:uid="{00000000-0005-0000-0000-0000160E0000}"/>
    <cellStyle name="표준 6 7" xfId="2605" xr:uid="{00000000-0005-0000-0000-0000170E0000}"/>
    <cellStyle name="표준 6 7 2" xfId="3776" xr:uid="{00000000-0005-0000-0000-0000180E0000}"/>
    <cellStyle name="표준 6 8" xfId="1451" xr:uid="{00000000-0005-0000-0000-0000190E0000}"/>
    <cellStyle name="표준 6 8 2" xfId="3790" xr:uid="{00000000-0005-0000-0000-00001A0E0000}"/>
    <cellStyle name="표준 6 9" xfId="2620" xr:uid="{00000000-0005-0000-0000-00001B0E0000}"/>
    <cellStyle name="표준 60" xfId="1395" xr:uid="{00000000-0005-0000-0000-00001C0E0000}"/>
    <cellStyle name="표준 60 2" xfId="1396" xr:uid="{00000000-0005-0000-0000-00001D0E0000}"/>
    <cellStyle name="표준 61" xfId="1397" xr:uid="{00000000-0005-0000-0000-00001E0E0000}"/>
    <cellStyle name="표준 61 2" xfId="1398" xr:uid="{00000000-0005-0000-0000-00001F0E0000}"/>
    <cellStyle name="표준 62" xfId="1399" xr:uid="{00000000-0005-0000-0000-0000200E0000}"/>
    <cellStyle name="표준 62 2" xfId="1400" xr:uid="{00000000-0005-0000-0000-0000210E0000}"/>
    <cellStyle name="표준 63" xfId="1401" xr:uid="{00000000-0005-0000-0000-0000220E0000}"/>
    <cellStyle name="표준 63 2" xfId="1402" xr:uid="{00000000-0005-0000-0000-0000230E0000}"/>
    <cellStyle name="표준 64" xfId="1403" xr:uid="{00000000-0005-0000-0000-0000240E0000}"/>
    <cellStyle name="표준 64 2" xfId="1404" xr:uid="{00000000-0005-0000-0000-0000250E0000}"/>
    <cellStyle name="표준 65" xfId="1405" xr:uid="{00000000-0005-0000-0000-0000260E0000}"/>
    <cellStyle name="표준 65 2" xfId="1406" xr:uid="{00000000-0005-0000-0000-0000270E0000}"/>
    <cellStyle name="표준 66" xfId="1407" xr:uid="{00000000-0005-0000-0000-0000280E0000}"/>
    <cellStyle name="표준 66 2" xfId="1408" xr:uid="{00000000-0005-0000-0000-0000290E0000}"/>
    <cellStyle name="표준 67" xfId="1409" xr:uid="{00000000-0005-0000-0000-00002A0E0000}"/>
    <cellStyle name="표준 68" xfId="1410" xr:uid="{00000000-0005-0000-0000-00002B0E0000}"/>
    <cellStyle name="표준 69" xfId="1411" xr:uid="{00000000-0005-0000-0000-00002C0E0000}"/>
    <cellStyle name="표준 7" xfId="57" xr:uid="{00000000-0005-0000-0000-00002D0E0000}"/>
    <cellStyle name="표준 7 2" xfId="119" xr:uid="{00000000-0005-0000-0000-00002E0E0000}"/>
    <cellStyle name="표준 7 2 2" xfId="153" xr:uid="{00000000-0005-0000-0000-00002F0E0000}"/>
    <cellStyle name="표준 7 2 2 2" xfId="671" xr:uid="{00000000-0005-0000-0000-0000300E0000}"/>
    <cellStyle name="표준 7 2 2 2 2" xfId="1189" xr:uid="{00000000-0005-0000-0000-0000310E0000}"/>
    <cellStyle name="표준 7 2 2 2 2 2" xfId="2493" xr:uid="{00000000-0005-0000-0000-0000320E0000}"/>
    <cellStyle name="표준 7 2 2 2 2 3" xfId="3662" xr:uid="{00000000-0005-0000-0000-0000330E0000}"/>
    <cellStyle name="표준 7 2 2 2 3" xfId="1975" xr:uid="{00000000-0005-0000-0000-0000340E0000}"/>
    <cellStyle name="표준 7 2 2 2 4" xfId="3144" xr:uid="{00000000-0005-0000-0000-0000350E0000}"/>
    <cellStyle name="표준 7 2 2 3" xfId="927" xr:uid="{00000000-0005-0000-0000-0000360E0000}"/>
    <cellStyle name="표준 7 2 2 3 2" xfId="2231" xr:uid="{00000000-0005-0000-0000-0000370E0000}"/>
    <cellStyle name="표준 7 2 2 3 3" xfId="3400" xr:uid="{00000000-0005-0000-0000-0000380E0000}"/>
    <cellStyle name="표준 7 2 2 4" xfId="409" xr:uid="{00000000-0005-0000-0000-0000390E0000}"/>
    <cellStyle name="표준 7 2 2 4 2" xfId="1713" xr:uid="{00000000-0005-0000-0000-00003A0E0000}"/>
    <cellStyle name="표준 7 2 2 4 3" xfId="2882" xr:uid="{00000000-0005-0000-0000-00003B0E0000}"/>
    <cellStyle name="표준 7 2 2 5" xfId="1499" xr:uid="{00000000-0005-0000-0000-00003C0E0000}"/>
    <cellStyle name="표준 7 2 2 6" xfId="2668" xr:uid="{00000000-0005-0000-0000-00003D0E0000}"/>
    <cellStyle name="표준 7 2 3" xfId="541" xr:uid="{00000000-0005-0000-0000-00003E0E0000}"/>
    <cellStyle name="표준 7 2 3 2" xfId="1059" xr:uid="{00000000-0005-0000-0000-00003F0E0000}"/>
    <cellStyle name="표준 7 2 3 2 2" xfId="2363" xr:uid="{00000000-0005-0000-0000-0000400E0000}"/>
    <cellStyle name="표준 7 2 3 2 3" xfId="3532" xr:uid="{00000000-0005-0000-0000-0000410E0000}"/>
    <cellStyle name="표준 7 2 3 3" xfId="1845" xr:uid="{00000000-0005-0000-0000-0000420E0000}"/>
    <cellStyle name="표준 7 2 3 4" xfId="3014" xr:uid="{00000000-0005-0000-0000-0000430E0000}"/>
    <cellStyle name="표준 7 2 4" xfId="797" xr:uid="{00000000-0005-0000-0000-0000440E0000}"/>
    <cellStyle name="표준 7 2 4 2" xfId="2101" xr:uid="{00000000-0005-0000-0000-0000450E0000}"/>
    <cellStyle name="표준 7 2 4 3" xfId="3270" xr:uid="{00000000-0005-0000-0000-0000460E0000}"/>
    <cellStyle name="표준 7 2 5" xfId="279" xr:uid="{00000000-0005-0000-0000-0000470E0000}"/>
    <cellStyle name="표준 7 2 5 2" xfId="1584" xr:uid="{00000000-0005-0000-0000-0000480E0000}"/>
    <cellStyle name="표준 7 2 5 3" xfId="2753" xr:uid="{00000000-0005-0000-0000-0000490E0000}"/>
    <cellStyle name="표준 7 2 6" xfId="1413" xr:uid="{00000000-0005-0000-0000-00004A0E0000}"/>
    <cellStyle name="표준 7 2 7" xfId="1469" xr:uid="{00000000-0005-0000-0000-00004B0E0000}"/>
    <cellStyle name="표준 7 2 8" xfId="2638" xr:uid="{00000000-0005-0000-0000-00004C0E0000}"/>
    <cellStyle name="표준 7 3" xfId="139" xr:uid="{00000000-0005-0000-0000-00004D0E0000}"/>
    <cellStyle name="표준 7 3 2" xfId="647" xr:uid="{00000000-0005-0000-0000-00004E0E0000}"/>
    <cellStyle name="표준 7 3 2 2" xfId="1165" xr:uid="{00000000-0005-0000-0000-00004F0E0000}"/>
    <cellStyle name="표준 7 3 2 2 2" xfId="2469" xr:uid="{00000000-0005-0000-0000-0000500E0000}"/>
    <cellStyle name="표준 7 3 2 2 3" xfId="3638" xr:uid="{00000000-0005-0000-0000-0000510E0000}"/>
    <cellStyle name="표준 7 3 2 3" xfId="1951" xr:uid="{00000000-0005-0000-0000-0000520E0000}"/>
    <cellStyle name="표준 7 3 2 4" xfId="3120" xr:uid="{00000000-0005-0000-0000-0000530E0000}"/>
    <cellStyle name="표준 7 3 3" xfId="903" xr:uid="{00000000-0005-0000-0000-0000540E0000}"/>
    <cellStyle name="표준 7 3 3 2" xfId="2207" xr:uid="{00000000-0005-0000-0000-0000550E0000}"/>
    <cellStyle name="표준 7 3 3 3" xfId="3376" xr:uid="{00000000-0005-0000-0000-0000560E0000}"/>
    <cellStyle name="표준 7 3 4" xfId="385" xr:uid="{00000000-0005-0000-0000-0000570E0000}"/>
    <cellStyle name="표준 7 3 4 2" xfId="1689" xr:uid="{00000000-0005-0000-0000-0000580E0000}"/>
    <cellStyle name="표준 7 3 4 3" xfId="2858" xr:uid="{00000000-0005-0000-0000-0000590E0000}"/>
    <cellStyle name="표준 7 3 5" xfId="1485" xr:uid="{00000000-0005-0000-0000-00005A0E0000}"/>
    <cellStyle name="표준 7 3 6" xfId="2654" xr:uid="{00000000-0005-0000-0000-00005B0E0000}"/>
    <cellStyle name="표준 7 4" xfId="173" xr:uid="{00000000-0005-0000-0000-00005C0E0000}"/>
    <cellStyle name="표준 7 4 2" xfId="1035" xr:uid="{00000000-0005-0000-0000-00005D0E0000}"/>
    <cellStyle name="표준 7 4 2 2" xfId="2339" xr:uid="{00000000-0005-0000-0000-00005E0E0000}"/>
    <cellStyle name="표준 7 4 2 3" xfId="3508" xr:uid="{00000000-0005-0000-0000-00005F0E0000}"/>
    <cellStyle name="표준 7 4 3" xfId="517" xr:uid="{00000000-0005-0000-0000-0000600E0000}"/>
    <cellStyle name="표준 7 4 3 2" xfId="1821" xr:uid="{00000000-0005-0000-0000-0000610E0000}"/>
    <cellStyle name="표준 7 4 3 3" xfId="2990" xr:uid="{00000000-0005-0000-0000-0000620E0000}"/>
    <cellStyle name="표준 7 4 4" xfId="1518" xr:uid="{00000000-0005-0000-0000-0000630E0000}"/>
    <cellStyle name="표준 7 4 5" xfId="2687" xr:uid="{00000000-0005-0000-0000-0000640E0000}"/>
    <cellStyle name="표준 7 5" xfId="240" xr:uid="{00000000-0005-0000-0000-0000650E0000}"/>
    <cellStyle name="표준 7 5 2" xfId="1550" xr:uid="{00000000-0005-0000-0000-0000660E0000}"/>
    <cellStyle name="표준 7 5 3" xfId="2719" xr:uid="{00000000-0005-0000-0000-0000670E0000}"/>
    <cellStyle name="표준 7 6" xfId="1412" xr:uid="{00000000-0005-0000-0000-0000680E0000}"/>
    <cellStyle name="표준 7 7" xfId="2606" xr:uid="{00000000-0005-0000-0000-0000690E0000}"/>
    <cellStyle name="표준 7 7 2" xfId="3777" xr:uid="{00000000-0005-0000-0000-00006A0E0000}"/>
    <cellStyle name="표준 7 8" xfId="1452" xr:uid="{00000000-0005-0000-0000-00006B0E0000}"/>
    <cellStyle name="표준 7 8 2" xfId="3791" xr:uid="{00000000-0005-0000-0000-00006C0E0000}"/>
    <cellStyle name="표준 7 9" xfId="2621" xr:uid="{00000000-0005-0000-0000-00006D0E0000}"/>
    <cellStyle name="표준 70" xfId="1414" xr:uid="{00000000-0005-0000-0000-00006E0E0000}"/>
    <cellStyle name="표준 71" xfId="1415" xr:uid="{00000000-0005-0000-0000-00006F0E0000}"/>
    <cellStyle name="표준 72" xfId="1416" xr:uid="{00000000-0005-0000-0000-0000700E0000}"/>
    <cellStyle name="표준 73" xfId="1417" xr:uid="{00000000-0005-0000-0000-0000710E0000}"/>
    <cellStyle name="표준 74" xfId="1418" xr:uid="{00000000-0005-0000-0000-0000720E0000}"/>
    <cellStyle name="표준 75" xfId="184" xr:uid="{00000000-0005-0000-0000-0000730E0000}"/>
    <cellStyle name="표준 76" xfId="1419" xr:uid="{00000000-0005-0000-0000-0000740E0000}"/>
    <cellStyle name="표준 77" xfId="1420" xr:uid="{00000000-0005-0000-0000-0000750E0000}"/>
    <cellStyle name="표준 78" xfId="1429" xr:uid="{00000000-0005-0000-0000-0000760E0000}"/>
    <cellStyle name="표준 78 2" xfId="1436" xr:uid="{00000000-0005-0000-0000-0000770E0000}"/>
    <cellStyle name="표준 78 2 2" xfId="2590" xr:uid="{00000000-0005-0000-0000-0000780E0000}"/>
    <cellStyle name="표준 78 2 3" xfId="3761" xr:uid="{00000000-0005-0000-0000-0000790E0000}"/>
    <cellStyle name="표준 78 3" xfId="2584" xr:uid="{00000000-0005-0000-0000-00007A0E0000}"/>
    <cellStyle name="표준 78 4" xfId="3755" xr:uid="{00000000-0005-0000-0000-00007B0E0000}"/>
    <cellStyle name="표준 79" xfId="1431" xr:uid="{00000000-0005-0000-0000-00007C0E0000}"/>
    <cellStyle name="표준 8" xfId="58" xr:uid="{00000000-0005-0000-0000-00007D0E0000}"/>
    <cellStyle name="표준 8 10" xfId="2622" xr:uid="{00000000-0005-0000-0000-00007E0E0000}"/>
    <cellStyle name="표준 8 2" xfId="120" xr:uid="{00000000-0005-0000-0000-00007F0E0000}"/>
    <cellStyle name="표준 8 2 2" xfId="154" xr:uid="{00000000-0005-0000-0000-0000800E0000}"/>
    <cellStyle name="표준 8 2 2 2" xfId="1500" xr:uid="{00000000-0005-0000-0000-0000810E0000}"/>
    <cellStyle name="표준 8 2 2 3" xfId="2669" xr:uid="{00000000-0005-0000-0000-0000820E0000}"/>
    <cellStyle name="표준 8 2 3" xfId="1422" xr:uid="{00000000-0005-0000-0000-0000830E0000}"/>
    <cellStyle name="표준 8 2 4" xfId="1470" xr:uid="{00000000-0005-0000-0000-0000840E0000}"/>
    <cellStyle name="표준 8 2 5" xfId="2639" xr:uid="{00000000-0005-0000-0000-0000850E0000}"/>
    <cellStyle name="표준 8 3" xfId="140" xr:uid="{00000000-0005-0000-0000-0000860E0000}"/>
    <cellStyle name="표준 8 3 2" xfId="1486" xr:uid="{00000000-0005-0000-0000-0000870E0000}"/>
    <cellStyle name="표준 8 3 3" xfId="2655" xr:uid="{00000000-0005-0000-0000-0000880E0000}"/>
    <cellStyle name="표준 8 4" xfId="174" xr:uid="{00000000-0005-0000-0000-0000890E0000}"/>
    <cellStyle name="표준 8 4 2" xfId="1519" xr:uid="{00000000-0005-0000-0000-00008A0E0000}"/>
    <cellStyle name="표준 8 4 3" xfId="2688" xr:uid="{00000000-0005-0000-0000-00008B0E0000}"/>
    <cellStyle name="표준 8 5" xfId="241" xr:uid="{00000000-0005-0000-0000-00008C0E0000}"/>
    <cellStyle name="표준 8 5 2" xfId="1551" xr:uid="{00000000-0005-0000-0000-00008D0E0000}"/>
    <cellStyle name="표준 8 5 3" xfId="2720" xr:uid="{00000000-0005-0000-0000-00008E0E0000}"/>
    <cellStyle name="표준 8 6" xfId="270" xr:uid="{00000000-0005-0000-0000-00008F0E0000}"/>
    <cellStyle name="표준 8 7" xfId="1421" xr:uid="{00000000-0005-0000-0000-0000900E0000}"/>
    <cellStyle name="표준 8 8" xfId="2607" xr:uid="{00000000-0005-0000-0000-0000910E0000}"/>
    <cellStyle name="표준 8 8 2" xfId="3778" xr:uid="{00000000-0005-0000-0000-0000920E0000}"/>
    <cellStyle name="표준 8 9" xfId="1453" xr:uid="{00000000-0005-0000-0000-0000930E0000}"/>
    <cellStyle name="표준 8 9 2" xfId="3792" xr:uid="{00000000-0005-0000-0000-0000940E0000}"/>
    <cellStyle name="표준 80" xfId="1430" xr:uid="{00000000-0005-0000-0000-0000950E0000}"/>
    <cellStyle name="표준 80 2" xfId="2585" xr:uid="{00000000-0005-0000-0000-0000960E0000}"/>
    <cellStyle name="표준 80 3" xfId="3756" xr:uid="{00000000-0005-0000-0000-0000970E0000}"/>
    <cellStyle name="표준 81" xfId="1437" xr:uid="{00000000-0005-0000-0000-0000980E0000}"/>
    <cellStyle name="표준 81 2" xfId="2591" xr:uid="{00000000-0005-0000-0000-0000990E0000}"/>
    <cellStyle name="표준 81 3" xfId="3762" xr:uid="{00000000-0005-0000-0000-00009A0E0000}"/>
    <cellStyle name="표준 82" xfId="1438" xr:uid="{00000000-0005-0000-0000-00009B0E0000}"/>
    <cellStyle name="표준 82 2" xfId="2592" xr:uid="{00000000-0005-0000-0000-00009C0E0000}"/>
    <cellStyle name="표준 82 3" xfId="3763" xr:uid="{00000000-0005-0000-0000-00009D0E0000}"/>
    <cellStyle name="표준 83" xfId="1439" xr:uid="{00000000-0005-0000-0000-00009E0E0000}"/>
    <cellStyle name="표준 83 2" xfId="2593" xr:uid="{00000000-0005-0000-0000-00009F0E0000}"/>
    <cellStyle name="표준 83 3" xfId="3764" xr:uid="{00000000-0005-0000-0000-0000A00E0000}"/>
    <cellStyle name="표준 84" xfId="1440" xr:uid="{00000000-0005-0000-0000-0000A10E0000}"/>
    <cellStyle name="표준 84 2" xfId="2594" xr:uid="{00000000-0005-0000-0000-0000A20E0000}"/>
    <cellStyle name="표준 84 3" xfId="3765" xr:uid="{00000000-0005-0000-0000-0000A30E0000}"/>
    <cellStyle name="표준 85" xfId="1441" xr:uid="{00000000-0005-0000-0000-0000A40E0000}"/>
    <cellStyle name="표준 85 2" xfId="2595" xr:uid="{00000000-0005-0000-0000-0000A50E0000}"/>
    <cellStyle name="표준 85 3" xfId="3766" xr:uid="{00000000-0005-0000-0000-0000A60E0000}"/>
    <cellStyle name="표준 86" xfId="1442" xr:uid="{00000000-0005-0000-0000-0000A70E0000}"/>
    <cellStyle name="표준 86 2" xfId="2596" xr:uid="{00000000-0005-0000-0000-0000A80E0000}"/>
    <cellStyle name="표준 86 3" xfId="3767" xr:uid="{00000000-0005-0000-0000-0000A90E0000}"/>
    <cellStyle name="표준 87" xfId="1280" xr:uid="{00000000-0005-0000-0000-0000AA0E0000}"/>
    <cellStyle name="표준 87 2" xfId="2600" xr:uid="{00000000-0005-0000-0000-0000AB0E0000}"/>
    <cellStyle name="표준 87 3" xfId="3771" xr:uid="{00000000-0005-0000-0000-0000AC0E0000}"/>
    <cellStyle name="표준 88" xfId="1275" xr:uid="{00000000-0005-0000-0000-0000AD0E0000}"/>
    <cellStyle name="표준 88 2" xfId="3784" xr:uid="{00000000-0005-0000-0000-0000AE0E0000}"/>
    <cellStyle name="표준 89" xfId="1293" xr:uid="{00000000-0005-0000-0000-0000AF0E0000}"/>
    <cellStyle name="표준 89 2" xfId="3785" xr:uid="{00000000-0005-0000-0000-0000B00E0000}"/>
    <cellStyle name="표준 9" xfId="60" xr:uid="{00000000-0005-0000-0000-0000B10E0000}"/>
    <cellStyle name="표준 9 2" xfId="122" xr:uid="{00000000-0005-0000-0000-0000B20E0000}"/>
    <cellStyle name="표준 9 2 2" xfId="156" xr:uid="{00000000-0005-0000-0000-0000B30E0000}"/>
    <cellStyle name="표준 9 2 2 2" xfId="1167" xr:uid="{00000000-0005-0000-0000-0000B40E0000}"/>
    <cellStyle name="표준 9 2 2 2 2" xfId="2471" xr:uid="{00000000-0005-0000-0000-0000B50E0000}"/>
    <cellStyle name="표준 9 2 2 2 3" xfId="3640" xr:uid="{00000000-0005-0000-0000-0000B60E0000}"/>
    <cellStyle name="표준 9 2 2 3" xfId="649" xr:uid="{00000000-0005-0000-0000-0000B70E0000}"/>
    <cellStyle name="표준 9 2 2 3 2" xfId="1953" xr:uid="{00000000-0005-0000-0000-0000B80E0000}"/>
    <cellStyle name="표준 9 2 2 3 3" xfId="3122" xr:uid="{00000000-0005-0000-0000-0000B90E0000}"/>
    <cellStyle name="표준 9 2 2 4" xfId="1502" xr:uid="{00000000-0005-0000-0000-0000BA0E0000}"/>
    <cellStyle name="표준 9 2 2 5" xfId="2671" xr:uid="{00000000-0005-0000-0000-0000BB0E0000}"/>
    <cellStyle name="표준 9 2 3" xfId="905" xr:uid="{00000000-0005-0000-0000-0000BC0E0000}"/>
    <cellStyle name="표준 9 2 3 2" xfId="2209" xr:uid="{00000000-0005-0000-0000-0000BD0E0000}"/>
    <cellStyle name="표준 9 2 3 3" xfId="3378" xr:uid="{00000000-0005-0000-0000-0000BE0E0000}"/>
    <cellStyle name="표준 9 2 4" xfId="387" xr:uid="{00000000-0005-0000-0000-0000BF0E0000}"/>
    <cellStyle name="표준 9 2 4 2" xfId="1691" xr:uid="{00000000-0005-0000-0000-0000C00E0000}"/>
    <cellStyle name="표준 9 2 4 3" xfId="2860" xr:uid="{00000000-0005-0000-0000-0000C10E0000}"/>
    <cellStyle name="표준 9 2 5" xfId="1424" xr:uid="{00000000-0005-0000-0000-0000C20E0000}"/>
    <cellStyle name="표준 9 2 6" xfId="1472" xr:uid="{00000000-0005-0000-0000-0000C30E0000}"/>
    <cellStyle name="표준 9 2 7" xfId="2641" xr:uid="{00000000-0005-0000-0000-0000C40E0000}"/>
    <cellStyle name="표준 9 3" xfId="142" xr:uid="{00000000-0005-0000-0000-0000C50E0000}"/>
    <cellStyle name="표준 9 3 2" xfId="1037" xr:uid="{00000000-0005-0000-0000-0000C60E0000}"/>
    <cellStyle name="표준 9 3 2 2" xfId="2341" xr:uid="{00000000-0005-0000-0000-0000C70E0000}"/>
    <cellStyle name="표준 9 3 2 3" xfId="3510" xr:uid="{00000000-0005-0000-0000-0000C80E0000}"/>
    <cellStyle name="표준 9 3 3" xfId="519" xr:uid="{00000000-0005-0000-0000-0000C90E0000}"/>
    <cellStyle name="표준 9 3 3 2" xfId="1823" xr:uid="{00000000-0005-0000-0000-0000CA0E0000}"/>
    <cellStyle name="표준 9 3 3 3" xfId="2992" xr:uid="{00000000-0005-0000-0000-0000CB0E0000}"/>
    <cellStyle name="표준 9 3 4" xfId="1488" xr:uid="{00000000-0005-0000-0000-0000CC0E0000}"/>
    <cellStyle name="표준 9 3 5" xfId="2657" xr:uid="{00000000-0005-0000-0000-0000CD0E0000}"/>
    <cellStyle name="표준 9 4" xfId="176" xr:uid="{00000000-0005-0000-0000-0000CE0E0000}"/>
    <cellStyle name="표준 9 4 2" xfId="775" xr:uid="{00000000-0005-0000-0000-0000CF0E0000}"/>
    <cellStyle name="표준 9 4 2 2" xfId="2079" xr:uid="{00000000-0005-0000-0000-0000D00E0000}"/>
    <cellStyle name="표준 9 4 2 3" xfId="3248" xr:uid="{00000000-0005-0000-0000-0000D10E0000}"/>
    <cellStyle name="표준 9 4 3" xfId="1521" xr:uid="{00000000-0005-0000-0000-0000D20E0000}"/>
    <cellStyle name="표준 9 4 4" xfId="2690" xr:uid="{00000000-0005-0000-0000-0000D30E0000}"/>
    <cellStyle name="표준 9 5" xfId="243" xr:uid="{00000000-0005-0000-0000-0000D40E0000}"/>
    <cellStyle name="표준 9 5 2" xfId="1553" xr:uid="{00000000-0005-0000-0000-0000D50E0000}"/>
    <cellStyle name="표준 9 5 3" xfId="2722" xr:uid="{00000000-0005-0000-0000-0000D60E0000}"/>
    <cellStyle name="표준 9 6" xfId="1423" xr:uid="{00000000-0005-0000-0000-0000D70E0000}"/>
    <cellStyle name="표준 9 7" xfId="2609" xr:uid="{00000000-0005-0000-0000-0000D80E0000}"/>
    <cellStyle name="표준 9 7 2" xfId="3780" xr:uid="{00000000-0005-0000-0000-0000D90E0000}"/>
    <cellStyle name="표준 9 8" xfId="1455" xr:uid="{00000000-0005-0000-0000-0000DA0E0000}"/>
    <cellStyle name="표준 9 8 2" xfId="3794" xr:uid="{00000000-0005-0000-0000-0000DB0E0000}"/>
    <cellStyle name="표준 9 9" xfId="2624" xr:uid="{00000000-0005-0000-0000-0000DC0E0000}"/>
    <cellStyle name="표준 90" xfId="1443" xr:uid="{00000000-0005-0000-0000-0000DD0E0000}"/>
    <cellStyle name="표준 91" xfId="1276" xr:uid="{00000000-0005-0000-0000-0000DE0E0000}"/>
    <cellStyle name="표준 92" xfId="1444" xr:uid="{00000000-0005-0000-0000-0000DF0E0000}"/>
    <cellStyle name="표준 93" xfId="2612" xr:uid="{00000000-0005-0000-0000-0000E00E0000}"/>
    <cellStyle name="표준 94" xfId="3750" xr:uid="{00000000-0005-0000-0000-0000E10E0000}"/>
    <cellStyle name="표준 95" xfId="3749" xr:uid="{00000000-0005-0000-0000-0000E20E0000}"/>
    <cellStyle name="표준 96" xfId="3808" xr:uid="{00000000-0005-0000-0000-0000E30E0000}"/>
    <cellStyle name="표준 97" xfId="3801" xr:uid="{00000000-0005-0000-0000-0000E40E0000}"/>
    <cellStyle name="표준 98" xfId="3806" xr:uid="{00000000-0005-0000-0000-0000E50E0000}"/>
    <cellStyle name="표준 99" xfId="3800" xr:uid="{00000000-0005-0000-0000-0000E60E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7</xdr:row>
      <xdr:rowOff>0</xdr:rowOff>
    </xdr:from>
    <xdr:to>
      <xdr:col>3</xdr:col>
      <xdr:colOff>3362</xdr:colOff>
      <xdr:row>8</xdr:row>
      <xdr:rowOff>38101</xdr:rowOff>
    </xdr:to>
    <xdr:sp macro="" textlink="">
      <xdr:nvSpPr>
        <xdr:cNvPr id="50061" name="Text Box 1">
          <a:extLst>
            <a:ext uri="{FF2B5EF4-FFF2-40B4-BE49-F238E27FC236}">
              <a16:creationId xmlns:a16="http://schemas.microsoft.com/office/drawing/2014/main" id="{00000000-0008-0000-0E00-00008DC30000}"/>
            </a:ext>
          </a:extLst>
        </xdr:cNvPr>
        <xdr:cNvSpPr txBox="1">
          <a:spLocks noChangeArrowheads="1"/>
        </xdr:cNvSpPr>
      </xdr:nvSpPr>
      <xdr:spPr bwMode="auto">
        <a:xfrm>
          <a:off x="2409825" y="32194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647700</xdr:colOff>
      <xdr:row>7</xdr:row>
      <xdr:rowOff>0</xdr:rowOff>
    </xdr:from>
    <xdr:to>
      <xdr:col>3</xdr:col>
      <xdr:colOff>3362</xdr:colOff>
      <xdr:row>8</xdr:row>
      <xdr:rowOff>38098</xdr:rowOff>
    </xdr:to>
    <xdr:sp macro="" textlink="">
      <xdr:nvSpPr>
        <xdr:cNvPr id="50062" name="Text Box 1">
          <a:extLst>
            <a:ext uri="{FF2B5EF4-FFF2-40B4-BE49-F238E27FC236}">
              <a16:creationId xmlns:a16="http://schemas.microsoft.com/office/drawing/2014/main" id="{00000000-0008-0000-0E00-00008EC30000}"/>
            </a:ext>
          </a:extLst>
        </xdr:cNvPr>
        <xdr:cNvSpPr txBox="1">
          <a:spLocks noChangeArrowheads="1"/>
        </xdr:cNvSpPr>
      </xdr:nvSpPr>
      <xdr:spPr bwMode="auto">
        <a:xfrm>
          <a:off x="2409825" y="33909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U148"/>
  <sheetViews>
    <sheetView tabSelected="1" zoomScaleNormal="100" zoomScaleSheetLayoutView="85" workbookViewId="0">
      <pane xSplit="1" ySplit="7" topLeftCell="B130" activePane="bottomRight" state="frozen"/>
      <selection activeCell="E91" sqref="E91"/>
      <selection pane="topRight" activeCell="E91" sqref="E91"/>
      <selection pane="bottomLeft" activeCell="E91" sqref="E91"/>
      <selection pane="bottomRight" activeCell="A143" sqref="A143"/>
    </sheetView>
  </sheetViews>
  <sheetFormatPr defaultColWidth="8.88671875" defaultRowHeight="13.5"/>
  <cols>
    <col min="1" max="1" width="10.77734375" style="12" customWidth="1"/>
    <col min="2" max="7" width="13.5546875" style="12" customWidth="1"/>
    <col min="8" max="9" width="8.88671875" style="12"/>
    <col min="10" max="10" width="9.21875" style="12" bestFit="1" customWidth="1"/>
    <col min="11" max="11" width="11.33203125" style="12" bestFit="1" customWidth="1"/>
    <col min="12" max="16384" width="8.88671875" style="12"/>
  </cols>
  <sheetData>
    <row r="1" spans="1:8" ht="24">
      <c r="A1" s="75" t="s">
        <v>88</v>
      </c>
      <c r="B1" s="75"/>
      <c r="C1" s="75"/>
      <c r="D1" s="75"/>
      <c r="E1" s="75"/>
      <c r="F1" s="75"/>
      <c r="G1" s="75"/>
    </row>
    <row r="2" spans="1:8" s="1" customFormat="1" ht="12">
      <c r="A2" s="110"/>
      <c r="B2" s="110"/>
      <c r="C2" s="110"/>
      <c r="D2" s="110"/>
      <c r="E2" s="110"/>
      <c r="F2" s="110"/>
      <c r="G2" s="110"/>
    </row>
    <row r="3" spans="1:8" s="23" customFormat="1" ht="12">
      <c r="A3" s="110"/>
      <c r="B3" s="110"/>
      <c r="C3" s="110"/>
      <c r="D3" s="110"/>
      <c r="E3" s="110"/>
      <c r="F3" s="110"/>
      <c r="G3" s="110"/>
      <c r="H3" s="19"/>
    </row>
    <row r="4" spans="1:8" s="23" customFormat="1">
      <c r="A4" s="106" t="s">
        <v>89</v>
      </c>
      <c r="B4" s="111"/>
      <c r="C4" s="111"/>
      <c r="D4" s="111"/>
      <c r="E4" s="111"/>
      <c r="F4" s="111"/>
      <c r="G4" s="111"/>
      <c r="H4" s="19"/>
    </row>
    <row r="5" spans="1:8">
      <c r="A5" s="40" t="s">
        <v>90</v>
      </c>
      <c r="B5" s="39"/>
      <c r="C5" s="39"/>
      <c r="D5" s="39"/>
      <c r="E5" s="39"/>
      <c r="F5" s="39"/>
      <c r="G5" s="4" t="s">
        <v>92</v>
      </c>
      <c r="H5" s="13"/>
    </row>
    <row r="6" spans="1:8" ht="19.5" customHeight="1">
      <c r="A6" s="273" t="s">
        <v>93</v>
      </c>
      <c r="B6" s="271" t="s">
        <v>94</v>
      </c>
      <c r="C6" s="275"/>
      <c r="D6" s="271" t="s">
        <v>95</v>
      </c>
      <c r="E6" s="275"/>
      <c r="F6" s="271" t="s">
        <v>96</v>
      </c>
      <c r="G6" s="272"/>
      <c r="H6" s="13"/>
    </row>
    <row r="7" spans="1:8" s="27" customFormat="1" ht="16.5" customHeight="1">
      <c r="A7" s="274"/>
      <c r="B7" s="7" t="s">
        <v>122</v>
      </c>
      <c r="C7" s="7" t="s">
        <v>123</v>
      </c>
      <c r="D7" s="7" t="s">
        <v>41</v>
      </c>
      <c r="E7" s="7" t="s">
        <v>124</v>
      </c>
      <c r="F7" s="7" t="s">
        <v>125</v>
      </c>
      <c r="G7" s="148" t="s">
        <v>126</v>
      </c>
      <c r="H7" s="31"/>
    </row>
    <row r="8" spans="1:8" s="27" customFormat="1" ht="13.5" customHeight="1">
      <c r="A8" s="72" t="s">
        <v>50</v>
      </c>
      <c r="B8" s="93">
        <v>2001.2800000000002</v>
      </c>
      <c r="C8" s="93">
        <v>1332.35</v>
      </c>
      <c r="D8" s="93">
        <v>1049.42</v>
      </c>
      <c r="E8" s="93">
        <v>1533</v>
      </c>
      <c r="F8" s="93">
        <v>27454.46</v>
      </c>
      <c r="G8" s="45">
        <v>63446.19</v>
      </c>
      <c r="H8" s="84"/>
    </row>
    <row r="9" spans="1:8" s="27" customFormat="1" ht="13.5" customHeight="1">
      <c r="A9" s="72" t="s">
        <v>81</v>
      </c>
      <c r="B9" s="93">
        <v>108.25</v>
      </c>
      <c r="C9" s="93">
        <v>107.74</v>
      </c>
      <c r="D9" s="93">
        <v>931.43</v>
      </c>
      <c r="E9" s="93">
        <v>1533</v>
      </c>
      <c r="F9" s="93">
        <v>29431.370000000003</v>
      </c>
      <c r="G9" s="45">
        <v>66175.77</v>
      </c>
      <c r="H9" s="84"/>
    </row>
    <row r="10" spans="1:8" s="27" customFormat="1" ht="13.5" customHeight="1">
      <c r="A10" s="72" t="s">
        <v>86</v>
      </c>
      <c r="B10" s="93">
        <v>136.25</v>
      </c>
      <c r="C10" s="93">
        <v>135.85</v>
      </c>
      <c r="D10" s="93">
        <v>1133.8399999999999</v>
      </c>
      <c r="E10" s="93">
        <v>1847</v>
      </c>
      <c r="F10" s="93">
        <v>32619.25</v>
      </c>
      <c r="G10" s="45">
        <v>66795.650000000009</v>
      </c>
      <c r="H10" s="84"/>
    </row>
    <row r="11" spans="1:8" s="27" customFormat="1" ht="13.5" customHeight="1">
      <c r="A11" s="72" t="s">
        <v>127</v>
      </c>
      <c r="B11" s="93">
        <v>149.47999999999999</v>
      </c>
      <c r="C11" s="93">
        <v>149.28999999999996</v>
      </c>
      <c r="D11" s="93">
        <v>693.23</v>
      </c>
      <c r="E11" s="93">
        <v>1847</v>
      </c>
      <c r="F11" s="93">
        <v>37159.94</v>
      </c>
      <c r="G11" s="45">
        <v>71867.839999999997</v>
      </c>
      <c r="H11" s="84"/>
    </row>
    <row r="12" spans="1:8" s="27" customFormat="1" ht="13.5" customHeight="1">
      <c r="A12" s="72"/>
      <c r="B12" s="93"/>
      <c r="C12" s="93"/>
      <c r="D12" s="93"/>
      <c r="E12" s="93"/>
      <c r="F12" s="93"/>
      <c r="G12" s="45"/>
      <c r="H12" s="84"/>
    </row>
    <row r="13" spans="1:8" s="27" customFormat="1" ht="13.5" customHeight="1">
      <c r="A13" s="92" t="s">
        <v>134</v>
      </c>
      <c r="B13" s="93">
        <v>4412.3999999999996</v>
      </c>
      <c r="C13" s="93">
        <v>1498.8300000000002</v>
      </c>
      <c r="D13" s="93">
        <v>389.01</v>
      </c>
      <c r="E13" s="93">
        <v>1847</v>
      </c>
      <c r="F13" s="93">
        <v>48323.35</v>
      </c>
      <c r="G13" s="45">
        <v>76144.570000000007</v>
      </c>
      <c r="H13" s="84"/>
    </row>
    <row r="14" spans="1:8" s="27" customFormat="1" ht="13.5" customHeight="1">
      <c r="A14" s="92" t="s">
        <v>141</v>
      </c>
      <c r="B14" s="93">
        <v>7990.3799999999992</v>
      </c>
      <c r="C14" s="93">
        <v>2893.9399999999996</v>
      </c>
      <c r="D14" s="93">
        <v>814.39</v>
      </c>
      <c r="E14" s="93">
        <v>1847</v>
      </c>
      <c r="F14" s="93">
        <v>57882.41</v>
      </c>
      <c r="G14" s="45">
        <v>82993.59</v>
      </c>
      <c r="H14" s="84"/>
    </row>
    <row r="15" spans="1:8" s="27" customFormat="1" ht="13.5" customHeight="1">
      <c r="A15" s="92" t="s">
        <v>147</v>
      </c>
      <c r="B15" s="93">
        <v>6933.36</v>
      </c>
      <c r="C15" s="93">
        <v>2538.1800000000003</v>
      </c>
      <c r="D15" s="93">
        <v>740</v>
      </c>
      <c r="E15" s="93">
        <v>1847</v>
      </c>
      <c r="F15" s="93">
        <v>74069.02</v>
      </c>
      <c r="G15" s="71">
        <v>82728.39</v>
      </c>
      <c r="H15" s="84"/>
    </row>
    <row r="16" spans="1:8" s="27" customFormat="1" ht="13.5" customHeight="1">
      <c r="A16" s="92" t="s">
        <v>149</v>
      </c>
      <c r="B16" s="93">
        <f>SUM(B25:B39)</f>
        <v>6159.5199999999995</v>
      </c>
      <c r="C16" s="93">
        <f>SUM(C25:C39)</f>
        <v>2094.39</v>
      </c>
      <c r="D16" s="93">
        <v>1427.41</v>
      </c>
      <c r="E16" s="93">
        <v>1850.82</v>
      </c>
      <c r="F16" s="93">
        <f>SUM(F25:F39)</f>
        <v>73652.31</v>
      </c>
      <c r="G16" s="71">
        <f>SUM(G25:G39)</f>
        <v>94612.69</v>
      </c>
      <c r="H16" s="84"/>
    </row>
    <row r="17" spans="1:14" s="27" customFormat="1" ht="13.5" customHeight="1">
      <c r="A17" s="92" t="s">
        <v>154</v>
      </c>
      <c r="B17" s="93">
        <v>7056.09</v>
      </c>
      <c r="C17" s="93">
        <v>1393.59</v>
      </c>
      <c r="D17" s="93">
        <v>585.22</v>
      </c>
      <c r="E17" s="93">
        <v>4785.8500000000004</v>
      </c>
      <c r="F17" s="93">
        <v>58968.249999999993</v>
      </c>
      <c r="G17" s="71">
        <v>96113.49</v>
      </c>
      <c r="H17" s="84"/>
    </row>
    <row r="18" spans="1:14" s="27" customFormat="1" ht="13.5" customHeight="1">
      <c r="A18" s="92"/>
      <c r="B18" s="93"/>
      <c r="C18" s="93"/>
      <c r="D18" s="93"/>
      <c r="E18" s="93"/>
      <c r="F18" s="93"/>
      <c r="G18" s="71"/>
      <c r="H18" s="84"/>
    </row>
    <row r="19" spans="1:14" s="27" customFormat="1" ht="13.5" customHeight="1">
      <c r="A19" s="218" t="s">
        <v>157</v>
      </c>
      <c r="B19" s="224">
        <v>7074.0499999999993</v>
      </c>
      <c r="C19" s="224">
        <v>1253.98</v>
      </c>
      <c r="D19" s="224">
        <v>1576.41</v>
      </c>
      <c r="E19" s="224">
        <v>5447</v>
      </c>
      <c r="F19" s="224">
        <v>63512.030000000006</v>
      </c>
      <c r="G19" s="215">
        <v>102430.9</v>
      </c>
      <c r="H19" s="84"/>
    </row>
    <row r="20" spans="1:14" s="27" customFormat="1" ht="13.5" customHeight="1">
      <c r="A20" s="218" t="s">
        <v>210</v>
      </c>
      <c r="B20" s="224">
        <v>6351.2900000000009</v>
      </c>
      <c r="C20" s="224">
        <v>1811.95</v>
      </c>
      <c r="D20" s="224">
        <v>1659.84</v>
      </c>
      <c r="E20" s="224">
        <v>5447</v>
      </c>
      <c r="F20" s="224">
        <v>78530.530000000013</v>
      </c>
      <c r="G20" s="215">
        <v>122918.68000000001</v>
      </c>
      <c r="H20" s="84"/>
    </row>
    <row r="21" spans="1:14" s="27" customFormat="1" ht="13.5" customHeight="1">
      <c r="A21" s="218" t="s">
        <v>238</v>
      </c>
      <c r="B21" s="224">
        <v>7265</v>
      </c>
      <c r="C21" s="224">
        <v>2229</v>
      </c>
      <c r="D21" s="166">
        <v>1630.11</v>
      </c>
      <c r="E21" s="166">
        <v>1848</v>
      </c>
      <c r="F21" s="224">
        <v>79067</v>
      </c>
      <c r="G21" s="215">
        <v>120885</v>
      </c>
      <c r="H21" s="84"/>
      <c r="I21" s="241"/>
      <c r="J21" s="241"/>
      <c r="K21" s="241"/>
      <c r="M21" s="241"/>
      <c r="N21" s="241"/>
    </row>
    <row r="22" spans="1:14" s="27" customFormat="1" ht="13.5" customHeight="1">
      <c r="A22" s="218" t="s">
        <v>247</v>
      </c>
      <c r="B22" s="224">
        <f>SUM(B105:B119)</f>
        <v>8542.26</v>
      </c>
      <c r="C22" s="224">
        <f>SUM(C105:C119)</f>
        <v>1340.2299999999998</v>
      </c>
      <c r="D22" s="166">
        <f>D119</f>
        <v>1566.43</v>
      </c>
      <c r="E22" s="166">
        <f>E119</f>
        <v>4252</v>
      </c>
      <c r="F22" s="224">
        <v>74460.960000000006</v>
      </c>
      <c r="G22" s="215">
        <f>SUM(G105:G119)</f>
        <v>120648.94999999998</v>
      </c>
      <c r="H22" s="84"/>
    </row>
    <row r="23" spans="1:14" s="27" customFormat="1" ht="13.5" customHeight="1">
      <c r="A23" s="218" t="s">
        <v>264</v>
      </c>
      <c r="B23" s="224">
        <v>9728.75</v>
      </c>
      <c r="C23" s="224">
        <v>1141.78</v>
      </c>
      <c r="D23" s="224">
        <v>1591.18</v>
      </c>
      <c r="E23" s="224">
        <v>5572</v>
      </c>
      <c r="F23" s="224">
        <v>78080.399999999994</v>
      </c>
      <c r="G23" s="215">
        <v>119611.48</v>
      </c>
      <c r="H23" s="84"/>
    </row>
    <row r="24" spans="1:14" s="27" customFormat="1" ht="13.5" customHeight="1">
      <c r="A24" s="60"/>
      <c r="B24" s="93"/>
      <c r="C24" s="93"/>
      <c r="D24" s="93"/>
      <c r="E24" s="93"/>
      <c r="F24" s="93"/>
      <c r="G24" s="71"/>
      <c r="H24" s="84"/>
    </row>
    <row r="25" spans="1:14" ht="13.5" customHeight="1">
      <c r="A25" s="60">
        <v>2019.1</v>
      </c>
      <c r="B25" s="85">
        <v>1907</v>
      </c>
      <c r="C25" s="85">
        <v>102</v>
      </c>
      <c r="D25" s="85">
        <v>773.13</v>
      </c>
      <c r="E25" s="85">
        <v>1847</v>
      </c>
      <c r="F25" s="85">
        <v>6828.19</v>
      </c>
      <c r="G25" s="97">
        <v>7133.65</v>
      </c>
      <c r="H25" s="84"/>
    </row>
    <row r="26" spans="1:14" ht="13.5" customHeight="1">
      <c r="A26" s="60">
        <v>2</v>
      </c>
      <c r="B26" s="85">
        <v>35</v>
      </c>
      <c r="C26" s="85">
        <v>485</v>
      </c>
      <c r="D26" s="85">
        <v>739</v>
      </c>
      <c r="E26" s="85">
        <v>1847</v>
      </c>
      <c r="F26" s="85">
        <v>2797</v>
      </c>
      <c r="G26" s="97">
        <v>7809</v>
      </c>
      <c r="H26" s="84"/>
    </row>
    <row r="27" spans="1:14" ht="13.5" customHeight="1">
      <c r="A27" s="60">
        <v>3</v>
      </c>
      <c r="B27" s="85">
        <v>134.69</v>
      </c>
      <c r="C27" s="85">
        <v>360.22</v>
      </c>
      <c r="D27" s="85">
        <v>700.72</v>
      </c>
      <c r="E27" s="85">
        <v>1847</v>
      </c>
      <c r="F27" s="85">
        <v>2904.95</v>
      </c>
      <c r="G27" s="97">
        <v>7537.07</v>
      </c>
      <c r="H27" s="84"/>
    </row>
    <row r="28" spans="1:14" ht="13.5" customHeight="1">
      <c r="A28" s="60"/>
      <c r="B28" s="85"/>
      <c r="C28" s="85"/>
      <c r="D28" s="85"/>
      <c r="E28" s="85"/>
      <c r="F28" s="85"/>
      <c r="G28" s="97"/>
      <c r="H28" s="84"/>
    </row>
    <row r="29" spans="1:14" ht="13.5" customHeight="1">
      <c r="A29" s="60">
        <v>4</v>
      </c>
      <c r="B29" s="85">
        <v>539</v>
      </c>
      <c r="C29" s="85">
        <v>78.260000000000005</v>
      </c>
      <c r="D29" s="85">
        <v>785.82</v>
      </c>
      <c r="E29" s="85">
        <v>1847</v>
      </c>
      <c r="F29" s="85">
        <v>6575.56</v>
      </c>
      <c r="G29" s="97">
        <v>9123.5300000000007</v>
      </c>
      <c r="H29" s="84"/>
    </row>
    <row r="30" spans="1:14" ht="13.5" customHeight="1">
      <c r="A30" s="60">
        <v>5</v>
      </c>
      <c r="B30" s="85">
        <v>276.20999999999998</v>
      </c>
      <c r="C30" s="85">
        <v>68.489999999999995</v>
      </c>
      <c r="D30" s="85">
        <v>649.9</v>
      </c>
      <c r="E30" s="85">
        <v>1847</v>
      </c>
      <c r="F30" s="85">
        <v>4890.4799999999996</v>
      </c>
      <c r="G30" s="97">
        <v>8248.35</v>
      </c>
      <c r="H30" s="84"/>
    </row>
    <row r="31" spans="1:14" ht="13.5" customHeight="1">
      <c r="A31" s="60">
        <v>6</v>
      </c>
      <c r="B31" s="85">
        <v>321.07</v>
      </c>
      <c r="C31" s="85">
        <v>66.69</v>
      </c>
      <c r="D31" s="85">
        <v>701.16</v>
      </c>
      <c r="E31" s="85">
        <v>1847</v>
      </c>
      <c r="F31" s="85">
        <v>4953.07</v>
      </c>
      <c r="G31" s="97">
        <v>12277.55</v>
      </c>
      <c r="H31" s="84"/>
    </row>
    <row r="32" spans="1:14" ht="13.5" customHeight="1">
      <c r="A32" s="60"/>
      <c r="B32" s="85"/>
      <c r="C32" s="85"/>
      <c r="D32" s="85"/>
      <c r="E32" s="85"/>
      <c r="F32" s="85"/>
      <c r="G32" s="97"/>
      <c r="H32" s="84"/>
    </row>
    <row r="33" spans="1:12" ht="13.5" customHeight="1">
      <c r="A33" s="60">
        <v>7</v>
      </c>
      <c r="B33" s="85">
        <v>455.65</v>
      </c>
      <c r="C33" s="85">
        <v>171.07</v>
      </c>
      <c r="D33" s="85">
        <v>897.02</v>
      </c>
      <c r="E33" s="85">
        <v>1848.39</v>
      </c>
      <c r="F33" s="85">
        <v>7964.54</v>
      </c>
      <c r="G33" s="97">
        <v>6515.22</v>
      </c>
      <c r="H33" s="84"/>
    </row>
    <row r="34" spans="1:12" ht="13.5" customHeight="1">
      <c r="A34" s="60">
        <v>8</v>
      </c>
      <c r="B34" s="85">
        <v>167.82</v>
      </c>
      <c r="C34" s="85">
        <v>96.74</v>
      </c>
      <c r="D34" s="85">
        <v>902.89</v>
      </c>
      <c r="E34" s="85">
        <v>1848.24</v>
      </c>
      <c r="F34" s="85">
        <v>3069.44</v>
      </c>
      <c r="G34" s="97">
        <v>5893.51</v>
      </c>
      <c r="H34" s="84"/>
      <c r="I34" s="14"/>
      <c r="J34" s="14"/>
    </row>
    <row r="35" spans="1:12" ht="13.5" customHeight="1">
      <c r="A35" s="60">
        <v>9</v>
      </c>
      <c r="B35" s="85">
        <v>1095.81</v>
      </c>
      <c r="C35" s="85">
        <v>202.96</v>
      </c>
      <c r="D35" s="85">
        <v>774.32</v>
      </c>
      <c r="E35" s="85">
        <v>1850.82</v>
      </c>
      <c r="F35" s="85">
        <v>3565.41</v>
      </c>
      <c r="G35" s="97">
        <v>7903.91</v>
      </c>
      <c r="H35" s="84"/>
      <c r="I35" s="14"/>
      <c r="J35" s="14"/>
    </row>
    <row r="36" spans="1:12" ht="13.5" customHeight="1">
      <c r="A36" s="60"/>
      <c r="B36" s="85"/>
      <c r="C36" s="85"/>
      <c r="D36" s="85"/>
      <c r="E36" s="85"/>
      <c r="F36" s="85"/>
      <c r="G36" s="97"/>
      <c r="H36" s="84"/>
      <c r="I36" s="14"/>
      <c r="J36" s="14"/>
    </row>
    <row r="37" spans="1:12" ht="13.5" customHeight="1">
      <c r="A37" s="60">
        <v>10</v>
      </c>
      <c r="B37" s="85">
        <v>155.71</v>
      </c>
      <c r="C37" s="85">
        <v>281.08999999999997</v>
      </c>
      <c r="D37" s="85">
        <v>805.38</v>
      </c>
      <c r="E37" s="85">
        <v>1850.82</v>
      </c>
      <c r="F37" s="85">
        <v>6625.28</v>
      </c>
      <c r="G37" s="97">
        <v>7363.23</v>
      </c>
      <c r="H37" s="84"/>
      <c r="I37" s="84"/>
    </row>
    <row r="38" spans="1:12" ht="13.5" customHeight="1">
      <c r="A38" s="60">
        <v>11</v>
      </c>
      <c r="B38" s="85">
        <v>428.91</v>
      </c>
      <c r="C38" s="85">
        <v>97.32</v>
      </c>
      <c r="D38" s="85">
        <v>1002.36</v>
      </c>
      <c r="E38" s="150">
        <v>1850.82</v>
      </c>
      <c r="F38" s="85">
        <v>4163.2700000000004</v>
      </c>
      <c r="G38" s="97">
        <v>4002.49</v>
      </c>
      <c r="H38" s="84"/>
      <c r="I38" s="84"/>
      <c r="J38" s="14"/>
      <c r="K38" s="14"/>
      <c r="L38" s="14"/>
    </row>
    <row r="39" spans="1:12" ht="13.5" customHeight="1">
      <c r="A39" s="60">
        <v>12</v>
      </c>
      <c r="B39" s="43">
        <v>642.65</v>
      </c>
      <c r="C39" s="85">
        <v>84.55</v>
      </c>
      <c r="D39" s="85">
        <v>1427.41</v>
      </c>
      <c r="E39" s="150">
        <v>1850.82</v>
      </c>
      <c r="F39" s="85">
        <v>19315.12</v>
      </c>
      <c r="G39" s="97">
        <v>10805.18</v>
      </c>
      <c r="H39" s="84"/>
      <c r="I39" s="84"/>
      <c r="J39" s="14"/>
      <c r="K39" s="14"/>
    </row>
    <row r="40" spans="1:12" ht="13.5" customHeight="1">
      <c r="A40" s="60"/>
      <c r="B40" s="43"/>
      <c r="C40" s="85"/>
      <c r="D40" s="85"/>
      <c r="E40" s="150"/>
      <c r="F40" s="85"/>
      <c r="G40" s="97"/>
      <c r="H40" s="84"/>
    </row>
    <row r="41" spans="1:12" ht="13.5" customHeight="1">
      <c r="A41" s="60">
        <v>2020.1</v>
      </c>
      <c r="B41" s="43">
        <v>1784</v>
      </c>
      <c r="C41" s="85">
        <v>73</v>
      </c>
      <c r="D41" s="85">
        <v>1093</v>
      </c>
      <c r="E41" s="150">
        <v>1850</v>
      </c>
      <c r="F41" s="85">
        <v>7389.79</v>
      </c>
      <c r="G41" s="98">
        <v>8563.3799999999992</v>
      </c>
      <c r="H41" s="84"/>
      <c r="I41" s="84"/>
      <c r="J41" s="14"/>
      <c r="K41" s="14"/>
    </row>
    <row r="42" spans="1:12" ht="13.5" customHeight="1">
      <c r="A42" s="60">
        <v>2</v>
      </c>
      <c r="B42" s="43">
        <v>40</v>
      </c>
      <c r="C42" s="85">
        <v>215</v>
      </c>
      <c r="D42" s="85">
        <v>872</v>
      </c>
      <c r="E42" s="85">
        <v>1850</v>
      </c>
      <c r="F42" s="85">
        <v>1840.96</v>
      </c>
      <c r="G42" s="98">
        <v>7846.57</v>
      </c>
      <c r="H42" s="84"/>
      <c r="I42" s="84"/>
    </row>
    <row r="43" spans="1:12" ht="13.5" customHeight="1">
      <c r="A43" s="60">
        <v>3</v>
      </c>
      <c r="B43" s="43">
        <v>225.93</v>
      </c>
      <c r="C43" s="85">
        <v>294.60000000000002</v>
      </c>
      <c r="D43" s="85">
        <v>752.33</v>
      </c>
      <c r="E43" s="85">
        <v>1850.37</v>
      </c>
      <c r="F43" s="85">
        <v>5544.7</v>
      </c>
      <c r="G43" s="98">
        <v>8604</v>
      </c>
      <c r="H43" s="84"/>
      <c r="I43" s="84"/>
    </row>
    <row r="44" spans="1:12" ht="13.5" customHeight="1">
      <c r="A44" s="60"/>
      <c r="B44" s="43"/>
      <c r="C44" s="85"/>
      <c r="D44" s="85"/>
      <c r="E44" s="85"/>
      <c r="F44" s="85"/>
      <c r="G44" s="98"/>
      <c r="H44" s="84"/>
    </row>
    <row r="45" spans="1:12" ht="13.5" customHeight="1">
      <c r="A45" s="60">
        <v>4</v>
      </c>
      <c r="B45" s="43">
        <v>847.9</v>
      </c>
      <c r="C45" s="85">
        <v>81.93</v>
      </c>
      <c r="D45" s="85">
        <v>670.15</v>
      </c>
      <c r="E45" s="85">
        <v>1850.37</v>
      </c>
      <c r="F45" s="85">
        <v>4593.99</v>
      </c>
      <c r="G45" s="98">
        <v>8076.6</v>
      </c>
      <c r="H45" s="84"/>
    </row>
    <row r="46" spans="1:12" ht="13.5" customHeight="1">
      <c r="A46" s="60">
        <v>5</v>
      </c>
      <c r="B46" s="43">
        <v>661.08</v>
      </c>
      <c r="C46" s="85">
        <v>18.5</v>
      </c>
      <c r="D46" s="85">
        <v>670.23</v>
      </c>
      <c r="E46" s="85">
        <v>2005.31</v>
      </c>
      <c r="F46" s="85">
        <v>4143.6000000000004</v>
      </c>
      <c r="G46" s="98">
        <v>7353.97</v>
      </c>
      <c r="H46" s="84"/>
    </row>
    <row r="47" spans="1:12" ht="13.5" customHeight="1">
      <c r="A47" s="60">
        <v>6</v>
      </c>
      <c r="B47" s="43">
        <v>245.26</v>
      </c>
      <c r="C47" s="85">
        <v>72.13</v>
      </c>
      <c r="D47" s="85">
        <v>700.59</v>
      </c>
      <c r="E47" s="85">
        <v>2176.61</v>
      </c>
      <c r="F47" s="85">
        <v>6075.23</v>
      </c>
      <c r="G47" s="98">
        <v>15777.09</v>
      </c>
      <c r="H47" s="84"/>
    </row>
    <row r="48" spans="1:12" ht="13.5" customHeight="1">
      <c r="A48" s="60"/>
      <c r="B48" s="43"/>
      <c r="C48" s="85"/>
      <c r="D48" s="85"/>
      <c r="E48" s="85"/>
      <c r="F48" s="85"/>
      <c r="G48" s="98"/>
      <c r="H48" s="84"/>
    </row>
    <row r="49" spans="1:13" ht="13.5" customHeight="1">
      <c r="A49" s="60">
        <v>7</v>
      </c>
      <c r="B49" s="43">
        <v>508.9</v>
      </c>
      <c r="C49" s="85">
        <v>74.89</v>
      </c>
      <c r="D49" s="85">
        <v>805.83</v>
      </c>
      <c r="E49" s="85">
        <v>2340.34</v>
      </c>
      <c r="F49" s="85">
        <v>7089.83</v>
      </c>
      <c r="G49" s="98">
        <v>5700.78</v>
      </c>
      <c r="H49" s="84"/>
    </row>
    <row r="50" spans="1:13" ht="13.5" customHeight="1">
      <c r="A50" s="60">
        <v>8</v>
      </c>
      <c r="B50" s="43">
        <v>566.88</v>
      </c>
      <c r="C50" s="85">
        <v>128.29</v>
      </c>
      <c r="D50" s="85">
        <v>728.75</v>
      </c>
      <c r="E50" s="85">
        <v>2711.1</v>
      </c>
      <c r="F50" s="85">
        <v>2415.7800000000002</v>
      </c>
      <c r="G50" s="98">
        <v>4698.6099999999997</v>
      </c>
      <c r="H50" s="84"/>
      <c r="I50" s="14"/>
      <c r="J50" s="14"/>
    </row>
    <row r="51" spans="1:13" ht="13.5" customHeight="1">
      <c r="A51" s="60">
        <v>9</v>
      </c>
      <c r="B51" s="43">
        <v>1457.26</v>
      </c>
      <c r="C51" s="85">
        <v>26.55</v>
      </c>
      <c r="D51" s="85">
        <v>819.88</v>
      </c>
      <c r="E51" s="85">
        <v>3061.02</v>
      </c>
      <c r="F51" s="85">
        <v>3553.49</v>
      </c>
      <c r="G51" s="98">
        <v>5981.07</v>
      </c>
      <c r="H51" s="84"/>
      <c r="I51" s="14"/>
      <c r="J51" s="14"/>
    </row>
    <row r="52" spans="1:13" ht="13.5" customHeight="1">
      <c r="A52" s="60"/>
      <c r="B52" s="43"/>
      <c r="C52" s="85"/>
      <c r="D52" s="85"/>
      <c r="E52" s="85"/>
      <c r="F52" s="85"/>
      <c r="G52" s="98"/>
      <c r="H52" s="84"/>
      <c r="I52" s="14"/>
      <c r="J52" s="14"/>
    </row>
    <row r="53" spans="1:13" ht="13.5" customHeight="1">
      <c r="A53" s="60">
        <v>10</v>
      </c>
      <c r="B53" s="43">
        <v>43.51</v>
      </c>
      <c r="C53" s="85">
        <v>137.5</v>
      </c>
      <c r="D53" s="85">
        <v>704.58</v>
      </c>
      <c r="E53" s="85">
        <v>3588.19</v>
      </c>
      <c r="F53" s="85">
        <v>6187.46</v>
      </c>
      <c r="G53" s="98">
        <v>5350.65</v>
      </c>
      <c r="H53" s="84"/>
      <c r="I53" s="84"/>
      <c r="J53" s="84"/>
      <c r="K53" s="84"/>
    </row>
    <row r="54" spans="1:13" ht="13.5" customHeight="1">
      <c r="A54" s="60">
        <v>11</v>
      </c>
      <c r="B54" s="43">
        <v>176.92</v>
      </c>
      <c r="C54" s="85">
        <v>186.23</v>
      </c>
      <c r="D54" s="85">
        <v>879.47</v>
      </c>
      <c r="E54" s="85">
        <v>4278.5</v>
      </c>
      <c r="F54" s="85">
        <v>4285.78</v>
      </c>
      <c r="G54" s="98">
        <v>6492.3</v>
      </c>
      <c r="H54" s="84"/>
      <c r="I54" s="84"/>
      <c r="J54" s="84"/>
      <c r="K54" s="84"/>
    </row>
    <row r="55" spans="1:13" ht="13.5" customHeight="1">
      <c r="A55" s="60">
        <v>12</v>
      </c>
      <c r="B55" s="43">
        <v>498.45</v>
      </c>
      <c r="C55" s="85">
        <v>84.97</v>
      </c>
      <c r="D55" s="85">
        <v>585.22</v>
      </c>
      <c r="E55" s="85">
        <v>4785.8500000000004</v>
      </c>
      <c r="F55" s="85">
        <v>5847.64</v>
      </c>
      <c r="G55" s="98">
        <v>11668.47</v>
      </c>
      <c r="H55" s="84"/>
      <c r="I55" s="84"/>
      <c r="J55" s="84"/>
      <c r="K55" s="84"/>
    </row>
    <row r="56" spans="1:13" ht="13.5" customHeight="1">
      <c r="A56" s="60"/>
      <c r="B56" s="43"/>
      <c r="C56" s="85"/>
      <c r="D56" s="85"/>
      <c r="E56" s="85"/>
      <c r="F56" s="85"/>
      <c r="G56" s="98"/>
      <c r="H56" s="84"/>
      <c r="I56" s="84"/>
      <c r="J56" s="84"/>
      <c r="K56" s="84"/>
    </row>
    <row r="57" spans="1:13" ht="13.5" customHeight="1">
      <c r="A57" s="60">
        <v>2021.1</v>
      </c>
      <c r="B57" s="43">
        <v>652.45000000000005</v>
      </c>
      <c r="C57" s="85">
        <v>57.57</v>
      </c>
      <c r="D57" s="85">
        <v>686.37</v>
      </c>
      <c r="E57" s="85">
        <v>5322.49</v>
      </c>
      <c r="F57" s="85">
        <v>5851.25</v>
      </c>
      <c r="G57" s="100">
        <v>5449.64</v>
      </c>
      <c r="H57" s="84"/>
      <c r="I57" s="84"/>
      <c r="J57" s="84"/>
      <c r="K57" s="84"/>
    </row>
    <row r="58" spans="1:13" ht="13.5" customHeight="1">
      <c r="A58" s="60">
        <v>2</v>
      </c>
      <c r="B58" s="43">
        <v>1436.77</v>
      </c>
      <c r="C58" s="85">
        <v>45.02</v>
      </c>
      <c r="D58" s="85">
        <v>702.66</v>
      </c>
      <c r="E58" s="85">
        <v>5447</v>
      </c>
      <c r="F58" s="85">
        <v>2896.21</v>
      </c>
      <c r="G58" s="97">
        <v>7669.79</v>
      </c>
      <c r="H58" s="84"/>
      <c r="I58" s="84"/>
      <c r="J58" s="84"/>
      <c r="K58" s="84"/>
    </row>
    <row r="59" spans="1:13" ht="13.5" customHeight="1">
      <c r="A59" s="60">
        <v>3</v>
      </c>
      <c r="B59" s="43">
        <v>46.64</v>
      </c>
      <c r="C59" s="85">
        <v>250.46</v>
      </c>
      <c r="D59" s="85">
        <v>756.15</v>
      </c>
      <c r="E59" s="85">
        <v>5447</v>
      </c>
      <c r="F59" s="85">
        <v>5539.9</v>
      </c>
      <c r="G59" s="97">
        <v>11523.68</v>
      </c>
      <c r="H59" s="84"/>
      <c r="I59" s="84"/>
      <c r="J59" s="84"/>
      <c r="K59" s="84"/>
    </row>
    <row r="60" spans="1:13" ht="13.5" customHeight="1">
      <c r="A60" s="60"/>
      <c r="B60" s="43"/>
      <c r="C60" s="85"/>
      <c r="D60" s="85"/>
      <c r="E60" s="85"/>
      <c r="F60" s="85"/>
      <c r="G60" s="97"/>
      <c r="H60" s="84"/>
      <c r="I60" s="84"/>
      <c r="J60" s="84"/>
      <c r="K60" s="84"/>
    </row>
    <row r="61" spans="1:13" ht="13.5" customHeight="1">
      <c r="A61" s="60">
        <v>4</v>
      </c>
      <c r="B61" s="43">
        <v>443.48</v>
      </c>
      <c r="C61" s="85">
        <v>199.21</v>
      </c>
      <c r="D61" s="85">
        <v>485.29</v>
      </c>
      <c r="E61" s="85">
        <v>5447</v>
      </c>
      <c r="F61" s="85">
        <v>5492.85</v>
      </c>
      <c r="G61" s="97">
        <v>7162.63</v>
      </c>
      <c r="H61" s="84"/>
      <c r="I61" s="84"/>
      <c r="J61" s="84"/>
      <c r="K61" s="84"/>
    </row>
    <row r="62" spans="1:13" ht="13.5" customHeight="1">
      <c r="A62" s="60">
        <v>5</v>
      </c>
      <c r="B62" s="43">
        <v>342.9</v>
      </c>
      <c r="C62" s="85">
        <v>21.38</v>
      </c>
      <c r="D62" s="85">
        <v>539.55999999999995</v>
      </c>
      <c r="E62" s="85">
        <v>5447</v>
      </c>
      <c r="F62" s="85">
        <v>4403.5600000000004</v>
      </c>
      <c r="G62" s="97">
        <v>9485.9</v>
      </c>
      <c r="H62" s="84"/>
      <c r="I62" s="84"/>
      <c r="J62" s="84"/>
      <c r="K62" s="84"/>
    </row>
    <row r="63" spans="1:13" ht="13.5" customHeight="1">
      <c r="A63" s="60">
        <v>6</v>
      </c>
      <c r="B63" s="43">
        <v>627.91</v>
      </c>
      <c r="C63" s="85">
        <v>112.71</v>
      </c>
      <c r="D63" s="85">
        <v>514.29</v>
      </c>
      <c r="E63" s="85">
        <v>5447</v>
      </c>
      <c r="F63" s="85">
        <v>5200.7299999999996</v>
      </c>
      <c r="G63" s="97">
        <v>15644.27</v>
      </c>
      <c r="H63" s="84"/>
      <c r="I63" s="84"/>
      <c r="J63" s="154"/>
      <c r="K63" s="152"/>
      <c r="L63" s="152"/>
      <c r="M63" s="135"/>
    </row>
    <row r="64" spans="1:13" ht="13.5" customHeight="1">
      <c r="A64" s="60"/>
      <c r="B64" s="43"/>
      <c r="C64" s="85"/>
      <c r="D64" s="85"/>
      <c r="E64" s="85"/>
      <c r="F64" s="85"/>
      <c r="G64" s="97"/>
      <c r="H64" s="84"/>
      <c r="I64" s="84"/>
      <c r="J64" s="154"/>
      <c r="K64" s="152"/>
      <c r="L64" s="152"/>
      <c r="M64" s="135"/>
    </row>
    <row r="65" spans="1:13" ht="13.5" customHeight="1">
      <c r="A65" s="60">
        <v>7</v>
      </c>
      <c r="B65" s="43">
        <v>264</v>
      </c>
      <c r="C65" s="85">
        <v>22</v>
      </c>
      <c r="D65" s="85">
        <v>573.29999999999995</v>
      </c>
      <c r="E65" s="85">
        <v>5447</v>
      </c>
      <c r="F65" s="85">
        <v>7145.11</v>
      </c>
      <c r="G65" s="97">
        <v>5459.28</v>
      </c>
      <c r="H65" s="84"/>
      <c r="I65" s="84"/>
      <c r="J65" s="154"/>
      <c r="K65" s="152"/>
      <c r="L65" s="152"/>
      <c r="M65" s="135"/>
    </row>
    <row r="66" spans="1:13" ht="13.5" customHeight="1">
      <c r="A66" s="60">
        <v>8</v>
      </c>
      <c r="B66" s="43">
        <v>568.16999999999996</v>
      </c>
      <c r="C66" s="85">
        <v>112.36</v>
      </c>
      <c r="D66" s="85">
        <v>733.59</v>
      </c>
      <c r="E66" s="85">
        <v>5447</v>
      </c>
      <c r="F66" s="85">
        <v>3255.8</v>
      </c>
      <c r="G66" s="97">
        <v>6482.41</v>
      </c>
      <c r="H66" s="84"/>
      <c r="I66" s="84"/>
      <c r="J66" s="154"/>
      <c r="K66" s="152"/>
    </row>
    <row r="67" spans="1:13" ht="13.5" customHeight="1">
      <c r="A67" s="60">
        <v>9</v>
      </c>
      <c r="B67" s="43">
        <v>1227.02</v>
      </c>
      <c r="C67" s="85">
        <v>22.41</v>
      </c>
      <c r="D67" s="85">
        <v>907.18</v>
      </c>
      <c r="E67" s="85">
        <v>5447</v>
      </c>
      <c r="F67" s="85">
        <v>4850.3</v>
      </c>
      <c r="G67" s="97">
        <v>7141.29</v>
      </c>
      <c r="H67" s="84"/>
      <c r="I67" s="84"/>
      <c r="J67" s="154"/>
      <c r="K67" s="152"/>
    </row>
    <row r="68" spans="1:13" ht="13.5" customHeight="1">
      <c r="A68" s="60"/>
      <c r="B68" s="43"/>
      <c r="C68" s="85"/>
      <c r="D68" s="85"/>
      <c r="E68" s="85"/>
      <c r="F68" s="85"/>
      <c r="G68" s="97"/>
      <c r="H68" s="84"/>
      <c r="I68" s="84"/>
      <c r="J68" s="154"/>
      <c r="K68" s="152"/>
    </row>
    <row r="69" spans="1:13" ht="13.5" customHeight="1">
      <c r="A69" s="60">
        <v>10</v>
      </c>
      <c r="B69" s="43">
        <v>295</v>
      </c>
      <c r="C69" s="85">
        <v>232</v>
      </c>
      <c r="D69" s="85">
        <v>753.43</v>
      </c>
      <c r="E69" s="85">
        <v>5447</v>
      </c>
      <c r="F69" s="85">
        <v>5931.33</v>
      </c>
      <c r="G69" s="97">
        <v>6327.83</v>
      </c>
      <c r="H69" s="84"/>
      <c r="I69" s="84"/>
      <c r="J69" s="154"/>
      <c r="K69" s="152"/>
    </row>
    <row r="70" spans="1:13" ht="13.5" customHeight="1">
      <c r="A70" s="60">
        <v>11</v>
      </c>
      <c r="B70" s="43">
        <v>500.6</v>
      </c>
      <c r="C70" s="85">
        <v>120.71</v>
      </c>
      <c r="D70" s="85">
        <v>941.73</v>
      </c>
      <c r="E70" s="85">
        <v>5447</v>
      </c>
      <c r="F70" s="85">
        <v>5713.48</v>
      </c>
      <c r="G70" s="97">
        <v>6418.14</v>
      </c>
      <c r="H70" s="84"/>
      <c r="I70" s="84"/>
      <c r="J70" s="154"/>
      <c r="K70" s="152"/>
    </row>
    <row r="71" spans="1:13" ht="13.5" customHeight="1">
      <c r="A71" s="60">
        <v>12</v>
      </c>
      <c r="B71" s="43">
        <v>669.81</v>
      </c>
      <c r="C71" s="85">
        <v>57.73</v>
      </c>
      <c r="D71" s="85">
        <v>1576.41</v>
      </c>
      <c r="E71" s="85">
        <v>5447</v>
      </c>
      <c r="F71" s="85">
        <v>7231.51</v>
      </c>
      <c r="G71" s="97">
        <v>13666.04</v>
      </c>
      <c r="H71" s="84"/>
      <c r="I71" s="84"/>
      <c r="J71" s="154"/>
      <c r="K71" s="152"/>
    </row>
    <row r="72" spans="1:13" ht="13.5" customHeight="1">
      <c r="A72" s="60"/>
      <c r="B72" s="43"/>
      <c r="C72" s="85"/>
      <c r="D72" s="85"/>
      <c r="E72" s="85"/>
      <c r="F72" s="85"/>
      <c r="G72" s="97"/>
      <c r="H72" s="84"/>
      <c r="I72" s="84"/>
      <c r="J72" s="154"/>
      <c r="K72" s="152"/>
    </row>
    <row r="73" spans="1:13" ht="13.5" customHeight="1">
      <c r="A73" s="164">
        <v>2022.1</v>
      </c>
      <c r="B73" s="165">
        <v>1926.5</v>
      </c>
      <c r="C73" s="166">
        <v>59.31</v>
      </c>
      <c r="D73" s="166">
        <v>1774.06</v>
      </c>
      <c r="E73" s="166">
        <v>5447</v>
      </c>
      <c r="F73" s="166">
        <v>7705.16</v>
      </c>
      <c r="G73" s="104">
        <v>6698.47</v>
      </c>
      <c r="H73" s="84"/>
      <c r="I73" s="84"/>
      <c r="J73" s="154"/>
      <c r="K73" s="152"/>
    </row>
    <row r="74" spans="1:13" ht="13.5" customHeight="1">
      <c r="A74" s="164">
        <v>2</v>
      </c>
      <c r="B74" s="165">
        <v>44.63</v>
      </c>
      <c r="C74" s="166">
        <v>16.47</v>
      </c>
      <c r="D74" s="166">
        <v>1708.07</v>
      </c>
      <c r="E74" s="166">
        <v>5447</v>
      </c>
      <c r="F74" s="166">
        <v>4875.82</v>
      </c>
      <c r="G74" s="104">
        <v>6555.08</v>
      </c>
      <c r="H74" s="84"/>
      <c r="I74" s="84"/>
      <c r="J74" s="154"/>
      <c r="K74" s="152"/>
    </row>
    <row r="75" spans="1:13" ht="13.5" customHeight="1">
      <c r="A75" s="164">
        <v>3</v>
      </c>
      <c r="B75" s="165">
        <v>337.51</v>
      </c>
      <c r="C75" s="166">
        <v>274.88</v>
      </c>
      <c r="D75" s="166">
        <v>1518.07</v>
      </c>
      <c r="E75" s="166">
        <v>5447</v>
      </c>
      <c r="F75" s="166">
        <v>5342</v>
      </c>
      <c r="G75" s="104">
        <v>10883.11</v>
      </c>
      <c r="H75" s="84"/>
      <c r="I75" s="84"/>
      <c r="J75" s="154"/>
      <c r="K75" s="152"/>
    </row>
    <row r="76" spans="1:13" ht="13.5" customHeight="1">
      <c r="A76" s="164"/>
      <c r="B76" s="165"/>
      <c r="C76" s="166"/>
      <c r="D76" s="166"/>
      <c r="E76" s="166"/>
      <c r="F76" s="166"/>
      <c r="G76" s="104"/>
      <c r="H76" s="84"/>
      <c r="I76" s="84"/>
      <c r="J76" s="154"/>
      <c r="K76" s="152"/>
    </row>
    <row r="77" spans="1:13" ht="13.5" customHeight="1">
      <c r="A77" s="164">
        <v>4</v>
      </c>
      <c r="B77" s="165">
        <v>332.52</v>
      </c>
      <c r="C77" s="166">
        <v>117.77</v>
      </c>
      <c r="D77" s="166">
        <v>1311.59</v>
      </c>
      <c r="E77" s="166">
        <v>5447</v>
      </c>
      <c r="F77" s="166">
        <v>5237.58</v>
      </c>
      <c r="G77" s="104">
        <v>11463.71</v>
      </c>
      <c r="H77" s="84"/>
      <c r="I77" s="84"/>
      <c r="J77" s="154"/>
      <c r="K77" s="152"/>
    </row>
    <row r="78" spans="1:13" ht="13.5" customHeight="1">
      <c r="A78" s="164">
        <v>5</v>
      </c>
      <c r="B78" s="165">
        <v>765.06</v>
      </c>
      <c r="C78" s="166">
        <v>18.32</v>
      </c>
      <c r="D78" s="166">
        <v>1414.4</v>
      </c>
      <c r="E78" s="166">
        <v>5447</v>
      </c>
      <c r="F78" s="166">
        <v>7373.24</v>
      </c>
      <c r="G78" s="104">
        <v>11565.45</v>
      </c>
      <c r="H78" s="84"/>
      <c r="I78" s="84"/>
      <c r="J78" s="154"/>
      <c r="K78" s="152"/>
    </row>
    <row r="79" spans="1:13" ht="13.5" customHeight="1">
      <c r="A79" s="164">
        <v>6</v>
      </c>
      <c r="B79" s="165">
        <v>343.86</v>
      </c>
      <c r="C79" s="166">
        <v>162.11000000000001</v>
      </c>
      <c r="D79" s="166">
        <v>1296.6099999999999</v>
      </c>
      <c r="E79" s="166">
        <v>5447</v>
      </c>
      <c r="F79" s="166">
        <v>6004.87</v>
      </c>
      <c r="G79" s="104">
        <v>15192.92</v>
      </c>
      <c r="H79" s="84"/>
      <c r="I79" s="84"/>
      <c r="J79" s="154"/>
      <c r="K79" s="152"/>
    </row>
    <row r="80" spans="1:13" ht="13.5" customHeight="1">
      <c r="A80" s="164"/>
      <c r="B80" s="165"/>
      <c r="C80" s="166"/>
      <c r="D80" s="166"/>
      <c r="E80" s="166"/>
      <c r="F80" s="166"/>
      <c r="G80" s="104"/>
      <c r="H80" s="84"/>
      <c r="I80" s="184" t="s">
        <v>200</v>
      </c>
      <c r="J80" s="154"/>
      <c r="K80" s="152"/>
    </row>
    <row r="81" spans="1:11" ht="13.5" customHeight="1">
      <c r="A81" s="164">
        <v>7</v>
      </c>
      <c r="B81" s="165">
        <v>338.72</v>
      </c>
      <c r="C81" s="166">
        <v>54.62</v>
      </c>
      <c r="D81" s="166">
        <v>1088.3399999999999</v>
      </c>
      <c r="E81" s="166">
        <v>5447</v>
      </c>
      <c r="F81" s="166">
        <v>7576.91</v>
      </c>
      <c r="G81" s="104">
        <v>8063.96</v>
      </c>
      <c r="H81" s="84"/>
      <c r="I81" s="84"/>
      <c r="J81" s="154"/>
      <c r="K81" s="152"/>
    </row>
    <row r="82" spans="1:11" ht="13.5" customHeight="1">
      <c r="A82" s="164">
        <v>8</v>
      </c>
      <c r="B82" s="165">
        <v>1016.73</v>
      </c>
      <c r="C82" s="166">
        <v>106.34</v>
      </c>
      <c r="D82" s="166">
        <v>1268.08</v>
      </c>
      <c r="E82" s="166">
        <v>5447</v>
      </c>
      <c r="F82" s="166">
        <v>5636.78</v>
      </c>
      <c r="G82" s="104">
        <v>9655.4599999999991</v>
      </c>
      <c r="H82" s="84"/>
      <c r="I82" s="84"/>
      <c r="J82" s="154"/>
      <c r="K82" s="152"/>
    </row>
    <row r="83" spans="1:11" ht="13.5" customHeight="1">
      <c r="A83" s="164">
        <v>9</v>
      </c>
      <c r="B83" s="165">
        <v>538.32000000000005</v>
      </c>
      <c r="C83" s="166">
        <v>184.27</v>
      </c>
      <c r="D83" s="166">
        <v>1153.23</v>
      </c>
      <c r="E83" s="166">
        <v>5447</v>
      </c>
      <c r="F83" s="166">
        <v>6236.12</v>
      </c>
      <c r="G83" s="104">
        <v>9435.99</v>
      </c>
      <c r="H83" s="84"/>
      <c r="I83" s="84"/>
      <c r="J83" s="154"/>
      <c r="K83" s="152"/>
    </row>
    <row r="84" spans="1:11" ht="13.5" customHeight="1">
      <c r="A84" s="164"/>
      <c r="B84" s="165"/>
      <c r="C84" s="166"/>
      <c r="D84" s="166"/>
      <c r="E84" s="166"/>
      <c r="F84" s="166"/>
      <c r="G84" s="104"/>
      <c r="H84" s="84"/>
      <c r="I84" s="84"/>
      <c r="J84" s="154"/>
      <c r="K84" s="152"/>
    </row>
    <row r="85" spans="1:11" ht="13.5" customHeight="1">
      <c r="A85" s="164">
        <v>10</v>
      </c>
      <c r="B85" s="165">
        <v>226.52</v>
      </c>
      <c r="C85" s="166">
        <v>262.89</v>
      </c>
      <c r="D85" s="166">
        <v>1196.17</v>
      </c>
      <c r="E85" s="166">
        <v>5447</v>
      </c>
      <c r="F85" s="166">
        <v>8678.89</v>
      </c>
      <c r="G85" s="104">
        <v>8807.5</v>
      </c>
      <c r="H85" s="84"/>
      <c r="I85" s="84"/>
      <c r="J85" s="154"/>
      <c r="K85" s="152"/>
    </row>
    <row r="86" spans="1:11" ht="13.5" customHeight="1">
      <c r="A86" s="164">
        <v>11</v>
      </c>
      <c r="B86" s="165">
        <v>268.45999999999998</v>
      </c>
      <c r="C86" s="166">
        <v>323.66000000000003</v>
      </c>
      <c r="D86" s="166">
        <v>1847.66</v>
      </c>
      <c r="E86" s="166">
        <v>5447</v>
      </c>
      <c r="F86" s="166">
        <v>5739.65</v>
      </c>
      <c r="G86" s="104">
        <v>8163.91</v>
      </c>
      <c r="H86" s="84"/>
      <c r="I86" s="84"/>
      <c r="J86" s="154"/>
      <c r="K86" s="152"/>
    </row>
    <row r="87" spans="1:11" ht="13.5" customHeight="1">
      <c r="A87" s="164">
        <v>12</v>
      </c>
      <c r="B87" s="165">
        <v>212.46</v>
      </c>
      <c r="C87" s="166">
        <v>231.31</v>
      </c>
      <c r="D87" s="166">
        <v>1659.84</v>
      </c>
      <c r="E87" s="166">
        <v>5447</v>
      </c>
      <c r="F87" s="166">
        <v>8123.46</v>
      </c>
      <c r="G87" s="104">
        <v>16433.12</v>
      </c>
      <c r="H87" s="84"/>
      <c r="I87" s="84"/>
      <c r="J87" s="154"/>
      <c r="K87" s="152"/>
    </row>
    <row r="88" spans="1:11" ht="13.5" customHeight="1">
      <c r="A88" s="164"/>
      <c r="B88" s="165"/>
      <c r="C88" s="166"/>
      <c r="D88" s="166"/>
      <c r="E88" s="166"/>
      <c r="F88" s="166"/>
      <c r="G88" s="104"/>
      <c r="H88" s="84"/>
      <c r="I88" s="84"/>
      <c r="J88" s="154"/>
      <c r="K88" s="152"/>
    </row>
    <row r="89" spans="1:11" ht="13.5" customHeight="1">
      <c r="A89" s="164">
        <v>2023.1</v>
      </c>
      <c r="B89" s="165">
        <v>1553.63</v>
      </c>
      <c r="C89" s="166">
        <v>71.87</v>
      </c>
      <c r="D89" s="166">
        <v>1464.26</v>
      </c>
      <c r="E89" s="166">
        <v>5384.33</v>
      </c>
      <c r="F89" s="166">
        <v>9015.02</v>
      </c>
      <c r="G89" s="104">
        <v>6221.72</v>
      </c>
      <c r="H89" s="84"/>
      <c r="I89" s="84"/>
      <c r="J89" s="154"/>
      <c r="K89" s="152"/>
    </row>
    <row r="90" spans="1:11" ht="13.5" customHeight="1">
      <c r="A90" s="164">
        <v>2</v>
      </c>
      <c r="B90" s="165">
        <v>24.37</v>
      </c>
      <c r="C90" s="166">
        <v>617.58000000000004</v>
      </c>
      <c r="D90" s="166">
        <v>1337.79</v>
      </c>
      <c r="E90" s="166">
        <v>5273.58</v>
      </c>
      <c r="F90" s="166">
        <v>2955.5</v>
      </c>
      <c r="G90" s="104">
        <v>8812.19</v>
      </c>
      <c r="H90" s="84"/>
      <c r="I90" s="84"/>
      <c r="J90" s="154"/>
      <c r="K90" s="152"/>
    </row>
    <row r="91" spans="1:11" ht="13.5" customHeight="1">
      <c r="A91" s="164">
        <v>3</v>
      </c>
      <c r="B91" s="165">
        <v>16.55</v>
      </c>
      <c r="C91" s="166">
        <v>338.82</v>
      </c>
      <c r="D91" s="166">
        <v>1538.17</v>
      </c>
      <c r="E91" s="166">
        <v>5189.1099999999997</v>
      </c>
      <c r="F91" s="166">
        <v>7137.56</v>
      </c>
      <c r="G91" s="104">
        <v>11281.86</v>
      </c>
      <c r="H91" s="84"/>
      <c r="I91" s="84"/>
      <c r="J91" s="154"/>
      <c r="K91" s="152"/>
    </row>
    <row r="92" spans="1:11" ht="13.5" customHeight="1">
      <c r="A92" s="164"/>
      <c r="B92" s="165"/>
      <c r="C92" s="166"/>
      <c r="D92" s="166"/>
      <c r="E92" s="166"/>
      <c r="F92" s="166"/>
      <c r="G92" s="104"/>
      <c r="H92" s="84"/>
      <c r="I92" s="84"/>
      <c r="J92" s="154"/>
      <c r="K92" s="152"/>
    </row>
    <row r="93" spans="1:11" ht="13.5" customHeight="1">
      <c r="A93" s="164">
        <v>4</v>
      </c>
      <c r="B93" s="165">
        <v>547.78</v>
      </c>
      <c r="C93" s="166">
        <v>159.66999999999999</v>
      </c>
      <c r="D93" s="166">
        <v>1591.67</v>
      </c>
      <c r="E93" s="166">
        <v>5072.1899999999996</v>
      </c>
      <c r="F93" s="166">
        <v>7299.37</v>
      </c>
      <c r="G93" s="104">
        <v>8297.5499999999993</v>
      </c>
      <c r="H93" s="84"/>
      <c r="I93" s="84"/>
      <c r="J93" s="154"/>
      <c r="K93" s="152"/>
    </row>
    <row r="94" spans="1:11" ht="13.5" customHeight="1">
      <c r="A94" s="164">
        <v>5</v>
      </c>
      <c r="B94" s="165">
        <v>358.6</v>
      </c>
      <c r="C94" s="166">
        <v>12.15</v>
      </c>
      <c r="D94" s="166">
        <v>1372.71</v>
      </c>
      <c r="E94" s="166">
        <v>4670.32</v>
      </c>
      <c r="F94" s="166">
        <v>6714.55</v>
      </c>
      <c r="G94" s="104">
        <v>9861.7000000000007</v>
      </c>
      <c r="H94" s="84"/>
      <c r="I94" s="84"/>
      <c r="J94" s="154"/>
      <c r="K94" s="152"/>
    </row>
    <row r="95" spans="1:11" ht="13.5" customHeight="1">
      <c r="A95" s="164">
        <v>6</v>
      </c>
      <c r="B95" s="165">
        <v>455.64</v>
      </c>
      <c r="C95" s="166">
        <v>82.41</v>
      </c>
      <c r="D95" s="166">
        <v>1440.93</v>
      </c>
      <c r="E95" s="166">
        <v>4226.1499999999996</v>
      </c>
      <c r="F95" s="166">
        <v>5419.03</v>
      </c>
      <c r="G95" s="104">
        <v>15952.73</v>
      </c>
      <c r="H95" s="84"/>
      <c r="I95" s="84"/>
      <c r="J95" s="154"/>
      <c r="K95" s="152"/>
    </row>
    <row r="96" spans="1:11" ht="13.5" customHeight="1">
      <c r="A96" s="164"/>
      <c r="B96" s="165"/>
      <c r="C96" s="166"/>
      <c r="D96" s="166"/>
      <c r="E96" s="166"/>
      <c r="F96" s="166"/>
      <c r="G96" s="104"/>
      <c r="H96" s="84"/>
      <c r="I96" s="84"/>
      <c r="J96" s="154"/>
      <c r="K96" s="152"/>
    </row>
    <row r="97" spans="1:11" ht="13.5" customHeight="1">
      <c r="A97" s="164">
        <v>7</v>
      </c>
      <c r="B97" s="165">
        <v>432</v>
      </c>
      <c r="C97" s="166">
        <v>97</v>
      </c>
      <c r="D97" s="166">
        <v>1586</v>
      </c>
      <c r="E97" s="166">
        <v>3851</v>
      </c>
      <c r="F97" s="166">
        <v>8718.43</v>
      </c>
      <c r="G97" s="104">
        <v>9728.7900000000009</v>
      </c>
      <c r="H97" s="84"/>
      <c r="I97" s="84"/>
      <c r="J97" s="154"/>
      <c r="K97" s="152"/>
    </row>
    <row r="98" spans="1:11" ht="13.5" customHeight="1">
      <c r="A98" s="164">
        <v>8</v>
      </c>
      <c r="B98" s="165">
        <v>505.01</v>
      </c>
      <c r="C98" s="166">
        <v>201.54</v>
      </c>
      <c r="D98" s="166">
        <v>1489.82</v>
      </c>
      <c r="E98" s="166">
        <v>3451.4</v>
      </c>
      <c r="F98" s="166">
        <v>4032.87</v>
      </c>
      <c r="G98" s="104">
        <v>8136.25</v>
      </c>
      <c r="H98" s="84"/>
      <c r="I98" s="84"/>
      <c r="J98" s="154"/>
      <c r="K98" s="152"/>
    </row>
    <row r="99" spans="1:11" ht="13.5" customHeight="1">
      <c r="A99" s="164">
        <v>9</v>
      </c>
      <c r="B99" s="165">
        <v>1811.56</v>
      </c>
      <c r="C99" s="166">
        <v>14.81</v>
      </c>
      <c r="D99" s="166">
        <v>1518.1</v>
      </c>
      <c r="E99" s="166">
        <v>3064.89</v>
      </c>
      <c r="F99" s="166">
        <v>4656.88</v>
      </c>
      <c r="G99" s="104">
        <v>8235.25</v>
      </c>
      <c r="H99" s="84"/>
      <c r="I99" s="84"/>
      <c r="J99" s="154"/>
      <c r="K99" s="152"/>
    </row>
    <row r="100" spans="1:11" ht="13.5" customHeight="1">
      <c r="A100" s="164"/>
      <c r="B100" s="165"/>
      <c r="C100" s="166"/>
      <c r="D100" s="166"/>
      <c r="E100" s="166"/>
      <c r="F100" s="166"/>
      <c r="G100" s="104"/>
      <c r="H100" s="84"/>
      <c r="I100" s="84"/>
      <c r="J100" s="154"/>
      <c r="K100" s="152"/>
    </row>
    <row r="101" spans="1:11" ht="13.5" customHeight="1">
      <c r="A101" s="164">
        <v>10</v>
      </c>
      <c r="B101" s="165">
        <v>68.38</v>
      </c>
      <c r="C101" s="166">
        <v>213.16</v>
      </c>
      <c r="D101" s="166">
        <v>1505.39</v>
      </c>
      <c r="E101" s="166">
        <v>2610.1999999999998</v>
      </c>
      <c r="F101" s="166">
        <v>8996.7999999999993</v>
      </c>
      <c r="G101" s="104">
        <v>5888.45</v>
      </c>
      <c r="H101" s="84"/>
      <c r="I101" s="84"/>
      <c r="J101" s="154"/>
      <c r="K101" s="152"/>
    </row>
    <row r="102" spans="1:11" ht="13.5" customHeight="1">
      <c r="A102" s="164">
        <v>11</v>
      </c>
      <c r="B102" s="165">
        <v>620.23</v>
      </c>
      <c r="C102" s="166">
        <v>314.33</v>
      </c>
      <c r="D102" s="166">
        <v>1517.24</v>
      </c>
      <c r="E102" s="166">
        <v>2087.9299999999998</v>
      </c>
      <c r="F102" s="166">
        <v>6016.49</v>
      </c>
      <c r="G102" s="104">
        <v>10686.51</v>
      </c>
      <c r="H102" s="84"/>
      <c r="I102" s="84"/>
      <c r="J102" s="154"/>
      <c r="K102" s="152"/>
    </row>
    <row r="103" spans="1:11" ht="13.5" customHeight="1">
      <c r="A103" s="164">
        <v>12</v>
      </c>
      <c r="B103" s="165">
        <v>870.89</v>
      </c>
      <c r="C103" s="166">
        <v>105.53</v>
      </c>
      <c r="D103" s="166">
        <v>1630.11</v>
      </c>
      <c r="E103" s="166">
        <v>1848</v>
      </c>
      <c r="F103" s="166">
        <v>8104.64</v>
      </c>
      <c r="G103" s="104">
        <v>17782.310000000001</v>
      </c>
      <c r="H103" s="84"/>
      <c r="I103" s="84"/>
      <c r="J103" s="154"/>
      <c r="K103" s="152"/>
    </row>
    <row r="104" spans="1:11" ht="13.5" customHeight="1">
      <c r="A104" s="164"/>
      <c r="B104" s="165"/>
      <c r="C104" s="166"/>
      <c r="D104" s="166"/>
      <c r="E104" s="166"/>
      <c r="F104" s="166"/>
      <c r="G104" s="104"/>
      <c r="H104" s="84"/>
      <c r="I104" s="84"/>
      <c r="J104" s="154"/>
      <c r="K104" s="152"/>
    </row>
    <row r="105" spans="1:11" ht="13.5" customHeight="1">
      <c r="A105" s="164">
        <v>2024.1</v>
      </c>
      <c r="B105" s="165">
        <v>2162.3000000000002</v>
      </c>
      <c r="C105" s="166">
        <v>31.47</v>
      </c>
      <c r="D105" s="166">
        <v>1417.22</v>
      </c>
      <c r="E105" s="166">
        <v>1848</v>
      </c>
      <c r="F105" s="166">
        <v>9345.26</v>
      </c>
      <c r="G105" s="104">
        <v>6955.86</v>
      </c>
      <c r="H105" s="84"/>
      <c r="I105" s="84"/>
      <c r="J105" s="154"/>
      <c r="K105" s="152"/>
    </row>
    <row r="106" spans="1:11" ht="13.5" customHeight="1">
      <c r="A106" s="164">
        <v>2</v>
      </c>
      <c r="B106" s="165">
        <v>253</v>
      </c>
      <c r="C106" s="166">
        <v>92</v>
      </c>
      <c r="D106" s="166">
        <v>1622.31</v>
      </c>
      <c r="E106" s="166">
        <v>1848</v>
      </c>
      <c r="F106" s="166">
        <v>3457.95</v>
      </c>
      <c r="G106" s="104">
        <v>8234.93</v>
      </c>
      <c r="H106" s="84"/>
      <c r="I106" s="84"/>
      <c r="J106" s="154"/>
      <c r="K106" s="152"/>
    </row>
    <row r="107" spans="1:11" ht="13.5" customHeight="1">
      <c r="A107" s="164">
        <v>3</v>
      </c>
      <c r="B107" s="165">
        <v>52</v>
      </c>
      <c r="C107" s="166">
        <v>266</v>
      </c>
      <c r="D107" s="166">
        <v>1500</v>
      </c>
      <c r="E107" s="166">
        <v>1848</v>
      </c>
      <c r="F107" s="166">
        <v>4705.0200000000004</v>
      </c>
      <c r="G107" s="104">
        <v>12920.85</v>
      </c>
      <c r="H107" s="84"/>
      <c r="I107" s="84"/>
      <c r="J107" s="154"/>
      <c r="K107" s="152"/>
    </row>
    <row r="108" spans="1:11" ht="13.5" customHeight="1">
      <c r="A108" s="164"/>
      <c r="B108" s="165"/>
      <c r="C108" s="166"/>
      <c r="D108" s="166"/>
      <c r="E108" s="166"/>
      <c r="F108" s="166"/>
      <c r="G108" s="104"/>
      <c r="H108" s="84"/>
      <c r="I108" s="84"/>
      <c r="J108" s="154"/>
      <c r="K108" s="152"/>
    </row>
    <row r="109" spans="1:11" ht="13.5" customHeight="1">
      <c r="A109" s="164">
        <v>4</v>
      </c>
      <c r="B109" s="165">
        <v>690</v>
      </c>
      <c r="C109" s="166">
        <v>257</v>
      </c>
      <c r="D109" s="166">
        <v>1341.08</v>
      </c>
      <c r="E109" s="166">
        <v>2247.75</v>
      </c>
      <c r="F109" s="166">
        <v>8022.4</v>
      </c>
      <c r="G109" s="104">
        <v>9278.6299999999992</v>
      </c>
      <c r="H109" s="84"/>
      <c r="I109" s="84"/>
      <c r="J109" s="154"/>
      <c r="K109" s="152"/>
    </row>
    <row r="110" spans="1:11" ht="13.5" customHeight="1">
      <c r="A110" s="164">
        <v>5</v>
      </c>
      <c r="B110" s="165">
        <v>463.59</v>
      </c>
      <c r="C110" s="166">
        <v>97.31</v>
      </c>
      <c r="D110" s="166">
        <v>1316.21</v>
      </c>
      <c r="E110" s="166">
        <v>3122.34</v>
      </c>
      <c r="F110" s="166">
        <v>6055.26</v>
      </c>
      <c r="G110" s="104">
        <v>9533.2999999999993</v>
      </c>
      <c r="H110" s="84"/>
      <c r="I110" s="84"/>
      <c r="J110" s="154"/>
      <c r="K110" s="152"/>
    </row>
    <row r="111" spans="1:11" s="163" customFormat="1" ht="13.5" customHeight="1">
      <c r="A111" s="246">
        <v>6</v>
      </c>
      <c r="B111" s="166">
        <v>431.39</v>
      </c>
      <c r="C111" s="166">
        <v>18.93</v>
      </c>
      <c r="D111" s="85">
        <v>1317.43</v>
      </c>
      <c r="E111" s="85">
        <v>3538.43</v>
      </c>
      <c r="F111" s="85">
        <v>5345.04</v>
      </c>
      <c r="G111" s="104">
        <v>14199.67</v>
      </c>
      <c r="H111" s="160"/>
      <c r="I111" s="160"/>
      <c r="J111" s="161"/>
      <c r="K111" s="162"/>
    </row>
    <row r="112" spans="1:11" ht="13.5" customHeight="1">
      <c r="A112" s="164"/>
      <c r="B112" s="165"/>
      <c r="C112" s="166"/>
      <c r="D112" s="166"/>
      <c r="E112" s="166"/>
      <c r="F112" s="166"/>
      <c r="G112" s="104"/>
      <c r="H112" s="84"/>
      <c r="I112" s="84"/>
      <c r="J112" s="154"/>
      <c r="K112" s="152"/>
    </row>
    <row r="113" spans="1:11" ht="13.5" customHeight="1">
      <c r="A113" s="164">
        <v>7</v>
      </c>
      <c r="B113" s="165">
        <v>697</v>
      </c>
      <c r="C113" s="166">
        <v>134</v>
      </c>
      <c r="D113" s="166">
        <v>1387</v>
      </c>
      <c r="E113" s="166">
        <v>3837</v>
      </c>
      <c r="F113" s="166">
        <v>7871.15</v>
      </c>
      <c r="G113" s="104">
        <v>8789.4</v>
      </c>
      <c r="H113" s="84"/>
      <c r="I113" s="84"/>
      <c r="J113" s="154"/>
      <c r="K113" s="152"/>
    </row>
    <row r="114" spans="1:11" ht="13.5" customHeight="1">
      <c r="A114" s="164">
        <v>8</v>
      </c>
      <c r="B114" s="165">
        <v>1481.14</v>
      </c>
      <c r="C114" s="166">
        <v>142.68</v>
      </c>
      <c r="D114" s="166">
        <v>1309.58</v>
      </c>
      <c r="E114" s="166">
        <v>4077.42</v>
      </c>
      <c r="F114" s="166">
        <v>3040.92</v>
      </c>
      <c r="G114" s="104">
        <v>8164.83</v>
      </c>
      <c r="H114" s="84"/>
      <c r="I114" s="84"/>
      <c r="J114" s="154"/>
      <c r="K114" s="152"/>
    </row>
    <row r="115" spans="1:11" ht="13.5" customHeight="1">
      <c r="A115" s="164">
        <v>9</v>
      </c>
      <c r="B115" s="165">
        <v>546</v>
      </c>
      <c r="C115" s="166">
        <v>24</v>
      </c>
      <c r="D115" s="166">
        <v>1752</v>
      </c>
      <c r="E115" s="166">
        <v>2322</v>
      </c>
      <c r="F115" s="166">
        <v>5560.44</v>
      </c>
      <c r="G115" s="104">
        <v>8761.6299999999992</v>
      </c>
      <c r="H115" s="84"/>
      <c r="I115" s="84"/>
      <c r="J115" s="154"/>
      <c r="K115" s="152"/>
    </row>
    <row r="116" spans="1:11" ht="13.5" customHeight="1">
      <c r="A116" s="164"/>
      <c r="B116" s="165"/>
      <c r="C116" s="166"/>
      <c r="D116" s="166"/>
      <c r="E116" s="166"/>
      <c r="F116" s="166"/>
      <c r="G116" s="104"/>
      <c r="H116" s="84"/>
      <c r="I116" s="84"/>
      <c r="J116" s="154"/>
      <c r="K116" s="152"/>
    </row>
    <row r="117" spans="1:11" ht="13.5" customHeight="1">
      <c r="A117" s="164">
        <v>10</v>
      </c>
      <c r="B117" s="165">
        <v>290.52</v>
      </c>
      <c r="C117" s="166">
        <v>126.07</v>
      </c>
      <c r="D117" s="166">
        <v>1549.83</v>
      </c>
      <c r="E117" s="166">
        <v>4252</v>
      </c>
      <c r="F117" s="166">
        <v>7895.66</v>
      </c>
      <c r="G117" s="104">
        <v>9415.2900000000009</v>
      </c>
      <c r="H117" s="84"/>
      <c r="I117" s="84"/>
      <c r="J117" s="154"/>
      <c r="K117" s="152"/>
    </row>
    <row r="118" spans="1:11" ht="13.5" customHeight="1">
      <c r="A118" s="164">
        <v>11</v>
      </c>
      <c r="B118" s="165">
        <v>342.32</v>
      </c>
      <c r="C118" s="166">
        <v>116.77</v>
      </c>
      <c r="D118" s="166">
        <v>1381.31</v>
      </c>
      <c r="E118" s="166">
        <v>4252</v>
      </c>
      <c r="F118" s="166">
        <v>5253.87</v>
      </c>
      <c r="G118" s="104">
        <v>8971.18</v>
      </c>
      <c r="H118" s="84"/>
      <c r="I118" s="84"/>
      <c r="J118" s="154"/>
      <c r="K118" s="152"/>
    </row>
    <row r="119" spans="1:11" ht="13.5" customHeight="1">
      <c r="A119" s="164">
        <v>12</v>
      </c>
      <c r="B119" s="165">
        <v>1133</v>
      </c>
      <c r="C119" s="166">
        <v>34</v>
      </c>
      <c r="D119" s="166">
        <v>1566.43</v>
      </c>
      <c r="E119" s="166">
        <v>4252</v>
      </c>
      <c r="F119" s="166">
        <v>7574.13</v>
      </c>
      <c r="G119" s="104">
        <v>15423.38</v>
      </c>
      <c r="H119" s="84"/>
      <c r="I119" s="84"/>
      <c r="J119" s="154"/>
      <c r="K119" s="152"/>
    </row>
    <row r="120" spans="1:11" ht="13.5" customHeight="1">
      <c r="A120" s="164"/>
      <c r="B120" s="165"/>
      <c r="C120" s="166"/>
      <c r="D120" s="166"/>
      <c r="E120" s="166"/>
      <c r="F120" s="166"/>
      <c r="G120" s="104"/>
      <c r="H120" s="84"/>
      <c r="I120" s="84"/>
      <c r="J120" s="154"/>
      <c r="K120" s="152"/>
    </row>
    <row r="121" spans="1:11" ht="13.5" customHeight="1">
      <c r="A121" s="164">
        <v>2025.1</v>
      </c>
      <c r="B121" s="165">
        <v>1987.8</v>
      </c>
      <c r="C121" s="166">
        <v>78.430000000000007</v>
      </c>
      <c r="D121" s="166">
        <v>2127.0300000000002</v>
      </c>
      <c r="E121" s="166">
        <v>4252</v>
      </c>
      <c r="F121" s="166">
        <v>8956.42</v>
      </c>
      <c r="G121" s="104">
        <v>7094.29</v>
      </c>
      <c r="H121" s="84"/>
      <c r="I121" s="84"/>
      <c r="J121" s="154"/>
      <c r="K121" s="152"/>
    </row>
    <row r="122" spans="1:11" ht="13.5" customHeight="1">
      <c r="A122" s="164">
        <v>2</v>
      </c>
      <c r="B122" s="165">
        <v>62.81</v>
      </c>
      <c r="C122" s="166">
        <v>162.77000000000001</v>
      </c>
      <c r="D122" s="166">
        <v>2151.88</v>
      </c>
      <c r="E122" s="166">
        <v>5541.8</v>
      </c>
      <c r="F122" s="166">
        <v>3514.54</v>
      </c>
      <c r="G122" s="104">
        <v>7841.81</v>
      </c>
      <c r="H122" s="84"/>
      <c r="I122" s="84"/>
      <c r="J122" s="154"/>
      <c r="K122" s="152"/>
    </row>
    <row r="123" spans="1:11" ht="13.5" customHeight="1">
      <c r="A123" s="164">
        <v>3</v>
      </c>
      <c r="B123" s="165">
        <v>243.64</v>
      </c>
      <c r="C123" s="166">
        <v>108.38</v>
      </c>
      <c r="D123" s="166">
        <v>2074.77</v>
      </c>
      <c r="E123" s="166">
        <v>5572</v>
      </c>
      <c r="F123" s="166">
        <v>6294.98</v>
      </c>
      <c r="G123" s="104">
        <v>11870.25</v>
      </c>
      <c r="H123" s="84"/>
      <c r="I123" s="84"/>
      <c r="J123" s="154"/>
      <c r="K123" s="152"/>
    </row>
    <row r="124" spans="1:11" ht="13.5" customHeight="1">
      <c r="A124" s="164"/>
      <c r="B124" s="165"/>
      <c r="C124" s="166"/>
      <c r="D124" s="166"/>
      <c r="E124" s="166"/>
      <c r="F124" s="166"/>
      <c r="G124" s="104"/>
      <c r="H124" s="84"/>
      <c r="I124" s="84"/>
      <c r="J124" s="154"/>
      <c r="K124" s="152"/>
    </row>
    <row r="125" spans="1:11" ht="13.5" customHeight="1">
      <c r="A125" s="164">
        <v>4</v>
      </c>
      <c r="B125" s="165">
        <v>789.45</v>
      </c>
      <c r="C125" s="166">
        <v>157.25</v>
      </c>
      <c r="D125" s="166">
        <v>1839.47</v>
      </c>
      <c r="E125" s="166">
        <v>5572</v>
      </c>
      <c r="F125" s="166">
        <v>5896.36</v>
      </c>
      <c r="G125" s="104">
        <v>8278.61</v>
      </c>
      <c r="H125" s="84"/>
      <c r="I125" s="84"/>
      <c r="J125" s="154"/>
      <c r="K125" s="152"/>
    </row>
    <row r="126" spans="1:11" ht="13.5" customHeight="1">
      <c r="A126" s="164">
        <v>5</v>
      </c>
      <c r="B126" s="165">
        <v>618.70000000000005</v>
      </c>
      <c r="C126" s="166">
        <v>67.83</v>
      </c>
      <c r="D126" s="166">
        <v>2171.44</v>
      </c>
      <c r="E126" s="166">
        <v>5572</v>
      </c>
      <c r="F126" s="166">
        <v>5534.4</v>
      </c>
      <c r="G126" s="104">
        <v>9652.7800000000007</v>
      </c>
      <c r="H126" s="84"/>
      <c r="I126" s="84"/>
      <c r="J126" s="154"/>
      <c r="K126" s="152"/>
    </row>
    <row r="127" spans="1:11" ht="13.5" customHeight="1">
      <c r="A127" s="164">
        <v>6</v>
      </c>
      <c r="B127" s="165">
        <v>506.88</v>
      </c>
      <c r="C127" s="166">
        <v>73.489999999999995</v>
      </c>
      <c r="D127" s="166">
        <v>2080.04</v>
      </c>
      <c r="E127" s="166">
        <v>5572</v>
      </c>
      <c r="F127" s="166">
        <v>6349.03</v>
      </c>
      <c r="G127" s="104">
        <v>13513.04</v>
      </c>
      <c r="H127" s="84"/>
      <c r="I127" s="84"/>
      <c r="J127" s="154"/>
      <c r="K127" s="152"/>
    </row>
    <row r="128" spans="1:11" ht="13.5" customHeight="1">
      <c r="A128" s="164"/>
      <c r="B128" s="165"/>
      <c r="C128" s="166"/>
      <c r="D128" s="166"/>
      <c r="E128" s="166"/>
      <c r="F128" s="166"/>
      <c r="G128" s="104"/>
      <c r="H128" s="84"/>
      <c r="I128" s="84"/>
      <c r="J128" s="154"/>
      <c r="K128" s="152"/>
    </row>
    <row r="129" spans="1:21" ht="13.5" customHeight="1">
      <c r="A129" s="164">
        <v>7</v>
      </c>
      <c r="B129" s="165">
        <v>812.66</v>
      </c>
      <c r="C129" s="166">
        <v>100.45</v>
      </c>
      <c r="D129" s="166">
        <v>1717.0439999999999</v>
      </c>
      <c r="E129" s="166">
        <v>5572</v>
      </c>
      <c r="F129" s="166">
        <v>8739.82</v>
      </c>
      <c r="G129" s="104">
        <v>10710.88</v>
      </c>
      <c r="H129" s="84"/>
      <c r="I129" s="154"/>
      <c r="J129" s="154"/>
      <c r="K129" s="154"/>
      <c r="L129" s="154"/>
      <c r="M129" s="154"/>
      <c r="N129" s="154"/>
    </row>
    <row r="130" spans="1:21" ht="13.5" customHeight="1">
      <c r="A130" s="164">
        <v>8</v>
      </c>
      <c r="B130" s="165">
        <v>659.64</v>
      </c>
      <c r="C130" s="166">
        <v>19.989999999999998</v>
      </c>
      <c r="D130" s="166">
        <v>1614.29</v>
      </c>
      <c r="E130" s="166">
        <v>5570.1</v>
      </c>
      <c r="F130" s="166">
        <v>3590.22</v>
      </c>
      <c r="G130" s="104">
        <v>8769.18</v>
      </c>
      <c r="H130" s="84"/>
      <c r="I130" s="154"/>
      <c r="J130" s="154"/>
      <c r="K130" s="154"/>
      <c r="L130" s="154"/>
      <c r="M130" s="154"/>
      <c r="N130" s="154"/>
    </row>
    <row r="131" spans="1:21" ht="13.5" customHeight="1">
      <c r="A131" s="164">
        <v>9</v>
      </c>
      <c r="B131" s="165">
        <v>2415.4699999999998</v>
      </c>
      <c r="C131" s="166">
        <v>98.66</v>
      </c>
      <c r="D131" s="166">
        <v>2010.83</v>
      </c>
      <c r="E131" s="166">
        <v>5572</v>
      </c>
      <c r="F131" s="166">
        <v>6656.67</v>
      </c>
      <c r="G131" s="104">
        <v>10222.469999999999</v>
      </c>
      <c r="H131" s="84"/>
      <c r="I131" s="154"/>
      <c r="J131" s="154"/>
      <c r="K131" s="154"/>
      <c r="L131" s="154"/>
      <c r="M131" s="154"/>
      <c r="N131" s="154"/>
    </row>
    <row r="132" spans="1:21" ht="13.5" customHeight="1">
      <c r="A132" s="164"/>
      <c r="B132" s="165"/>
      <c r="C132" s="166"/>
      <c r="D132" s="166"/>
      <c r="E132" s="166"/>
      <c r="F132" s="166"/>
      <c r="G132" s="104"/>
      <c r="H132" s="84"/>
      <c r="I132" s="154"/>
      <c r="J132" s="154"/>
      <c r="K132" s="154"/>
      <c r="L132" s="154"/>
      <c r="M132" s="154"/>
      <c r="N132" s="154"/>
    </row>
    <row r="133" spans="1:21" ht="13.5" customHeight="1">
      <c r="A133" s="164">
        <v>10</v>
      </c>
      <c r="B133" s="165">
        <v>290.36</v>
      </c>
      <c r="C133" s="166">
        <v>23.92</v>
      </c>
      <c r="D133" s="166">
        <v>1872.16</v>
      </c>
      <c r="E133" s="166">
        <v>5572</v>
      </c>
      <c r="F133" s="166">
        <v>8383.5499999999993</v>
      </c>
      <c r="G133" s="104">
        <v>9118.69</v>
      </c>
      <c r="H133" s="84"/>
      <c r="I133" s="154"/>
      <c r="J133" s="154"/>
      <c r="K133" s="154"/>
      <c r="L133" s="154"/>
      <c r="M133" s="154"/>
      <c r="N133" s="154"/>
    </row>
    <row r="134" spans="1:21" s="163" customFormat="1" ht="13.5" customHeight="1">
      <c r="A134" s="164">
        <v>11</v>
      </c>
      <c r="B134" s="165">
        <v>334.49</v>
      </c>
      <c r="C134" s="166">
        <v>163.37</v>
      </c>
      <c r="D134" s="166">
        <v>1790.35</v>
      </c>
      <c r="E134" s="166">
        <v>5572</v>
      </c>
      <c r="F134" s="166">
        <v>5381.74</v>
      </c>
      <c r="G134" s="104">
        <v>8375.01</v>
      </c>
      <c r="H134" s="160"/>
      <c r="I134" s="154"/>
      <c r="J134" s="154"/>
      <c r="K134" s="154"/>
      <c r="L134" s="154"/>
      <c r="M134" s="154"/>
      <c r="N134" s="154"/>
      <c r="P134" s="12"/>
      <c r="Q134" s="12"/>
      <c r="R134" s="12"/>
      <c r="S134" s="12"/>
      <c r="T134" s="12"/>
      <c r="U134" s="12"/>
    </row>
    <row r="135" spans="1:21" s="163" customFormat="1" ht="13.5" customHeight="1">
      <c r="A135" s="164">
        <v>12</v>
      </c>
      <c r="B135" s="165">
        <v>1006.85</v>
      </c>
      <c r="C135" s="166">
        <v>87.24</v>
      </c>
      <c r="D135" s="166">
        <v>1591.18</v>
      </c>
      <c r="E135" s="166">
        <v>5572</v>
      </c>
      <c r="F135" s="166">
        <v>8782.67</v>
      </c>
      <c r="G135" s="104">
        <v>14164.47</v>
      </c>
      <c r="H135" s="160"/>
      <c r="I135" s="84"/>
      <c r="J135" s="84"/>
      <c r="K135" s="84"/>
      <c r="L135" s="84"/>
      <c r="M135" s="84"/>
      <c r="N135" s="84"/>
      <c r="P135" s="12"/>
      <c r="Q135" s="12"/>
      <c r="R135" s="12"/>
      <c r="S135" s="12"/>
      <c r="T135" s="12"/>
      <c r="U135" s="12"/>
    </row>
    <row r="136" spans="1:21" s="163" customFormat="1" ht="13.5" customHeight="1">
      <c r="A136" s="164"/>
      <c r="B136" s="165"/>
      <c r="C136" s="166"/>
      <c r="D136" s="166"/>
      <c r="E136" s="166"/>
      <c r="F136" s="166"/>
      <c r="G136" s="266"/>
      <c r="H136" s="160"/>
      <c r="I136" s="84"/>
      <c r="J136" s="84"/>
      <c r="K136" s="84"/>
      <c r="L136" s="84"/>
      <c r="M136" s="84"/>
      <c r="N136" s="84"/>
      <c r="P136" s="12"/>
      <c r="Q136" s="12"/>
      <c r="R136" s="12"/>
      <c r="S136" s="12"/>
      <c r="T136" s="12"/>
      <c r="U136" s="12"/>
    </row>
    <row r="137" spans="1:21" s="163" customFormat="1" ht="13.5" customHeight="1">
      <c r="A137" s="164">
        <v>2026.1</v>
      </c>
      <c r="B137" s="165">
        <v>924.12</v>
      </c>
      <c r="C137" s="166">
        <v>59.48</v>
      </c>
      <c r="D137" s="85">
        <v>1883.29</v>
      </c>
      <c r="E137" s="85">
        <v>5572</v>
      </c>
      <c r="F137" s="85">
        <v>9368.5</v>
      </c>
      <c r="G137" s="266">
        <v>7897.15</v>
      </c>
      <c r="H137" s="160"/>
      <c r="I137" s="84"/>
      <c r="J137" s="84"/>
      <c r="K137" s="84"/>
      <c r="L137" s="84"/>
      <c r="M137" s="84"/>
      <c r="N137" s="84"/>
      <c r="P137" s="12"/>
      <c r="Q137" s="12"/>
      <c r="R137" s="12"/>
      <c r="S137" s="12"/>
      <c r="T137" s="12"/>
      <c r="U137" s="12"/>
    </row>
    <row r="138" spans="1:21" ht="13.5" customHeight="1">
      <c r="A138" s="164">
        <v>2</v>
      </c>
      <c r="B138" s="165">
        <v>2155.6799999999998</v>
      </c>
      <c r="C138" s="166">
        <v>21.05</v>
      </c>
      <c r="D138" s="166">
        <v>1763.39</v>
      </c>
      <c r="E138" s="166">
        <v>5572</v>
      </c>
      <c r="F138" s="166">
        <v>3334.09</v>
      </c>
      <c r="G138" s="266">
        <v>7605.16</v>
      </c>
      <c r="H138" s="84"/>
      <c r="I138" s="84"/>
      <c r="J138" s="135"/>
    </row>
    <row r="139" spans="1:21" ht="13.5" customHeight="1">
      <c r="A139" s="164">
        <v>3</v>
      </c>
      <c r="B139" s="165">
        <v>79.66</v>
      </c>
      <c r="C139" s="166">
        <v>292.02</v>
      </c>
      <c r="D139" s="85">
        <v>1681.03</v>
      </c>
      <c r="E139" s="85">
        <v>5572</v>
      </c>
      <c r="F139" s="85">
        <v>6633.78</v>
      </c>
      <c r="G139" s="266">
        <v>12556.47</v>
      </c>
      <c r="H139" s="84"/>
      <c r="I139" s="84"/>
      <c r="J139" s="135"/>
    </row>
    <row r="140" spans="1:21">
      <c r="A140" s="164"/>
      <c r="B140" s="165"/>
      <c r="C140" s="166"/>
      <c r="D140" s="85"/>
      <c r="E140" s="85"/>
      <c r="F140" s="85"/>
      <c r="G140" s="266"/>
    </row>
    <row r="141" spans="1:21">
      <c r="A141" s="230" t="s">
        <v>267</v>
      </c>
      <c r="B141" s="222">
        <v>725.95</v>
      </c>
      <c r="C141" s="223">
        <v>130.53</v>
      </c>
      <c r="D141" s="226">
        <v>1438.33</v>
      </c>
      <c r="E141" s="226">
        <v>5572</v>
      </c>
      <c r="F141" s="226">
        <v>7834.14</v>
      </c>
      <c r="G141" s="235">
        <v>11485.59</v>
      </c>
    </row>
    <row r="142" spans="1:21" ht="16.5">
      <c r="A142" s="23" t="s">
        <v>101</v>
      </c>
      <c r="B142" s="23"/>
      <c r="C142" s="27"/>
      <c r="D142" s="131"/>
      <c r="E142" s="131"/>
      <c r="F142" s="134"/>
      <c r="G142" s="134"/>
    </row>
    <row r="143" spans="1:21" ht="16.5">
      <c r="B143" s="225"/>
      <c r="D143" s="14"/>
      <c r="E143" s="14"/>
    </row>
    <row r="144" spans="1:21">
      <c r="D144" s="135"/>
      <c r="E144" s="135"/>
    </row>
    <row r="147" spans="12:17">
      <c r="L147" s="105"/>
      <c r="M147" s="105"/>
      <c r="N147" s="105"/>
      <c r="O147" s="105"/>
      <c r="P147" s="105"/>
      <c r="Q147" s="105"/>
    </row>
    <row r="148" spans="12:17">
      <c r="L148" s="105"/>
      <c r="M148" s="105"/>
      <c r="N148" s="105"/>
      <c r="O148" s="105"/>
      <c r="P148" s="105"/>
      <c r="Q148" s="105"/>
    </row>
  </sheetData>
  <sortState ref="A42:G46">
    <sortCondition ref="D46"/>
  </sortState>
  <mergeCells count="4">
    <mergeCell ref="F6:G6"/>
    <mergeCell ref="A6:A7"/>
    <mergeCell ref="B6:C6"/>
    <mergeCell ref="D6:E6"/>
  </mergeCells>
  <phoneticPr fontId="9" type="noConversion"/>
  <printOptions horizontalCentered="1"/>
  <pageMargins left="0.55118110236220474" right="0.55118110236220474" top="0.78740157480314965" bottom="0.78740157480314965" header="0.39370078740157483" footer="0.39370078740157483"/>
  <pageSetup paperSize="9" scale="3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E139"/>
  <sheetViews>
    <sheetView zoomScale="85" zoomScaleNormal="85" workbookViewId="0">
      <pane xSplit="1" ySplit="7" topLeftCell="B116" activePane="bottomRight" state="frozen"/>
      <selection activeCell="E91" sqref="E91"/>
      <selection pane="topRight" activeCell="E91" sqref="E91"/>
      <selection pane="bottomLeft" activeCell="E91" sqref="E91"/>
      <selection pane="bottomRight" activeCell="C139" sqref="C139"/>
    </sheetView>
  </sheetViews>
  <sheetFormatPr defaultColWidth="8.88671875" defaultRowHeight="13.5"/>
  <cols>
    <col min="1" max="1" width="10.77734375" style="12" customWidth="1"/>
    <col min="2" max="10" width="9.77734375" style="12" customWidth="1"/>
    <col min="11" max="16384" width="8.88671875" style="12"/>
  </cols>
  <sheetData>
    <row r="1" spans="1:11" s="1" customFormat="1" ht="12">
      <c r="A1" s="53"/>
      <c r="B1" s="53"/>
      <c r="C1" s="53"/>
      <c r="D1" s="53"/>
      <c r="E1" s="53"/>
      <c r="F1" s="53"/>
      <c r="G1" s="53"/>
      <c r="H1" s="53"/>
      <c r="I1" s="54"/>
      <c r="J1" s="48"/>
    </row>
    <row r="2" spans="1:11">
      <c r="A2" s="278" t="s">
        <v>97</v>
      </c>
      <c r="B2" s="278"/>
      <c r="C2" s="278"/>
      <c r="D2" s="278"/>
      <c r="E2" s="278"/>
      <c r="F2" s="278"/>
      <c r="G2" s="278"/>
      <c r="H2" s="278"/>
      <c r="I2" s="278"/>
      <c r="J2" s="278"/>
    </row>
    <row r="3" spans="1:11" s="1" customFormat="1" ht="12">
      <c r="A3" s="111"/>
      <c r="B3" s="111"/>
      <c r="C3" s="111"/>
      <c r="D3" s="111"/>
      <c r="E3" s="111"/>
      <c r="F3" s="111"/>
      <c r="G3" s="111"/>
      <c r="H3" s="111"/>
      <c r="I3" s="111"/>
      <c r="J3" s="111"/>
    </row>
    <row r="4" spans="1:11" s="1" customFormat="1" ht="12">
      <c r="A4" s="52" t="s">
        <v>103</v>
      </c>
      <c r="B4" s="111"/>
      <c r="C4" s="111"/>
      <c r="D4" s="111"/>
      <c r="E4" s="111"/>
      <c r="F4" s="111"/>
      <c r="G4" s="111"/>
      <c r="H4" s="111"/>
      <c r="I4" s="111"/>
      <c r="J4" s="111"/>
    </row>
    <row r="5" spans="1:11" s="1" customFormat="1" ht="12">
      <c r="A5" s="1" t="s">
        <v>98</v>
      </c>
      <c r="C5" s="50"/>
      <c r="D5" s="50"/>
      <c r="E5" s="50"/>
      <c r="F5" s="50"/>
      <c r="G5" s="50"/>
      <c r="H5" s="4"/>
      <c r="I5" s="4"/>
      <c r="J5" s="4" t="s">
        <v>92</v>
      </c>
    </row>
    <row r="6" spans="1:11" s="29" customFormat="1" ht="20.25" customHeight="1">
      <c r="A6" s="276" t="s">
        <v>21</v>
      </c>
      <c r="B6" s="279" t="s">
        <v>40</v>
      </c>
      <c r="C6" s="271" t="s">
        <v>41</v>
      </c>
      <c r="D6" s="272"/>
      <c r="E6" s="275"/>
      <c r="F6" s="271" t="s">
        <v>45</v>
      </c>
      <c r="G6" s="272"/>
      <c r="H6" s="272"/>
      <c r="I6" s="272"/>
      <c r="J6" s="272"/>
    </row>
    <row r="7" spans="1:11" s="29" customFormat="1" ht="20.25" customHeight="1">
      <c r="A7" s="277"/>
      <c r="B7" s="280"/>
      <c r="C7" s="6" t="s">
        <v>42</v>
      </c>
      <c r="D7" s="15" t="s">
        <v>43</v>
      </c>
      <c r="E7" s="16" t="s">
        <v>44</v>
      </c>
      <c r="F7" s="7" t="s">
        <v>42</v>
      </c>
      <c r="G7" s="15" t="s">
        <v>46</v>
      </c>
      <c r="H7" s="9" t="s">
        <v>47</v>
      </c>
      <c r="I7" s="38" t="s">
        <v>48</v>
      </c>
      <c r="J7" s="16" t="s">
        <v>49</v>
      </c>
    </row>
    <row r="8" spans="1:11" s="27" customFormat="1" ht="13.5" customHeight="1">
      <c r="A8" s="72" t="s">
        <v>50</v>
      </c>
      <c r="B8" s="86">
        <v>137537.13999999998</v>
      </c>
      <c r="C8" s="87">
        <v>131623.15</v>
      </c>
      <c r="D8" s="87">
        <v>19316.43</v>
      </c>
      <c r="E8" s="86">
        <v>112306.72</v>
      </c>
      <c r="F8" s="87">
        <v>5913.99</v>
      </c>
      <c r="G8" s="86">
        <v>1109.03</v>
      </c>
      <c r="H8" s="87">
        <v>4731.1400000000003</v>
      </c>
      <c r="I8" s="87">
        <v>5.97</v>
      </c>
      <c r="J8" s="98">
        <v>67.849999999999994</v>
      </c>
    </row>
    <row r="9" spans="1:11" s="27" customFormat="1" ht="13.5" customHeight="1">
      <c r="A9" s="72" t="s">
        <v>81</v>
      </c>
      <c r="B9" s="86">
        <v>142815.49</v>
      </c>
      <c r="C9" s="87">
        <v>137184.57</v>
      </c>
      <c r="D9" s="87">
        <v>21737.83</v>
      </c>
      <c r="E9" s="86">
        <v>115446.74</v>
      </c>
      <c r="F9" s="87">
        <v>5630.92</v>
      </c>
      <c r="G9" s="86">
        <v>791.02</v>
      </c>
      <c r="H9" s="87">
        <v>4740.3900000000003</v>
      </c>
      <c r="I9" s="87">
        <v>10.32</v>
      </c>
      <c r="J9" s="98">
        <v>89.19</v>
      </c>
      <c r="K9" s="31"/>
    </row>
    <row r="10" spans="1:11" s="27" customFormat="1" ht="13.5" customHeight="1">
      <c r="A10" s="72" t="s">
        <v>86</v>
      </c>
      <c r="B10" s="86">
        <v>152112.81</v>
      </c>
      <c r="C10" s="87">
        <v>148087.47</v>
      </c>
      <c r="D10" s="87">
        <v>23789.94</v>
      </c>
      <c r="E10" s="86">
        <v>124297.54</v>
      </c>
      <c r="F10" s="87">
        <v>4025.34</v>
      </c>
      <c r="G10" s="86">
        <v>289.43</v>
      </c>
      <c r="H10" s="87">
        <v>3637.24</v>
      </c>
      <c r="I10" s="87">
        <v>1.52</v>
      </c>
      <c r="J10" s="98">
        <v>97.15</v>
      </c>
      <c r="K10" s="31"/>
    </row>
    <row r="11" spans="1:11" s="27" customFormat="1" ht="13.5" customHeight="1">
      <c r="A11" s="72" t="s">
        <v>128</v>
      </c>
      <c r="B11" s="86">
        <v>162743.16</v>
      </c>
      <c r="C11" s="87">
        <v>156641.41</v>
      </c>
      <c r="D11" s="87">
        <v>29090.880000000001</v>
      </c>
      <c r="E11" s="86">
        <v>127550.53</v>
      </c>
      <c r="F11" s="87">
        <v>6101.75</v>
      </c>
      <c r="G11" s="86">
        <v>2579.41</v>
      </c>
      <c r="H11" s="87">
        <v>3448.92</v>
      </c>
      <c r="I11" s="87">
        <v>0</v>
      </c>
      <c r="J11" s="98">
        <v>73.42</v>
      </c>
      <c r="K11" s="31"/>
    </row>
    <row r="12" spans="1:11" s="27" customFormat="1" ht="13.5" customHeight="1">
      <c r="A12" s="72"/>
      <c r="B12" s="86"/>
      <c r="C12" s="87"/>
      <c r="D12" s="87"/>
      <c r="E12" s="86"/>
      <c r="F12" s="87"/>
      <c r="G12" s="86"/>
      <c r="H12" s="87"/>
      <c r="I12" s="87"/>
      <c r="J12" s="98"/>
      <c r="K12" s="31"/>
    </row>
    <row r="13" spans="1:11" s="27" customFormat="1" ht="13.5" customHeight="1">
      <c r="A13" s="92" t="s">
        <v>134</v>
      </c>
      <c r="B13" s="86">
        <v>272974.89</v>
      </c>
      <c r="C13" s="87">
        <v>226698.6</v>
      </c>
      <c r="D13" s="87">
        <v>35703.81</v>
      </c>
      <c r="E13" s="86">
        <v>190994.79</v>
      </c>
      <c r="F13" s="87">
        <v>46276.29</v>
      </c>
      <c r="G13" s="86">
        <v>5210.84</v>
      </c>
      <c r="H13" s="87">
        <v>41057.519999999997</v>
      </c>
      <c r="I13" s="87">
        <v>0</v>
      </c>
      <c r="J13" s="98">
        <v>7.93</v>
      </c>
      <c r="K13" s="31"/>
    </row>
    <row r="14" spans="1:11" s="27" customFormat="1" ht="13.5" customHeight="1">
      <c r="A14" s="92" t="s">
        <v>141</v>
      </c>
      <c r="B14" s="86">
        <v>305747.65000000002</v>
      </c>
      <c r="C14" s="87">
        <v>237752.7</v>
      </c>
      <c r="D14" s="87">
        <v>41324.61</v>
      </c>
      <c r="E14" s="86">
        <v>196428.09</v>
      </c>
      <c r="F14" s="87">
        <v>67994.95</v>
      </c>
      <c r="G14" s="86">
        <v>14304.9</v>
      </c>
      <c r="H14" s="87">
        <v>53688.77</v>
      </c>
      <c r="I14" s="87">
        <v>0</v>
      </c>
      <c r="J14" s="98">
        <v>1.28</v>
      </c>
      <c r="K14" s="31"/>
    </row>
    <row r="15" spans="1:11" s="27" customFormat="1" ht="13.5" customHeight="1">
      <c r="A15" s="92" t="s">
        <v>148</v>
      </c>
      <c r="B15" s="86">
        <v>300453.59000000003</v>
      </c>
      <c r="C15" s="86">
        <v>236803.62</v>
      </c>
      <c r="D15" s="86">
        <v>42793.97</v>
      </c>
      <c r="E15" s="86">
        <v>194009.65</v>
      </c>
      <c r="F15" s="86">
        <v>63649.97</v>
      </c>
      <c r="G15" s="86">
        <v>13955.65</v>
      </c>
      <c r="H15" s="86">
        <v>49694.239999999998</v>
      </c>
      <c r="I15" s="86">
        <v>0</v>
      </c>
      <c r="J15" s="98">
        <v>0.08</v>
      </c>
      <c r="K15" s="31"/>
    </row>
    <row r="16" spans="1:11" s="27" customFormat="1" ht="13.5" customHeight="1">
      <c r="A16" s="218" t="s">
        <v>149</v>
      </c>
      <c r="B16" s="86">
        <v>296934.82</v>
      </c>
      <c r="C16" s="86">
        <v>255012.99</v>
      </c>
      <c r="D16" s="86">
        <v>48811.18</v>
      </c>
      <c r="E16" s="86">
        <v>206201.81</v>
      </c>
      <c r="F16" s="86">
        <v>41921.83</v>
      </c>
      <c r="G16" s="86">
        <v>1534.08</v>
      </c>
      <c r="H16" s="86">
        <v>40387.730000000003</v>
      </c>
      <c r="I16" s="86">
        <v>0</v>
      </c>
      <c r="J16" s="98">
        <v>0.02</v>
      </c>
      <c r="K16" s="31"/>
    </row>
    <row r="17" spans="1:20" s="27" customFormat="1" ht="13.5" customHeight="1">
      <c r="A17" s="218" t="s">
        <v>154</v>
      </c>
      <c r="B17" s="86">
        <v>267774.11</v>
      </c>
      <c r="C17" s="86">
        <v>249394.51</v>
      </c>
      <c r="D17" s="86">
        <v>61922.94</v>
      </c>
      <c r="E17" s="86">
        <v>187471.57</v>
      </c>
      <c r="F17" s="86">
        <v>18379.599999999999</v>
      </c>
      <c r="G17" s="86">
        <v>71.63</v>
      </c>
      <c r="H17" s="86">
        <v>18307.97</v>
      </c>
      <c r="I17" s="86">
        <v>0</v>
      </c>
      <c r="J17" s="98">
        <v>0</v>
      </c>
      <c r="K17" s="31"/>
    </row>
    <row r="18" spans="1:20" ht="13.5" customHeight="1">
      <c r="A18" s="60"/>
      <c r="B18" s="86"/>
      <c r="C18" s="87"/>
      <c r="D18" s="87"/>
      <c r="E18" s="86"/>
      <c r="F18" s="87"/>
      <c r="G18" s="86"/>
      <c r="H18" s="87"/>
      <c r="I18" s="87"/>
      <c r="J18" s="98"/>
      <c r="K18" s="13"/>
    </row>
    <row r="19" spans="1:20" ht="13.5" customHeight="1">
      <c r="A19" s="218" t="s">
        <v>157</v>
      </c>
      <c r="B19" s="86">
        <v>288157.28999999998</v>
      </c>
      <c r="C19" s="86">
        <v>280547.75</v>
      </c>
      <c r="D19" s="86">
        <v>65800.350000000006</v>
      </c>
      <c r="E19" s="86">
        <v>214747.4</v>
      </c>
      <c r="F19" s="86">
        <v>7609.54</v>
      </c>
      <c r="G19" s="86">
        <v>73.92</v>
      </c>
      <c r="H19" s="86">
        <v>7534.97</v>
      </c>
      <c r="I19" s="86">
        <v>0</v>
      </c>
      <c r="J19" s="98">
        <v>0.65</v>
      </c>
      <c r="K19" s="13"/>
    </row>
    <row r="20" spans="1:20" ht="13.5" customHeight="1">
      <c r="A20" s="218" t="s">
        <v>210</v>
      </c>
      <c r="B20" s="86">
        <v>349876.11</v>
      </c>
      <c r="C20" s="86">
        <v>310304.46000000002</v>
      </c>
      <c r="D20" s="86">
        <v>67975.19</v>
      </c>
      <c r="E20" s="86">
        <v>242329.27</v>
      </c>
      <c r="F20" s="86">
        <v>39571.65</v>
      </c>
      <c r="G20" s="86">
        <v>40.369999999999997</v>
      </c>
      <c r="H20" s="86">
        <v>39531.06</v>
      </c>
      <c r="I20" s="86">
        <v>0</v>
      </c>
      <c r="J20" s="98">
        <v>0.22</v>
      </c>
      <c r="K20" s="13"/>
    </row>
    <row r="21" spans="1:20" ht="13.5" customHeight="1">
      <c r="A21" s="218" t="s">
        <v>238</v>
      </c>
      <c r="B21" s="98">
        <v>353007.76</v>
      </c>
      <c r="C21" s="87">
        <v>325276.90999999997</v>
      </c>
      <c r="D21" s="98">
        <v>72008.86</v>
      </c>
      <c r="E21" s="87">
        <v>253268.05</v>
      </c>
      <c r="F21" s="98">
        <v>27730.85</v>
      </c>
      <c r="G21" s="87">
        <v>980.33</v>
      </c>
      <c r="H21" s="98">
        <v>26745.78</v>
      </c>
      <c r="I21" s="87">
        <v>4.26</v>
      </c>
      <c r="J21" s="98">
        <v>0.48</v>
      </c>
      <c r="K21" s="13"/>
    </row>
    <row r="22" spans="1:20" ht="13.5" customHeight="1">
      <c r="A22" s="218" t="s">
        <v>249</v>
      </c>
      <c r="B22" s="98">
        <f>B119</f>
        <v>369807.64</v>
      </c>
      <c r="C22" s="87">
        <f t="shared" ref="C22:J22" si="0">C119</f>
        <v>334927.86</v>
      </c>
      <c r="D22" s="98">
        <f t="shared" si="0"/>
        <v>72008.2</v>
      </c>
      <c r="E22" s="86">
        <f t="shared" si="0"/>
        <v>262919.65999999997</v>
      </c>
      <c r="F22" s="98">
        <f t="shared" si="0"/>
        <v>34879.78</v>
      </c>
      <c r="G22" s="86">
        <f t="shared" si="0"/>
        <v>1754.23</v>
      </c>
      <c r="H22" s="98">
        <f t="shared" si="0"/>
        <v>33123.32</v>
      </c>
      <c r="I22" s="87">
        <f t="shared" si="0"/>
        <v>1.98</v>
      </c>
      <c r="J22" s="98">
        <f t="shared" si="0"/>
        <v>0.25</v>
      </c>
      <c r="K22" s="13"/>
      <c r="L22" s="98"/>
      <c r="M22" s="98"/>
      <c r="N22" s="98"/>
      <c r="O22" s="98"/>
      <c r="P22" s="98"/>
      <c r="Q22" s="98"/>
      <c r="R22" s="98"/>
      <c r="S22" s="98"/>
      <c r="T22" s="98"/>
    </row>
    <row r="23" spans="1:20" ht="13.5" customHeight="1">
      <c r="A23" s="218" t="s">
        <v>264</v>
      </c>
      <c r="B23" s="98">
        <v>354717.29</v>
      </c>
      <c r="C23" s="87">
        <v>325429.05</v>
      </c>
      <c r="D23" s="98">
        <v>70883.61</v>
      </c>
      <c r="E23" s="86">
        <v>254545.44</v>
      </c>
      <c r="F23" s="98">
        <v>29288.240000000002</v>
      </c>
      <c r="G23" s="86">
        <v>1637.4</v>
      </c>
      <c r="H23" s="98">
        <v>27646.26</v>
      </c>
      <c r="I23" s="87">
        <v>4.17</v>
      </c>
      <c r="J23" s="98">
        <v>0.41</v>
      </c>
      <c r="K23" s="13"/>
      <c r="L23" s="98"/>
      <c r="M23" s="98"/>
      <c r="N23" s="98"/>
      <c r="O23" s="98"/>
      <c r="P23" s="98"/>
      <c r="Q23" s="98"/>
      <c r="R23" s="98"/>
      <c r="S23" s="98"/>
      <c r="T23" s="98"/>
    </row>
    <row r="24" spans="1:20" ht="13.5" customHeight="1">
      <c r="A24" s="60"/>
      <c r="B24" s="86"/>
      <c r="C24" s="87"/>
      <c r="D24" s="87"/>
      <c r="E24" s="86"/>
      <c r="F24" s="87"/>
      <c r="G24" s="86"/>
      <c r="H24" s="87"/>
      <c r="I24" s="87"/>
      <c r="J24" s="98"/>
      <c r="K24" s="13"/>
    </row>
    <row r="25" spans="1:20" ht="13.5" customHeight="1">
      <c r="A25" s="83">
        <v>2019.1</v>
      </c>
      <c r="B25" s="87">
        <v>308243</v>
      </c>
      <c r="C25" s="87">
        <v>247872</v>
      </c>
      <c r="D25" s="98">
        <v>43529</v>
      </c>
      <c r="E25" s="87">
        <v>204343</v>
      </c>
      <c r="F25" s="98">
        <v>60371</v>
      </c>
      <c r="G25" s="87">
        <v>13698</v>
      </c>
      <c r="H25" s="98">
        <v>46672</v>
      </c>
      <c r="I25" s="87">
        <v>0</v>
      </c>
      <c r="J25" s="98">
        <v>1</v>
      </c>
      <c r="K25" s="13"/>
    </row>
    <row r="26" spans="1:20" ht="13.5" customHeight="1">
      <c r="A26" s="83">
        <v>2</v>
      </c>
      <c r="B26" s="87">
        <v>315156.82</v>
      </c>
      <c r="C26" s="87">
        <v>264096.99</v>
      </c>
      <c r="D26" s="98">
        <v>47866.53</v>
      </c>
      <c r="E26" s="87">
        <v>216230.46</v>
      </c>
      <c r="F26" s="98">
        <v>51059.83</v>
      </c>
      <c r="G26" s="87">
        <v>12575.68</v>
      </c>
      <c r="H26" s="98">
        <v>38479.599999999999</v>
      </c>
      <c r="I26" s="87">
        <v>0</v>
      </c>
      <c r="J26" s="98">
        <v>4.55</v>
      </c>
      <c r="K26" s="13"/>
    </row>
    <row r="27" spans="1:20" ht="13.5" customHeight="1">
      <c r="A27" s="83">
        <v>3</v>
      </c>
      <c r="B27" s="87">
        <v>322902.15999999997</v>
      </c>
      <c r="C27" s="87">
        <v>267316.63</v>
      </c>
      <c r="D27" s="98">
        <v>48320.36</v>
      </c>
      <c r="E27" s="87">
        <v>218996.27</v>
      </c>
      <c r="F27" s="98">
        <v>55585.53</v>
      </c>
      <c r="G27" s="87">
        <v>10533.83</v>
      </c>
      <c r="H27" s="98">
        <v>45051.08</v>
      </c>
      <c r="I27" s="87">
        <v>0</v>
      </c>
      <c r="J27" s="98">
        <v>0.62</v>
      </c>
      <c r="K27" s="13"/>
    </row>
    <row r="28" spans="1:20" ht="13.5" customHeight="1">
      <c r="A28" s="83"/>
      <c r="B28" s="87"/>
      <c r="C28" s="87"/>
      <c r="D28" s="98"/>
      <c r="E28" s="87"/>
      <c r="F28" s="98"/>
      <c r="G28" s="87"/>
      <c r="H28" s="98"/>
      <c r="I28" s="87"/>
      <c r="J28" s="98"/>
      <c r="K28" s="13"/>
    </row>
    <row r="29" spans="1:20" ht="13.5" customHeight="1">
      <c r="A29" s="83">
        <v>4</v>
      </c>
      <c r="B29" s="87">
        <v>332300.34000000003</v>
      </c>
      <c r="C29" s="87">
        <v>279819.89</v>
      </c>
      <c r="D29" s="98">
        <v>50091.88</v>
      </c>
      <c r="E29" s="87">
        <v>229728.01</v>
      </c>
      <c r="F29" s="98">
        <v>52480.45</v>
      </c>
      <c r="G29" s="87">
        <v>9909.61</v>
      </c>
      <c r="H29" s="98">
        <v>42567.34</v>
      </c>
      <c r="I29" s="87">
        <v>0</v>
      </c>
      <c r="J29" s="98">
        <v>3.5</v>
      </c>
      <c r="K29" s="13"/>
    </row>
    <row r="30" spans="1:20" ht="13.5" customHeight="1">
      <c r="A30" s="83">
        <v>5</v>
      </c>
      <c r="B30" s="87">
        <v>341331.27</v>
      </c>
      <c r="C30" s="87">
        <v>290278.09000000003</v>
      </c>
      <c r="D30" s="98">
        <v>48672.08</v>
      </c>
      <c r="E30" s="87">
        <v>241606.01</v>
      </c>
      <c r="F30" s="98">
        <v>51053.18</v>
      </c>
      <c r="G30" s="87">
        <v>7360.67</v>
      </c>
      <c r="H30" s="98">
        <v>43688.61</v>
      </c>
      <c r="I30" s="87">
        <v>0</v>
      </c>
      <c r="J30" s="98">
        <v>3.9</v>
      </c>
      <c r="K30" s="13"/>
    </row>
    <row r="31" spans="1:20" ht="13.5" customHeight="1">
      <c r="A31" s="83">
        <v>6</v>
      </c>
      <c r="B31" s="87">
        <v>347127.1</v>
      </c>
      <c r="C31" s="87">
        <v>297857.84000000003</v>
      </c>
      <c r="D31" s="98">
        <v>54157.25</v>
      </c>
      <c r="E31" s="87">
        <v>243700.59</v>
      </c>
      <c r="F31" s="98">
        <v>49269.26</v>
      </c>
      <c r="G31" s="87">
        <v>7310.19</v>
      </c>
      <c r="H31" s="98">
        <v>41952.86</v>
      </c>
      <c r="I31" s="87">
        <v>0</v>
      </c>
      <c r="J31" s="98">
        <v>6.21</v>
      </c>
      <c r="K31" s="13"/>
    </row>
    <row r="32" spans="1:20" ht="13.5" customHeight="1">
      <c r="A32" s="83"/>
      <c r="B32" s="87"/>
      <c r="C32" s="87"/>
      <c r="D32" s="98"/>
      <c r="E32" s="87"/>
      <c r="F32" s="98"/>
      <c r="G32" s="87"/>
      <c r="H32" s="98"/>
      <c r="I32" s="87"/>
      <c r="J32" s="98"/>
      <c r="K32" s="13"/>
    </row>
    <row r="33" spans="1:11" ht="13.5" customHeight="1">
      <c r="A33" s="83">
        <v>7</v>
      </c>
      <c r="B33" s="87">
        <v>333365.26</v>
      </c>
      <c r="C33" s="87">
        <v>289821.90999999997</v>
      </c>
      <c r="D33" s="98">
        <v>46594.85</v>
      </c>
      <c r="E33" s="87">
        <v>243227.06</v>
      </c>
      <c r="F33" s="98">
        <v>43543.35</v>
      </c>
      <c r="G33" s="87">
        <v>3872.69</v>
      </c>
      <c r="H33" s="98">
        <v>39670.019999999997</v>
      </c>
      <c r="I33" s="87">
        <v>0</v>
      </c>
      <c r="J33" s="98">
        <v>0.64</v>
      </c>
      <c r="K33" s="13"/>
    </row>
    <row r="34" spans="1:11" ht="13.5" customHeight="1">
      <c r="A34" s="83">
        <v>8</v>
      </c>
      <c r="B34" s="87">
        <v>329289.27</v>
      </c>
      <c r="C34" s="87">
        <v>286254.28999999998</v>
      </c>
      <c r="D34" s="98">
        <v>47103.66</v>
      </c>
      <c r="E34" s="87">
        <v>239150.63</v>
      </c>
      <c r="F34" s="98">
        <v>43034.98</v>
      </c>
      <c r="G34" s="87">
        <v>3368.46</v>
      </c>
      <c r="H34" s="98">
        <v>39666.47</v>
      </c>
      <c r="I34" s="87">
        <v>0</v>
      </c>
      <c r="J34" s="98">
        <v>0.05</v>
      </c>
      <c r="K34" s="13"/>
    </row>
    <row r="35" spans="1:11" ht="13.5" customHeight="1">
      <c r="A35" s="83">
        <v>9</v>
      </c>
      <c r="B35" s="87">
        <v>325985.71999999997</v>
      </c>
      <c r="C35" s="87">
        <v>283498.81</v>
      </c>
      <c r="D35" s="98">
        <v>47427.71</v>
      </c>
      <c r="E35" s="87">
        <v>236071.1</v>
      </c>
      <c r="F35" s="98">
        <v>42486.91</v>
      </c>
      <c r="G35" s="87">
        <v>2851.43</v>
      </c>
      <c r="H35" s="98">
        <v>39633.14</v>
      </c>
      <c r="I35" s="87">
        <v>0</v>
      </c>
      <c r="J35" s="98">
        <v>2.34</v>
      </c>
      <c r="K35" s="13"/>
    </row>
    <row r="36" spans="1:11" ht="13.5" customHeight="1">
      <c r="A36" s="83"/>
      <c r="B36" s="87"/>
      <c r="C36" s="87"/>
      <c r="D36" s="98"/>
      <c r="E36" s="87"/>
      <c r="F36" s="98"/>
      <c r="G36" s="87"/>
      <c r="H36" s="98"/>
      <c r="I36" s="87"/>
      <c r="J36" s="98"/>
      <c r="K36" s="13"/>
    </row>
    <row r="37" spans="1:11" ht="13.5" customHeight="1">
      <c r="A37" s="83">
        <v>10</v>
      </c>
      <c r="B37" s="87">
        <v>320982.95</v>
      </c>
      <c r="C37" s="87">
        <v>280326.56</v>
      </c>
      <c r="D37" s="98">
        <v>46481.47</v>
      </c>
      <c r="E37" s="87">
        <v>233845.09</v>
      </c>
      <c r="F37" s="98">
        <v>40656.39</v>
      </c>
      <c r="G37" s="87">
        <v>2440.9899999999998</v>
      </c>
      <c r="H37" s="98">
        <v>38210.1</v>
      </c>
      <c r="I37" s="87">
        <v>0</v>
      </c>
      <c r="J37" s="98">
        <v>5.3</v>
      </c>
      <c r="K37" s="13"/>
    </row>
    <row r="38" spans="1:11" ht="13.5" customHeight="1">
      <c r="A38" s="83">
        <v>11</v>
      </c>
      <c r="B38" s="87">
        <v>313919.25</v>
      </c>
      <c r="C38" s="87">
        <v>271965.93</v>
      </c>
      <c r="D38" s="98">
        <v>49129.03</v>
      </c>
      <c r="E38" s="87">
        <v>222836.9</v>
      </c>
      <c r="F38" s="98">
        <v>41953.32</v>
      </c>
      <c r="G38" s="87">
        <v>2139</v>
      </c>
      <c r="H38" s="98">
        <v>39814.11</v>
      </c>
      <c r="I38" s="87">
        <v>0</v>
      </c>
      <c r="J38" s="98">
        <v>0.21</v>
      </c>
      <c r="K38" s="13"/>
    </row>
    <row r="39" spans="1:11" ht="13.5" customHeight="1">
      <c r="A39" s="60">
        <v>12</v>
      </c>
      <c r="B39" s="87">
        <v>296934.82</v>
      </c>
      <c r="C39" s="87">
        <v>255012.99</v>
      </c>
      <c r="D39" s="98">
        <v>48811.18</v>
      </c>
      <c r="E39" s="87">
        <v>206201.81</v>
      </c>
      <c r="F39" s="98">
        <v>41921.83</v>
      </c>
      <c r="G39" s="87">
        <v>1534.08</v>
      </c>
      <c r="H39" s="98">
        <v>40387.730000000003</v>
      </c>
      <c r="I39" s="87">
        <v>0</v>
      </c>
      <c r="J39" s="98">
        <v>0.02</v>
      </c>
      <c r="K39" s="13"/>
    </row>
    <row r="40" spans="1:11" ht="13.5" customHeight="1">
      <c r="A40" s="60"/>
      <c r="B40" s="98"/>
      <c r="C40" s="87"/>
      <c r="D40" s="98"/>
      <c r="E40" s="87"/>
      <c r="F40" s="98"/>
      <c r="G40" s="87"/>
      <c r="H40" s="98"/>
      <c r="I40" s="87"/>
      <c r="J40" s="98"/>
      <c r="K40" s="13"/>
    </row>
    <row r="41" spans="1:11" ht="13.5" customHeight="1">
      <c r="A41" s="60">
        <v>2020.1</v>
      </c>
      <c r="B41" s="98">
        <v>305524.44</v>
      </c>
      <c r="C41" s="87">
        <v>257160.88</v>
      </c>
      <c r="D41" s="98">
        <v>55566.21</v>
      </c>
      <c r="E41" s="87">
        <v>201594.67</v>
      </c>
      <c r="F41" s="98">
        <v>48363.56</v>
      </c>
      <c r="G41" s="87">
        <v>1530.23</v>
      </c>
      <c r="H41" s="98">
        <v>46831.76</v>
      </c>
      <c r="I41" s="87">
        <v>0</v>
      </c>
      <c r="J41" s="98">
        <v>1.57</v>
      </c>
      <c r="K41" s="13"/>
    </row>
    <row r="42" spans="1:11" ht="13.5" customHeight="1">
      <c r="A42" s="60">
        <v>2</v>
      </c>
      <c r="B42" s="98">
        <v>311608.59999999998</v>
      </c>
      <c r="C42" s="87">
        <v>274675.77</v>
      </c>
      <c r="D42" s="98">
        <v>69025.350000000006</v>
      </c>
      <c r="E42" s="87">
        <v>205650.42</v>
      </c>
      <c r="F42" s="98">
        <v>36932.83</v>
      </c>
      <c r="G42" s="87">
        <v>1126.53</v>
      </c>
      <c r="H42" s="98">
        <v>35806.269999999997</v>
      </c>
      <c r="I42" s="87">
        <v>0</v>
      </c>
      <c r="J42" s="98">
        <v>0.03</v>
      </c>
      <c r="K42" s="13"/>
    </row>
    <row r="43" spans="1:11" ht="13.5" customHeight="1">
      <c r="A43" s="60">
        <v>3</v>
      </c>
      <c r="B43" s="98">
        <v>300887.98</v>
      </c>
      <c r="C43" s="87">
        <v>273998.44</v>
      </c>
      <c r="D43" s="98">
        <v>60949.24</v>
      </c>
      <c r="E43" s="87">
        <v>213049.2</v>
      </c>
      <c r="F43" s="98">
        <v>26889.54</v>
      </c>
      <c r="G43" s="87">
        <v>1123.8800000000001</v>
      </c>
      <c r="H43" s="98">
        <v>25765.66</v>
      </c>
      <c r="I43" s="87">
        <v>0</v>
      </c>
      <c r="J43" s="98">
        <v>0</v>
      </c>
      <c r="K43" s="13"/>
    </row>
    <row r="44" spans="1:11" ht="13.5" customHeight="1">
      <c r="A44" s="60"/>
      <c r="B44" s="98"/>
      <c r="C44" s="87"/>
      <c r="D44" s="98"/>
      <c r="E44" s="87"/>
      <c r="F44" s="98"/>
      <c r="G44" s="87"/>
      <c r="H44" s="98"/>
      <c r="I44" s="87"/>
      <c r="J44" s="98"/>
      <c r="K44" s="13"/>
    </row>
    <row r="45" spans="1:11" ht="13.5" customHeight="1">
      <c r="A45" s="60">
        <v>4</v>
      </c>
      <c r="B45" s="98">
        <v>308951.09999999998</v>
      </c>
      <c r="C45" s="87">
        <v>285497.01</v>
      </c>
      <c r="D45" s="98">
        <v>77791.81</v>
      </c>
      <c r="E45" s="87">
        <v>207705.2</v>
      </c>
      <c r="F45" s="98">
        <v>23454.09</v>
      </c>
      <c r="G45" s="87">
        <v>1116.53</v>
      </c>
      <c r="H45" s="98">
        <v>22337.42</v>
      </c>
      <c r="I45" s="87">
        <v>0</v>
      </c>
      <c r="J45" s="98">
        <v>0.14000000000000001</v>
      </c>
      <c r="K45" s="13"/>
    </row>
    <row r="46" spans="1:11" ht="13.5" customHeight="1">
      <c r="A46" s="60">
        <v>5</v>
      </c>
      <c r="B46" s="98">
        <v>295524.34000000003</v>
      </c>
      <c r="C46" s="87">
        <v>275688.63</v>
      </c>
      <c r="D46" s="98">
        <v>72357.09</v>
      </c>
      <c r="E46" s="87">
        <v>203331.54</v>
      </c>
      <c r="F46" s="98">
        <v>19835.71</v>
      </c>
      <c r="G46" s="87">
        <v>1119.08</v>
      </c>
      <c r="H46" s="98">
        <v>18716.61</v>
      </c>
      <c r="I46" s="87">
        <v>0</v>
      </c>
      <c r="J46" s="98">
        <v>0.02</v>
      </c>
      <c r="K46" s="13"/>
    </row>
    <row r="47" spans="1:11" ht="13.5" customHeight="1">
      <c r="A47" s="60">
        <v>6</v>
      </c>
      <c r="B47" s="98">
        <v>303073.61</v>
      </c>
      <c r="C47" s="87">
        <v>280599.05</v>
      </c>
      <c r="D47" s="98">
        <v>75068.39</v>
      </c>
      <c r="E47" s="87">
        <v>205530.66</v>
      </c>
      <c r="F47" s="98">
        <v>22474.560000000001</v>
      </c>
      <c r="G47" s="87">
        <v>1117.47</v>
      </c>
      <c r="H47" s="98">
        <v>21356.880000000001</v>
      </c>
      <c r="I47" s="87">
        <v>0</v>
      </c>
      <c r="J47" s="98">
        <v>0.21</v>
      </c>
      <c r="K47" s="13"/>
    </row>
    <row r="48" spans="1:11" ht="13.5" customHeight="1">
      <c r="A48" s="60"/>
      <c r="B48" s="98"/>
      <c r="C48" s="87"/>
      <c r="D48" s="98"/>
      <c r="E48" s="87"/>
      <c r="F48" s="98"/>
      <c r="G48" s="87"/>
      <c r="H48" s="98"/>
      <c r="I48" s="87"/>
      <c r="J48" s="98"/>
      <c r="K48" s="13"/>
    </row>
    <row r="49" spans="1:11" ht="13.5" customHeight="1">
      <c r="A49" s="60">
        <v>7</v>
      </c>
      <c r="B49" s="98">
        <v>292925.59999999998</v>
      </c>
      <c r="C49" s="87">
        <v>271712.03000000003</v>
      </c>
      <c r="D49" s="98">
        <v>64459.360000000001</v>
      </c>
      <c r="E49" s="87">
        <v>207252.67</v>
      </c>
      <c r="F49" s="98">
        <v>21213.57</v>
      </c>
      <c r="G49" s="87">
        <v>1111.9100000000001</v>
      </c>
      <c r="H49" s="98">
        <v>20101.66</v>
      </c>
      <c r="I49" s="87">
        <v>0</v>
      </c>
      <c r="J49" s="98">
        <v>0</v>
      </c>
      <c r="K49" s="13"/>
    </row>
    <row r="50" spans="1:11" ht="13.5" customHeight="1">
      <c r="A50" s="60">
        <v>8</v>
      </c>
      <c r="B50" s="98">
        <v>287046.01</v>
      </c>
      <c r="C50" s="87">
        <v>265572.46999999997</v>
      </c>
      <c r="D50" s="98">
        <v>62558.47</v>
      </c>
      <c r="E50" s="87">
        <v>203014</v>
      </c>
      <c r="F50" s="98">
        <v>21473.54</v>
      </c>
      <c r="G50" s="87">
        <v>1108.08</v>
      </c>
      <c r="H50" s="98">
        <v>20365.25</v>
      </c>
      <c r="I50" s="87">
        <v>0</v>
      </c>
      <c r="J50" s="98">
        <v>0.21</v>
      </c>
      <c r="K50" s="13"/>
    </row>
    <row r="51" spans="1:11" ht="13.5" customHeight="1">
      <c r="A51" s="60">
        <v>9</v>
      </c>
      <c r="B51" s="98">
        <v>283147.13</v>
      </c>
      <c r="C51" s="87">
        <v>261690.29</v>
      </c>
      <c r="D51" s="98">
        <v>62227.75</v>
      </c>
      <c r="E51" s="87">
        <v>199462.54</v>
      </c>
      <c r="F51" s="98">
        <v>21456.84</v>
      </c>
      <c r="G51" s="87">
        <v>1073.83</v>
      </c>
      <c r="H51" s="98">
        <v>20383</v>
      </c>
      <c r="I51" s="87">
        <v>0</v>
      </c>
      <c r="J51" s="98">
        <v>0.01</v>
      </c>
      <c r="K51" s="13"/>
    </row>
    <row r="52" spans="1:11" ht="13.5" customHeight="1">
      <c r="A52" s="60"/>
      <c r="B52" s="98"/>
      <c r="C52" s="87"/>
      <c r="D52" s="98"/>
      <c r="E52" s="87"/>
      <c r="F52" s="98"/>
      <c r="G52" s="87"/>
      <c r="H52" s="98"/>
      <c r="I52" s="87"/>
      <c r="J52" s="98"/>
      <c r="K52" s="13"/>
    </row>
    <row r="53" spans="1:11" ht="13.5" customHeight="1">
      <c r="A53" s="60">
        <v>10</v>
      </c>
      <c r="B53" s="98">
        <v>281781.27</v>
      </c>
      <c r="C53" s="87">
        <v>260904.23</v>
      </c>
      <c r="D53" s="98">
        <v>64360.65</v>
      </c>
      <c r="E53" s="87">
        <v>196543.58</v>
      </c>
      <c r="F53" s="98">
        <v>20877.04</v>
      </c>
      <c r="G53" s="87">
        <v>473.84</v>
      </c>
      <c r="H53" s="98">
        <v>20402.240000000002</v>
      </c>
      <c r="I53" s="87">
        <v>0</v>
      </c>
      <c r="J53" s="98">
        <v>0.96</v>
      </c>
      <c r="K53" s="13"/>
    </row>
    <row r="54" spans="1:11" ht="13.5" customHeight="1">
      <c r="A54" s="60">
        <v>11</v>
      </c>
      <c r="B54" s="98">
        <v>278885.36</v>
      </c>
      <c r="C54" s="87">
        <v>259529.04</v>
      </c>
      <c r="D54" s="98">
        <v>62364.68</v>
      </c>
      <c r="E54" s="87">
        <v>197164.36</v>
      </c>
      <c r="F54" s="98">
        <v>19356.32</v>
      </c>
      <c r="G54" s="87">
        <v>473.87</v>
      </c>
      <c r="H54" s="98">
        <v>18882.23</v>
      </c>
      <c r="I54" s="87">
        <v>0</v>
      </c>
      <c r="J54" s="98">
        <v>0.22</v>
      </c>
      <c r="K54" s="13"/>
    </row>
    <row r="55" spans="1:11" ht="13.5" customHeight="1">
      <c r="A55" s="60">
        <v>12</v>
      </c>
      <c r="B55" s="98">
        <v>267774.11</v>
      </c>
      <c r="C55" s="87">
        <v>249394.51</v>
      </c>
      <c r="D55" s="98">
        <v>61922.94</v>
      </c>
      <c r="E55" s="87">
        <v>187471.57</v>
      </c>
      <c r="F55" s="98">
        <v>18379.599999999999</v>
      </c>
      <c r="G55" s="87">
        <v>71.63</v>
      </c>
      <c r="H55" s="98">
        <v>18307.97</v>
      </c>
      <c r="I55" s="87">
        <v>0</v>
      </c>
      <c r="J55" s="98">
        <v>0</v>
      </c>
      <c r="K55" s="13"/>
    </row>
    <row r="56" spans="1:11" ht="13.5" customHeight="1">
      <c r="A56" s="60"/>
      <c r="B56" s="98"/>
      <c r="C56" s="87"/>
      <c r="D56" s="98"/>
      <c r="E56" s="87"/>
      <c r="F56" s="98"/>
      <c r="G56" s="87"/>
      <c r="H56" s="98"/>
      <c r="I56" s="87"/>
      <c r="J56" s="98"/>
      <c r="K56" s="13"/>
    </row>
    <row r="57" spans="1:11" ht="13.5" customHeight="1">
      <c r="A57" s="60">
        <v>2021.1</v>
      </c>
      <c r="B57" s="98">
        <v>267245.84000000003</v>
      </c>
      <c r="C57" s="87">
        <v>257767.57</v>
      </c>
      <c r="D57" s="98">
        <v>67094.320000000007</v>
      </c>
      <c r="E57" s="87">
        <v>190673.25</v>
      </c>
      <c r="F57" s="98">
        <v>9478.27</v>
      </c>
      <c r="G57" s="87">
        <v>71.64</v>
      </c>
      <c r="H57" s="98">
        <v>9406.6299999999992</v>
      </c>
      <c r="I57" s="87">
        <v>0</v>
      </c>
      <c r="J57" s="98">
        <v>0</v>
      </c>
      <c r="K57" s="13"/>
    </row>
    <row r="58" spans="1:11" ht="13.5" customHeight="1">
      <c r="A58" s="60">
        <v>2</v>
      </c>
      <c r="B58" s="98">
        <v>279518.32</v>
      </c>
      <c r="C58" s="87">
        <v>270743.21999999997</v>
      </c>
      <c r="D58" s="98">
        <v>77014.740000000005</v>
      </c>
      <c r="E58" s="87">
        <v>193728.48</v>
      </c>
      <c r="F58" s="98">
        <v>8775.1</v>
      </c>
      <c r="G58" s="87">
        <v>71.650000000000006</v>
      </c>
      <c r="H58" s="98">
        <v>8703.3799999999992</v>
      </c>
      <c r="I58" s="87">
        <v>0</v>
      </c>
      <c r="J58" s="98">
        <v>7.0000000000000007E-2</v>
      </c>
      <c r="K58" s="13"/>
    </row>
    <row r="59" spans="1:11" ht="13.5" customHeight="1">
      <c r="A59" s="60">
        <v>3</v>
      </c>
      <c r="B59" s="98">
        <v>278030.44</v>
      </c>
      <c r="C59" s="87">
        <v>268025.39</v>
      </c>
      <c r="D59" s="98">
        <v>68090.16</v>
      </c>
      <c r="E59" s="87">
        <v>199935.23</v>
      </c>
      <c r="F59" s="98">
        <v>10005.049999999999</v>
      </c>
      <c r="G59" s="87">
        <v>559.21</v>
      </c>
      <c r="H59" s="98">
        <v>9445.6299999999992</v>
      </c>
      <c r="I59" s="87">
        <v>0</v>
      </c>
      <c r="J59" s="98">
        <v>0.21</v>
      </c>
      <c r="K59" s="13"/>
    </row>
    <row r="60" spans="1:11" ht="13.5" customHeight="1">
      <c r="A60" s="60"/>
      <c r="B60" s="98"/>
      <c r="C60" s="87"/>
      <c r="D60" s="98"/>
      <c r="E60" s="87"/>
      <c r="F60" s="98"/>
      <c r="G60" s="87"/>
      <c r="H60" s="98"/>
      <c r="I60" s="87"/>
      <c r="J60" s="98"/>
      <c r="K60" s="13"/>
    </row>
    <row r="61" spans="1:11" ht="13.5" customHeight="1">
      <c r="A61" s="60">
        <v>4</v>
      </c>
      <c r="B61" s="98">
        <v>280832.75</v>
      </c>
      <c r="C61" s="87">
        <v>270834.78999999998</v>
      </c>
      <c r="D61" s="98">
        <v>71250.92</v>
      </c>
      <c r="E61" s="87">
        <v>199583.87</v>
      </c>
      <c r="F61" s="98">
        <v>9997.9599999999991</v>
      </c>
      <c r="G61" s="87">
        <v>540.1</v>
      </c>
      <c r="H61" s="98">
        <v>9457.31</v>
      </c>
      <c r="I61" s="87">
        <v>0</v>
      </c>
      <c r="J61" s="98">
        <v>0.55000000000000004</v>
      </c>
      <c r="K61" s="13"/>
    </row>
    <row r="62" spans="1:11" ht="13.5" customHeight="1">
      <c r="A62" s="60">
        <v>5</v>
      </c>
      <c r="B62" s="98">
        <v>290503.28000000003</v>
      </c>
      <c r="C62" s="87">
        <v>280521.84999999998</v>
      </c>
      <c r="D62" s="98">
        <v>78382.31</v>
      </c>
      <c r="E62" s="87">
        <v>202139.54</v>
      </c>
      <c r="F62" s="98">
        <v>9981.43</v>
      </c>
      <c r="G62" s="87">
        <v>537.69000000000005</v>
      </c>
      <c r="H62" s="98">
        <v>9442.66</v>
      </c>
      <c r="I62" s="87">
        <v>0</v>
      </c>
      <c r="J62" s="98">
        <v>1.08</v>
      </c>
      <c r="K62" s="13"/>
    </row>
    <row r="63" spans="1:11" ht="13.5" customHeight="1">
      <c r="A63" s="60">
        <v>6</v>
      </c>
      <c r="B63" s="98">
        <v>300022.31</v>
      </c>
      <c r="C63" s="87">
        <v>292457.05</v>
      </c>
      <c r="D63" s="98">
        <v>78725.919999999998</v>
      </c>
      <c r="E63" s="87">
        <v>213731.13</v>
      </c>
      <c r="F63" s="98">
        <v>7565.26</v>
      </c>
      <c r="G63" s="87">
        <v>536.87</v>
      </c>
      <c r="H63" s="98">
        <v>7025.97</v>
      </c>
      <c r="I63" s="87">
        <v>0</v>
      </c>
      <c r="J63" s="98">
        <v>2.42</v>
      </c>
      <c r="K63" s="13"/>
    </row>
    <row r="64" spans="1:11" ht="13.5" customHeight="1">
      <c r="A64" s="60"/>
      <c r="B64" s="98"/>
      <c r="C64" s="87"/>
      <c r="D64" s="98"/>
      <c r="E64" s="87"/>
      <c r="F64" s="98"/>
      <c r="G64" s="87"/>
      <c r="H64" s="98"/>
      <c r="I64" s="87"/>
      <c r="J64" s="98"/>
      <c r="K64" s="13"/>
    </row>
    <row r="65" spans="1:11" ht="13.5" customHeight="1">
      <c r="A65" s="60">
        <v>7</v>
      </c>
      <c r="B65" s="98">
        <v>290335.68</v>
      </c>
      <c r="C65" s="87">
        <v>282745.34000000003</v>
      </c>
      <c r="D65" s="98">
        <v>70504.44</v>
      </c>
      <c r="E65" s="87">
        <v>212240.9</v>
      </c>
      <c r="F65" s="98">
        <v>7590.34</v>
      </c>
      <c r="G65" s="87">
        <v>536.97</v>
      </c>
      <c r="H65" s="98">
        <v>7052.96</v>
      </c>
      <c r="I65" s="87">
        <v>0</v>
      </c>
      <c r="J65" s="98">
        <v>0.41</v>
      </c>
      <c r="K65" s="13"/>
    </row>
    <row r="66" spans="1:11" ht="13.5" customHeight="1">
      <c r="A66" s="60">
        <v>8</v>
      </c>
      <c r="B66" s="98">
        <v>300593.83</v>
      </c>
      <c r="C66" s="87">
        <v>293382.7</v>
      </c>
      <c r="D66" s="98">
        <v>77772.990000000005</v>
      </c>
      <c r="E66" s="87">
        <v>215609.71</v>
      </c>
      <c r="F66" s="98">
        <v>7211.13</v>
      </c>
      <c r="G66" s="87">
        <v>535.48</v>
      </c>
      <c r="H66" s="98">
        <v>6675.5</v>
      </c>
      <c r="I66" s="87">
        <v>0</v>
      </c>
      <c r="J66" s="98">
        <v>0.15</v>
      </c>
      <c r="K66" s="13"/>
    </row>
    <row r="67" spans="1:11" ht="13.5" customHeight="1">
      <c r="A67" s="60">
        <v>9</v>
      </c>
      <c r="B67" s="98">
        <v>297892.03999999998</v>
      </c>
      <c r="C67" s="87">
        <v>290642.58</v>
      </c>
      <c r="D67" s="98">
        <v>78783.850000000006</v>
      </c>
      <c r="E67" s="87">
        <v>211858.73</v>
      </c>
      <c r="F67" s="98">
        <v>7249.46</v>
      </c>
      <c r="G67" s="87">
        <v>536.48</v>
      </c>
      <c r="H67" s="98">
        <v>6711.2</v>
      </c>
      <c r="I67" s="87">
        <v>0</v>
      </c>
      <c r="J67" s="98">
        <v>1.78</v>
      </c>
      <c r="K67" s="13"/>
    </row>
    <row r="68" spans="1:11" ht="13.5" customHeight="1">
      <c r="A68" s="60"/>
      <c r="B68" s="98"/>
      <c r="C68" s="87"/>
      <c r="D68" s="98"/>
      <c r="E68" s="87"/>
      <c r="F68" s="98"/>
      <c r="G68" s="87"/>
      <c r="H68" s="98"/>
      <c r="I68" s="87"/>
      <c r="J68" s="98"/>
      <c r="K68" s="13"/>
    </row>
    <row r="69" spans="1:11" ht="13.5" customHeight="1">
      <c r="A69" s="60">
        <v>10</v>
      </c>
      <c r="B69" s="98">
        <v>299181.94</v>
      </c>
      <c r="C69" s="87">
        <v>291362.12</v>
      </c>
      <c r="D69" s="98">
        <v>75877.89</v>
      </c>
      <c r="E69" s="87">
        <v>215484.23</v>
      </c>
      <c r="F69" s="98">
        <v>7819.82</v>
      </c>
      <c r="G69" s="87">
        <v>537.24</v>
      </c>
      <c r="H69" s="98">
        <v>7281.77</v>
      </c>
      <c r="I69" s="87">
        <v>0</v>
      </c>
      <c r="J69" s="98">
        <v>0.81</v>
      </c>
      <c r="K69" s="13"/>
    </row>
    <row r="70" spans="1:11" ht="13.5" customHeight="1">
      <c r="A70" s="60">
        <v>11</v>
      </c>
      <c r="B70" s="98">
        <v>304246.48</v>
      </c>
      <c r="C70" s="87">
        <v>296216.67</v>
      </c>
      <c r="D70" s="98">
        <v>75540.899999999994</v>
      </c>
      <c r="E70" s="87">
        <v>220675.77</v>
      </c>
      <c r="F70" s="98">
        <v>8029.81</v>
      </c>
      <c r="G70" s="87">
        <v>537.25</v>
      </c>
      <c r="H70" s="98">
        <v>7492.11</v>
      </c>
      <c r="I70" s="87">
        <v>0</v>
      </c>
      <c r="J70" s="98">
        <v>0.45</v>
      </c>
      <c r="K70" s="13"/>
    </row>
    <row r="71" spans="1:11" ht="13.5" customHeight="1">
      <c r="A71" s="60">
        <v>12</v>
      </c>
      <c r="B71" s="98">
        <v>288157.28999999998</v>
      </c>
      <c r="C71" s="87">
        <v>280547.75</v>
      </c>
      <c r="D71" s="98">
        <v>65800.350000000006</v>
      </c>
      <c r="E71" s="87">
        <v>214747.4</v>
      </c>
      <c r="F71" s="98">
        <v>7609.54</v>
      </c>
      <c r="G71" s="87">
        <v>73.92</v>
      </c>
      <c r="H71" s="98">
        <v>7534.97</v>
      </c>
      <c r="I71" s="87">
        <v>0</v>
      </c>
      <c r="J71" s="98">
        <v>0.65</v>
      </c>
      <c r="K71" s="13"/>
    </row>
    <row r="72" spans="1:11" ht="13.5" customHeight="1">
      <c r="A72" s="60"/>
      <c r="B72" s="98"/>
      <c r="C72" s="87"/>
      <c r="D72" s="98"/>
      <c r="E72" s="87"/>
      <c r="F72" s="98"/>
      <c r="G72" s="87"/>
      <c r="H72" s="98"/>
      <c r="I72" s="87"/>
      <c r="J72" s="98"/>
      <c r="K72" s="13"/>
    </row>
    <row r="73" spans="1:11" ht="13.5" customHeight="1">
      <c r="A73" s="60">
        <v>2022.1</v>
      </c>
      <c r="B73" s="98">
        <v>294977.87</v>
      </c>
      <c r="C73" s="87">
        <v>285878.49</v>
      </c>
      <c r="D73" s="98">
        <v>70534.63</v>
      </c>
      <c r="E73" s="87">
        <v>215343.86</v>
      </c>
      <c r="F73" s="98">
        <v>9099.3799999999992</v>
      </c>
      <c r="G73" s="87">
        <v>70.61</v>
      </c>
      <c r="H73" s="98">
        <v>9028.4500000000007</v>
      </c>
      <c r="I73" s="87">
        <v>0</v>
      </c>
      <c r="J73" s="98">
        <v>0.32</v>
      </c>
      <c r="K73" s="13"/>
    </row>
    <row r="74" spans="1:11" ht="13.5" customHeight="1">
      <c r="A74" s="60">
        <v>2</v>
      </c>
      <c r="B74" s="98">
        <v>310332.57</v>
      </c>
      <c r="C74" s="87">
        <v>301399.21999999997</v>
      </c>
      <c r="D74" s="98">
        <v>83071.039999999994</v>
      </c>
      <c r="E74" s="87">
        <v>218328.18</v>
      </c>
      <c r="F74" s="98">
        <v>8933.35</v>
      </c>
      <c r="G74" s="87">
        <v>75.91</v>
      </c>
      <c r="H74" s="98">
        <v>8857.01</v>
      </c>
      <c r="I74" s="87">
        <v>0</v>
      </c>
      <c r="J74" s="98">
        <v>0.43</v>
      </c>
      <c r="K74" s="13"/>
    </row>
    <row r="75" spans="1:11" ht="13.5" customHeight="1">
      <c r="A75" s="60">
        <v>3</v>
      </c>
      <c r="B75" s="98">
        <v>321068.33</v>
      </c>
      <c r="C75" s="87">
        <v>311480.25</v>
      </c>
      <c r="D75" s="98">
        <v>87929.5</v>
      </c>
      <c r="E75" s="87">
        <v>223550.75</v>
      </c>
      <c r="F75" s="98">
        <v>9588.08</v>
      </c>
      <c r="G75" s="87">
        <v>58.6</v>
      </c>
      <c r="H75" s="98">
        <v>9529.3799999999992</v>
      </c>
      <c r="I75" s="87">
        <v>0</v>
      </c>
      <c r="J75" s="98">
        <v>0.1</v>
      </c>
      <c r="K75" s="13"/>
    </row>
    <row r="76" spans="1:11" ht="13.5" customHeight="1">
      <c r="A76" s="60"/>
      <c r="B76" s="98"/>
      <c r="C76" s="87"/>
      <c r="D76" s="98"/>
      <c r="E76" s="87"/>
      <c r="F76" s="98"/>
      <c r="G76" s="87"/>
      <c r="H76" s="98"/>
      <c r="I76" s="87"/>
      <c r="J76" s="98"/>
      <c r="K76" s="13"/>
    </row>
    <row r="77" spans="1:11" ht="13.5" customHeight="1">
      <c r="A77" s="60">
        <v>4</v>
      </c>
      <c r="B77" s="98">
        <v>335980.55</v>
      </c>
      <c r="C77" s="87">
        <v>326060.67</v>
      </c>
      <c r="D77" s="98">
        <v>95100</v>
      </c>
      <c r="E77" s="87">
        <v>230960.67</v>
      </c>
      <c r="F77" s="98">
        <v>9919.8799999999992</v>
      </c>
      <c r="G77" s="87">
        <v>55.24</v>
      </c>
      <c r="H77" s="98">
        <v>9864.06</v>
      </c>
      <c r="I77" s="87">
        <v>0</v>
      </c>
      <c r="J77" s="98">
        <v>0.57999999999999996</v>
      </c>
      <c r="K77" s="13"/>
    </row>
    <row r="78" spans="1:11" ht="13.5" customHeight="1">
      <c r="A78" s="60">
        <v>5</v>
      </c>
      <c r="B78" s="98">
        <v>352675.07</v>
      </c>
      <c r="C78" s="87">
        <v>342665.89</v>
      </c>
      <c r="D78" s="98">
        <v>91536.07</v>
      </c>
      <c r="E78" s="87">
        <v>251129.82</v>
      </c>
      <c r="F78" s="98">
        <v>10009.18</v>
      </c>
      <c r="G78" s="87">
        <v>50.62</v>
      </c>
      <c r="H78" s="98">
        <v>9958.19</v>
      </c>
      <c r="I78" s="87">
        <v>0</v>
      </c>
      <c r="J78" s="98">
        <v>0.37</v>
      </c>
      <c r="K78" s="13"/>
    </row>
    <row r="79" spans="1:11" ht="13.5" customHeight="1">
      <c r="A79" s="60">
        <v>6</v>
      </c>
      <c r="B79" s="98">
        <v>348942.99</v>
      </c>
      <c r="C79" s="87">
        <v>338795.31</v>
      </c>
      <c r="D79" s="98">
        <v>79980.33</v>
      </c>
      <c r="E79" s="87">
        <v>258814.98</v>
      </c>
      <c r="F79" s="98">
        <v>10147.68</v>
      </c>
      <c r="G79" s="87">
        <v>50.21</v>
      </c>
      <c r="H79" s="98">
        <v>10097.34</v>
      </c>
      <c r="I79" s="87">
        <v>0</v>
      </c>
      <c r="J79" s="98">
        <v>0.13</v>
      </c>
      <c r="K79" s="13"/>
    </row>
    <row r="80" spans="1:11" ht="13.5" customHeight="1">
      <c r="A80" s="60"/>
      <c r="B80" s="98"/>
      <c r="C80" s="87"/>
      <c r="D80" s="98"/>
      <c r="E80" s="87"/>
      <c r="F80" s="98"/>
      <c r="G80" s="87"/>
      <c r="H80" s="98"/>
      <c r="I80" s="87"/>
      <c r="J80" s="98"/>
      <c r="K80" s="13"/>
    </row>
    <row r="81" spans="1:11" ht="13.5" customHeight="1">
      <c r="A81" s="60">
        <v>7</v>
      </c>
      <c r="B81" s="98">
        <v>343113.44</v>
      </c>
      <c r="C81" s="87">
        <v>332797.38</v>
      </c>
      <c r="D81" s="98">
        <v>78369.05</v>
      </c>
      <c r="E81" s="87">
        <v>254428.33</v>
      </c>
      <c r="F81" s="98">
        <v>10316.06</v>
      </c>
      <c r="G81" s="87">
        <v>50.21</v>
      </c>
      <c r="H81" s="98">
        <v>10265.540000000001</v>
      </c>
      <c r="I81" s="87">
        <v>0</v>
      </c>
      <c r="J81" s="98">
        <v>0.31</v>
      </c>
      <c r="K81" s="13"/>
    </row>
    <row r="82" spans="1:11" ht="13.5" customHeight="1">
      <c r="A82" s="60">
        <v>8</v>
      </c>
      <c r="B82" s="98">
        <v>344493.27</v>
      </c>
      <c r="C82" s="87">
        <v>334374.18</v>
      </c>
      <c r="D82" s="98">
        <v>81791.73</v>
      </c>
      <c r="E82" s="87">
        <v>252582.45</v>
      </c>
      <c r="F82" s="98">
        <v>10119.09</v>
      </c>
      <c r="G82" s="87">
        <v>49.89</v>
      </c>
      <c r="H82" s="98">
        <v>10069.02</v>
      </c>
      <c r="I82" s="87">
        <v>0</v>
      </c>
      <c r="J82" s="98">
        <v>0.18</v>
      </c>
      <c r="K82" s="13"/>
    </row>
    <row r="83" spans="1:11" ht="13.5" customHeight="1">
      <c r="A83" s="60">
        <v>9</v>
      </c>
      <c r="B83" s="98">
        <v>344427.35</v>
      </c>
      <c r="C83" s="87">
        <v>334014.65000000002</v>
      </c>
      <c r="D83" s="98">
        <v>85628.13</v>
      </c>
      <c r="E83" s="87">
        <v>248386.52</v>
      </c>
      <c r="F83" s="98">
        <v>10412.700000000001</v>
      </c>
      <c r="G83" s="87">
        <v>45.25</v>
      </c>
      <c r="H83" s="98">
        <v>10367.39</v>
      </c>
      <c r="I83" s="87">
        <v>0</v>
      </c>
      <c r="J83" s="98">
        <v>0.06</v>
      </c>
      <c r="K83" s="13"/>
    </row>
    <row r="84" spans="1:11" ht="13.5" customHeight="1">
      <c r="A84" s="60"/>
      <c r="B84" s="98"/>
      <c r="C84" s="87"/>
      <c r="D84" s="98"/>
      <c r="E84" s="87"/>
      <c r="F84" s="98"/>
      <c r="G84" s="87"/>
      <c r="H84" s="98"/>
      <c r="I84" s="87"/>
      <c r="J84" s="98"/>
      <c r="K84" s="13"/>
    </row>
    <row r="85" spans="1:11" ht="13.5" customHeight="1">
      <c r="A85" s="60">
        <v>10</v>
      </c>
      <c r="B85" s="98">
        <v>346965.55</v>
      </c>
      <c r="C85" s="87">
        <v>336435.16</v>
      </c>
      <c r="D85" s="98">
        <v>74959.509999999995</v>
      </c>
      <c r="E85" s="87">
        <v>261475.65</v>
      </c>
      <c r="F85" s="98">
        <v>10530.39</v>
      </c>
      <c r="G85" s="87">
        <v>39.93</v>
      </c>
      <c r="H85" s="98">
        <v>10490.31</v>
      </c>
      <c r="I85" s="87">
        <v>0</v>
      </c>
      <c r="J85" s="98">
        <v>0.15</v>
      </c>
      <c r="K85" s="13"/>
    </row>
    <row r="86" spans="1:11" ht="13.5" customHeight="1">
      <c r="A86" s="60">
        <v>11</v>
      </c>
      <c r="B86" s="98">
        <v>356176.04</v>
      </c>
      <c r="C86" s="87">
        <v>330174.90999999997</v>
      </c>
      <c r="D86" s="98">
        <v>73892.899999999994</v>
      </c>
      <c r="E86" s="87">
        <v>256282.01</v>
      </c>
      <c r="F86" s="98">
        <v>26001.13</v>
      </c>
      <c r="G86" s="87">
        <v>44.89</v>
      </c>
      <c r="H86" s="98">
        <v>25955.99</v>
      </c>
      <c r="I86" s="87">
        <v>0</v>
      </c>
      <c r="J86" s="98">
        <v>0.25</v>
      </c>
      <c r="K86" s="13"/>
    </row>
    <row r="87" spans="1:11" ht="13.5" customHeight="1">
      <c r="A87" s="60">
        <v>12</v>
      </c>
      <c r="B87" s="98">
        <v>349876.11</v>
      </c>
      <c r="C87" s="87">
        <v>310304.46000000002</v>
      </c>
      <c r="D87" s="98">
        <v>67975.19</v>
      </c>
      <c r="E87" s="87">
        <v>242329.27</v>
      </c>
      <c r="F87" s="98">
        <v>39571.65</v>
      </c>
      <c r="G87" s="87">
        <v>40.369999999999997</v>
      </c>
      <c r="H87" s="98">
        <v>39531.06</v>
      </c>
      <c r="I87" s="87">
        <v>0</v>
      </c>
      <c r="J87" s="98">
        <v>0.22</v>
      </c>
      <c r="K87" s="13"/>
    </row>
    <row r="88" spans="1:11" ht="13.5" customHeight="1">
      <c r="A88" s="60"/>
      <c r="B88" s="98"/>
      <c r="C88" s="87"/>
      <c r="D88" s="98"/>
      <c r="E88" s="87"/>
      <c r="F88" s="98"/>
      <c r="G88" s="87"/>
      <c r="H88" s="98"/>
      <c r="I88" s="87"/>
      <c r="J88" s="98"/>
      <c r="K88" s="13"/>
    </row>
    <row r="89" spans="1:11" ht="13.5" customHeight="1">
      <c r="A89" s="60">
        <v>2023.1</v>
      </c>
      <c r="B89" s="98">
        <v>350956.21</v>
      </c>
      <c r="C89" s="87">
        <v>311088.3</v>
      </c>
      <c r="D89" s="98">
        <v>73814.61</v>
      </c>
      <c r="E89" s="87">
        <v>237273.69</v>
      </c>
      <c r="F89" s="98">
        <v>39867.910000000003</v>
      </c>
      <c r="G89" s="87">
        <v>40.67</v>
      </c>
      <c r="H89" s="98">
        <v>39825.74</v>
      </c>
      <c r="I89" s="87">
        <v>0</v>
      </c>
      <c r="J89" s="98">
        <v>1.5</v>
      </c>
      <c r="K89" s="13"/>
    </row>
    <row r="90" spans="1:11" ht="13.5" customHeight="1">
      <c r="A90" s="60">
        <v>2</v>
      </c>
      <c r="B90" s="98">
        <v>366977.25</v>
      </c>
      <c r="C90" s="87">
        <v>327004.13</v>
      </c>
      <c r="D90" s="98">
        <v>81222</v>
      </c>
      <c r="E90" s="87">
        <v>245782.13</v>
      </c>
      <c r="F90" s="98">
        <v>39973.120000000003</v>
      </c>
      <c r="G90" s="87">
        <v>41.53</v>
      </c>
      <c r="H90" s="98">
        <v>39931.4</v>
      </c>
      <c r="I90" s="87">
        <v>0</v>
      </c>
      <c r="J90" s="98">
        <v>0.19</v>
      </c>
      <c r="K90" s="13"/>
    </row>
    <row r="91" spans="1:11" ht="13.5" customHeight="1">
      <c r="A91" s="60">
        <v>3</v>
      </c>
      <c r="B91" s="98">
        <v>372848.45</v>
      </c>
      <c r="C91" s="87">
        <v>332383.75</v>
      </c>
      <c r="D91" s="98">
        <v>85193.15</v>
      </c>
      <c r="E91" s="87">
        <v>247190.6</v>
      </c>
      <c r="F91" s="98">
        <v>40464.699999999997</v>
      </c>
      <c r="G91" s="87">
        <v>34.65</v>
      </c>
      <c r="H91" s="98">
        <v>40429.18</v>
      </c>
      <c r="I91" s="87">
        <v>0</v>
      </c>
      <c r="J91" s="98">
        <v>0.87</v>
      </c>
      <c r="K91" s="13"/>
    </row>
    <row r="92" spans="1:11" ht="13.5" customHeight="1">
      <c r="A92" s="60"/>
      <c r="B92" s="98"/>
      <c r="C92" s="87"/>
      <c r="D92" s="98"/>
      <c r="E92" s="87"/>
      <c r="F92" s="98"/>
      <c r="G92" s="87"/>
      <c r="H92" s="98"/>
      <c r="I92" s="87"/>
      <c r="J92" s="98"/>
      <c r="K92" s="13"/>
    </row>
    <row r="93" spans="1:11" ht="13.5" customHeight="1">
      <c r="A93" s="60">
        <v>4</v>
      </c>
      <c r="B93" s="98">
        <v>373607.92</v>
      </c>
      <c r="C93" s="87">
        <v>332986.31</v>
      </c>
      <c r="D93" s="98">
        <v>77775.929999999993</v>
      </c>
      <c r="E93" s="87">
        <v>255210.38</v>
      </c>
      <c r="F93" s="98">
        <v>40621.61</v>
      </c>
      <c r="G93" s="87">
        <v>36.78</v>
      </c>
      <c r="H93" s="98">
        <v>40584.67</v>
      </c>
      <c r="I93" s="87">
        <v>0</v>
      </c>
      <c r="J93" s="98">
        <v>0.16</v>
      </c>
      <c r="K93" s="13"/>
    </row>
    <row r="94" spans="1:11" ht="13.5" customHeight="1">
      <c r="A94" s="60">
        <v>5</v>
      </c>
      <c r="B94" s="98">
        <v>380463.84</v>
      </c>
      <c r="C94" s="87">
        <v>339591.85</v>
      </c>
      <c r="D94" s="98">
        <v>79741.23</v>
      </c>
      <c r="E94" s="87">
        <v>259850.62</v>
      </c>
      <c r="F94" s="98">
        <v>40871.99</v>
      </c>
      <c r="G94" s="87">
        <v>259.89999999999998</v>
      </c>
      <c r="H94" s="98">
        <v>40612.019999999997</v>
      </c>
      <c r="I94" s="87">
        <v>1.29</v>
      </c>
      <c r="J94" s="98">
        <v>7.0000000000000007E-2</v>
      </c>
      <c r="K94" s="13"/>
    </row>
    <row r="95" spans="1:11" ht="13.5" customHeight="1">
      <c r="A95" s="60">
        <v>6</v>
      </c>
      <c r="B95" s="98">
        <v>395234</v>
      </c>
      <c r="C95" s="87">
        <v>354143</v>
      </c>
      <c r="D95" s="98">
        <v>85560</v>
      </c>
      <c r="E95" s="87">
        <v>268583</v>
      </c>
      <c r="F95" s="98">
        <v>41092</v>
      </c>
      <c r="G95" s="87">
        <v>277</v>
      </c>
      <c r="H95" s="98">
        <v>40815</v>
      </c>
      <c r="I95" s="87">
        <v>4.16</v>
      </c>
      <c r="J95" s="98">
        <v>7.0000000000000007E-2</v>
      </c>
      <c r="K95" s="13"/>
    </row>
    <row r="96" spans="1:11" ht="13.5" customHeight="1">
      <c r="A96" s="60"/>
      <c r="B96" s="98"/>
      <c r="C96" s="87"/>
      <c r="D96" s="98"/>
      <c r="E96" s="87"/>
      <c r="F96" s="98"/>
      <c r="G96" s="87"/>
      <c r="H96" s="98"/>
      <c r="I96" s="87"/>
      <c r="J96" s="98"/>
      <c r="K96" s="13"/>
    </row>
    <row r="97" spans="1:11" ht="13.5" customHeight="1">
      <c r="A97" s="60">
        <v>7</v>
      </c>
      <c r="B97" s="98">
        <v>392376.94</v>
      </c>
      <c r="C97" s="87">
        <v>351124.4</v>
      </c>
      <c r="D97" s="98">
        <v>82330.75</v>
      </c>
      <c r="E97" s="87">
        <v>268793.65000000002</v>
      </c>
      <c r="F97" s="98">
        <v>41252.54</v>
      </c>
      <c r="G97" s="87">
        <v>276.7</v>
      </c>
      <c r="H97" s="98">
        <v>40970.01</v>
      </c>
      <c r="I97" s="87">
        <v>5.75</v>
      </c>
      <c r="J97" s="98">
        <v>0.08</v>
      </c>
      <c r="K97" s="13"/>
    </row>
    <row r="98" spans="1:11" ht="13.5" customHeight="1">
      <c r="A98" s="60">
        <v>8</v>
      </c>
      <c r="B98" s="98">
        <v>397678.62</v>
      </c>
      <c r="C98" s="87">
        <v>356373.45</v>
      </c>
      <c r="D98" s="98">
        <v>78028.850000000006</v>
      </c>
      <c r="E98" s="87">
        <v>278344.59999999998</v>
      </c>
      <c r="F98" s="98">
        <v>41305.17</v>
      </c>
      <c r="G98" s="87">
        <v>280.52</v>
      </c>
      <c r="H98" s="98">
        <v>41017.879999999997</v>
      </c>
      <c r="I98" s="87">
        <v>6.44</v>
      </c>
      <c r="J98" s="98">
        <v>0.33</v>
      </c>
      <c r="K98" s="13"/>
    </row>
    <row r="99" spans="1:11" ht="13.5" customHeight="1">
      <c r="A99" s="60">
        <v>9</v>
      </c>
      <c r="B99" s="98">
        <v>392064.74</v>
      </c>
      <c r="C99" s="87">
        <v>351059.27</v>
      </c>
      <c r="D99" s="98">
        <v>73051.490000000005</v>
      </c>
      <c r="E99" s="87">
        <v>278007.78000000003</v>
      </c>
      <c r="F99" s="98">
        <v>41005.47</v>
      </c>
      <c r="G99" s="87">
        <v>491.49</v>
      </c>
      <c r="H99" s="98">
        <v>40508.61</v>
      </c>
      <c r="I99" s="87">
        <v>5.15</v>
      </c>
      <c r="J99" s="98">
        <v>0.22</v>
      </c>
      <c r="K99" s="13"/>
    </row>
    <row r="100" spans="1:11" ht="13.5" customHeight="1">
      <c r="A100" s="60"/>
      <c r="B100" s="98"/>
      <c r="C100" s="87"/>
      <c r="D100" s="98"/>
      <c r="E100" s="87"/>
      <c r="F100" s="98"/>
      <c r="G100" s="87"/>
      <c r="H100" s="98"/>
      <c r="I100" s="87"/>
      <c r="J100" s="98"/>
      <c r="K100" s="13"/>
    </row>
    <row r="101" spans="1:11" ht="13.5" customHeight="1">
      <c r="A101" s="60">
        <v>10</v>
      </c>
      <c r="B101" s="98">
        <v>378496.12</v>
      </c>
      <c r="C101" s="87">
        <v>337989.04</v>
      </c>
      <c r="D101" s="98">
        <v>68853.679999999993</v>
      </c>
      <c r="E101" s="87">
        <v>269135.35999999999</v>
      </c>
      <c r="F101" s="98">
        <v>40507.08</v>
      </c>
      <c r="G101" s="87">
        <v>495.49</v>
      </c>
      <c r="H101" s="98">
        <v>40005.199999999997</v>
      </c>
      <c r="I101" s="87">
        <v>6.34</v>
      </c>
      <c r="J101" s="98">
        <v>0.05</v>
      </c>
      <c r="K101" s="13"/>
    </row>
    <row r="102" spans="1:11" ht="13.5" customHeight="1">
      <c r="A102" s="60">
        <v>11</v>
      </c>
      <c r="B102" s="98">
        <v>379856.06</v>
      </c>
      <c r="C102" s="87">
        <v>344373.38</v>
      </c>
      <c r="D102" s="98">
        <v>75511.63</v>
      </c>
      <c r="E102" s="87">
        <v>268861.75</v>
      </c>
      <c r="F102" s="98">
        <v>35482.68</v>
      </c>
      <c r="G102" s="87">
        <v>986.47</v>
      </c>
      <c r="H102" s="98">
        <v>34491.61</v>
      </c>
      <c r="I102" s="87">
        <v>4.3600000000000003</v>
      </c>
      <c r="J102" s="98">
        <v>0.24</v>
      </c>
      <c r="K102" s="13"/>
    </row>
    <row r="103" spans="1:11" ht="13.5" customHeight="1">
      <c r="A103" s="60">
        <v>12</v>
      </c>
      <c r="B103" s="98">
        <v>353007.76</v>
      </c>
      <c r="C103" s="87">
        <v>325276.90999999997</v>
      </c>
      <c r="D103" s="98">
        <v>72008.86</v>
      </c>
      <c r="E103" s="87">
        <v>253268.05</v>
      </c>
      <c r="F103" s="98">
        <v>27730.85</v>
      </c>
      <c r="G103" s="87">
        <v>980.33</v>
      </c>
      <c r="H103" s="98">
        <v>26745.78</v>
      </c>
      <c r="I103" s="87">
        <v>4.26</v>
      </c>
      <c r="J103" s="98">
        <v>0.48</v>
      </c>
      <c r="K103" s="13"/>
    </row>
    <row r="104" spans="1:11" ht="13.5" customHeight="1">
      <c r="A104" s="60"/>
      <c r="B104" s="98"/>
      <c r="C104" s="87"/>
      <c r="D104" s="98"/>
      <c r="E104" s="87"/>
      <c r="F104" s="98"/>
      <c r="G104" s="87"/>
      <c r="H104" s="98"/>
      <c r="I104" s="87"/>
      <c r="J104" s="98"/>
      <c r="K104" s="13"/>
    </row>
    <row r="105" spans="1:11" ht="13.5" customHeight="1">
      <c r="A105" s="60">
        <v>2024.1</v>
      </c>
      <c r="B105" s="98">
        <v>381808.32</v>
      </c>
      <c r="C105" s="87">
        <v>340897.27</v>
      </c>
      <c r="D105" s="98">
        <v>83778.11</v>
      </c>
      <c r="E105" s="87">
        <v>257119.16</v>
      </c>
      <c r="F105" s="98">
        <v>40911.050000000003</v>
      </c>
      <c r="G105" s="87">
        <v>985.59</v>
      </c>
      <c r="H105" s="98">
        <v>39922.31</v>
      </c>
      <c r="I105" s="87">
        <v>2.97</v>
      </c>
      <c r="J105" s="98">
        <v>0.18</v>
      </c>
      <c r="K105" s="13"/>
    </row>
    <row r="106" spans="1:11" ht="13.5" customHeight="1">
      <c r="A106" s="60">
        <v>2</v>
      </c>
      <c r="B106" s="98">
        <v>404034.85</v>
      </c>
      <c r="C106" s="87">
        <v>355654.79</v>
      </c>
      <c r="D106" s="98">
        <v>91233.07</v>
      </c>
      <c r="E106" s="87">
        <v>264421.71999999997</v>
      </c>
      <c r="F106" s="98">
        <v>48380.06</v>
      </c>
      <c r="G106" s="87">
        <v>989.99</v>
      </c>
      <c r="H106" s="98">
        <v>47386.81</v>
      </c>
      <c r="I106" s="87">
        <v>2.97</v>
      </c>
      <c r="J106" s="98">
        <v>0.28999999999999998</v>
      </c>
      <c r="K106" s="13"/>
    </row>
    <row r="107" spans="1:11" ht="13.5" customHeight="1">
      <c r="A107" s="60">
        <v>3</v>
      </c>
      <c r="B107" s="98">
        <v>429950.14</v>
      </c>
      <c r="C107" s="87">
        <v>380926.93</v>
      </c>
      <c r="D107" s="98">
        <v>106837.04</v>
      </c>
      <c r="E107" s="87">
        <v>274089.89</v>
      </c>
      <c r="F107" s="98">
        <v>49023.21</v>
      </c>
      <c r="G107" s="87">
        <v>1235.68</v>
      </c>
      <c r="H107" s="98">
        <v>47783.55</v>
      </c>
      <c r="I107" s="87">
        <v>3.46</v>
      </c>
      <c r="J107" s="98">
        <v>0.52</v>
      </c>
      <c r="K107" s="13"/>
    </row>
    <row r="108" spans="1:11" ht="13.5" customHeight="1">
      <c r="A108" s="60"/>
      <c r="B108" s="98"/>
      <c r="C108" s="87"/>
      <c r="D108" s="98"/>
      <c r="E108" s="87"/>
      <c r="F108" s="98"/>
      <c r="G108" s="87"/>
      <c r="H108" s="98"/>
      <c r="I108" s="87"/>
      <c r="J108" s="98"/>
      <c r="K108" s="13"/>
    </row>
    <row r="109" spans="1:11" ht="13.5" customHeight="1">
      <c r="A109" s="60">
        <v>4</v>
      </c>
      <c r="B109" s="98">
        <v>428832.67</v>
      </c>
      <c r="C109" s="87">
        <v>378640.49</v>
      </c>
      <c r="D109" s="98">
        <v>98124.59</v>
      </c>
      <c r="E109" s="87">
        <v>280515.90000000002</v>
      </c>
      <c r="F109" s="98">
        <v>50192.18</v>
      </c>
      <c r="G109" s="87">
        <v>1972.37</v>
      </c>
      <c r="H109" s="98">
        <v>48216.62</v>
      </c>
      <c r="I109" s="87">
        <v>2.96</v>
      </c>
      <c r="J109" s="98">
        <v>0.23</v>
      </c>
      <c r="K109" s="13"/>
    </row>
    <row r="110" spans="1:11" ht="13.5" customHeight="1">
      <c r="A110" s="60">
        <v>5</v>
      </c>
      <c r="B110" s="98">
        <v>433964.58</v>
      </c>
      <c r="C110" s="87">
        <v>383756.54</v>
      </c>
      <c r="D110" s="98">
        <v>98701.5</v>
      </c>
      <c r="E110" s="87">
        <v>285055.03999999998</v>
      </c>
      <c r="F110" s="98">
        <v>50208.04</v>
      </c>
      <c r="G110" s="87">
        <v>2172.38</v>
      </c>
      <c r="H110" s="98">
        <v>48029.24</v>
      </c>
      <c r="I110" s="87">
        <v>4.95</v>
      </c>
      <c r="J110" s="98">
        <v>1.47</v>
      </c>
      <c r="K110" s="13"/>
    </row>
    <row r="111" spans="1:11" ht="13.5" customHeight="1">
      <c r="A111" s="60">
        <v>6</v>
      </c>
      <c r="B111" s="98">
        <v>441262.17</v>
      </c>
      <c r="C111" s="87">
        <v>390011.19</v>
      </c>
      <c r="D111" s="98">
        <v>114476.45</v>
      </c>
      <c r="E111" s="87">
        <v>275534.74</v>
      </c>
      <c r="F111" s="98">
        <v>51250.98</v>
      </c>
      <c r="G111" s="87">
        <v>3095.08</v>
      </c>
      <c r="H111" s="98">
        <v>48150.78</v>
      </c>
      <c r="I111" s="87">
        <v>4.46</v>
      </c>
      <c r="J111" s="98">
        <v>0.66</v>
      </c>
      <c r="K111" s="13"/>
    </row>
    <row r="112" spans="1:11" ht="13.5" customHeight="1">
      <c r="A112" s="60"/>
      <c r="B112" s="98"/>
      <c r="C112" s="87"/>
      <c r="D112" s="98"/>
      <c r="E112" s="87"/>
      <c r="F112" s="98"/>
      <c r="G112" s="87"/>
      <c r="H112" s="98"/>
      <c r="I112" s="87"/>
      <c r="J112" s="98"/>
      <c r="K112" s="13"/>
    </row>
    <row r="113" spans="1:31" ht="13.5" customHeight="1">
      <c r="A113" s="60">
        <v>7</v>
      </c>
      <c r="B113" s="98">
        <v>431043.29</v>
      </c>
      <c r="C113" s="87">
        <v>380166.91</v>
      </c>
      <c r="D113" s="98">
        <v>96828.53</v>
      </c>
      <c r="E113" s="87">
        <v>283338.38</v>
      </c>
      <c r="F113" s="98">
        <v>50876.38</v>
      </c>
      <c r="G113" s="87">
        <v>2678.32</v>
      </c>
      <c r="H113" s="98">
        <v>48192.6</v>
      </c>
      <c r="I113" s="87">
        <v>5.16</v>
      </c>
      <c r="J113" s="98">
        <v>0.3</v>
      </c>
      <c r="K113" s="13"/>
    </row>
    <row r="114" spans="1:31" ht="13.5" customHeight="1">
      <c r="A114" s="60">
        <v>8</v>
      </c>
      <c r="B114" s="98">
        <v>433038.88</v>
      </c>
      <c r="C114" s="87">
        <v>382909.1</v>
      </c>
      <c r="D114" s="98">
        <v>96205.66</v>
      </c>
      <c r="E114" s="87">
        <v>286703.44</v>
      </c>
      <c r="F114" s="98">
        <v>50129.78</v>
      </c>
      <c r="G114" s="87">
        <v>2674.75</v>
      </c>
      <c r="H114" s="98">
        <v>47450.42</v>
      </c>
      <c r="I114" s="87">
        <v>4.26</v>
      </c>
      <c r="J114" s="98">
        <v>0.35</v>
      </c>
      <c r="K114" s="13"/>
    </row>
    <row r="115" spans="1:31" ht="13.5" customHeight="1">
      <c r="A115" s="60">
        <v>9</v>
      </c>
      <c r="B115" s="98">
        <v>419344.14</v>
      </c>
      <c r="C115" s="87">
        <v>369764.64</v>
      </c>
      <c r="D115" s="98">
        <v>87290.72</v>
      </c>
      <c r="E115" s="87">
        <v>282473.92</v>
      </c>
      <c r="F115" s="98">
        <v>49579.5</v>
      </c>
      <c r="G115" s="87">
        <v>1996.24</v>
      </c>
      <c r="H115" s="98">
        <v>47578.28</v>
      </c>
      <c r="I115" s="87">
        <v>4.76</v>
      </c>
      <c r="J115" s="98">
        <v>0.22</v>
      </c>
      <c r="K115" s="13"/>
    </row>
    <row r="116" spans="1:31" ht="13.5" customHeight="1">
      <c r="A116" s="60"/>
      <c r="B116" s="98"/>
      <c r="C116" s="87"/>
      <c r="D116" s="98"/>
      <c r="E116" s="87"/>
      <c r="F116" s="98"/>
      <c r="G116" s="87"/>
      <c r="H116" s="98"/>
      <c r="I116" s="87"/>
      <c r="J116" s="98"/>
      <c r="K116" s="13"/>
    </row>
    <row r="117" spans="1:31" ht="13.5" customHeight="1">
      <c r="A117" s="60">
        <v>10</v>
      </c>
      <c r="B117" s="98">
        <v>420016.56</v>
      </c>
      <c r="C117" s="87">
        <v>370556.51</v>
      </c>
      <c r="D117" s="98">
        <v>87596.71</v>
      </c>
      <c r="E117" s="87">
        <v>282959.8</v>
      </c>
      <c r="F117" s="98">
        <v>49460.05</v>
      </c>
      <c r="G117" s="87">
        <v>1994.04</v>
      </c>
      <c r="H117" s="98">
        <v>47462.31</v>
      </c>
      <c r="I117" s="87">
        <v>3.07</v>
      </c>
      <c r="J117" s="98">
        <v>0.63</v>
      </c>
      <c r="K117" s="13"/>
    </row>
    <row r="118" spans="1:31" ht="13.5" customHeight="1">
      <c r="A118" s="60">
        <v>11</v>
      </c>
      <c r="B118" s="98">
        <v>391868.4</v>
      </c>
      <c r="C118" s="87">
        <v>351675.33</v>
      </c>
      <c r="D118" s="98">
        <v>82611.179999999993</v>
      </c>
      <c r="E118" s="87">
        <v>269064.15000000002</v>
      </c>
      <c r="F118" s="98">
        <v>40193.07</v>
      </c>
      <c r="G118" s="87">
        <v>1756.59</v>
      </c>
      <c r="H118" s="98">
        <v>38432.1</v>
      </c>
      <c r="I118" s="87">
        <v>3.97</v>
      </c>
      <c r="J118" s="98">
        <v>0.41</v>
      </c>
      <c r="K118" s="13"/>
    </row>
    <row r="119" spans="1:31" ht="13.5" customHeight="1">
      <c r="A119" s="60">
        <v>12</v>
      </c>
      <c r="B119" s="98">
        <v>369807.64</v>
      </c>
      <c r="C119" s="87">
        <v>334927.86</v>
      </c>
      <c r="D119" s="98">
        <v>72008.2</v>
      </c>
      <c r="E119" s="87">
        <v>262919.65999999997</v>
      </c>
      <c r="F119" s="98">
        <v>34879.78</v>
      </c>
      <c r="G119" s="87">
        <v>1754.23</v>
      </c>
      <c r="H119" s="98">
        <v>33123.32</v>
      </c>
      <c r="I119" s="87">
        <v>1.98</v>
      </c>
      <c r="J119" s="98">
        <v>0.25</v>
      </c>
      <c r="K119" s="13"/>
    </row>
    <row r="120" spans="1:31" ht="13.5" customHeight="1">
      <c r="A120" s="60"/>
      <c r="B120" s="98"/>
      <c r="C120" s="87"/>
      <c r="D120" s="98"/>
      <c r="E120" s="87"/>
      <c r="F120" s="98"/>
      <c r="G120" s="87"/>
      <c r="H120" s="98"/>
      <c r="I120" s="87"/>
      <c r="J120" s="98"/>
      <c r="K120" s="13"/>
    </row>
    <row r="121" spans="1:31" ht="13.5" customHeight="1">
      <c r="A121" s="60">
        <v>2025.1</v>
      </c>
      <c r="B121" s="98">
        <v>368925.83</v>
      </c>
      <c r="C121" s="87">
        <v>341449.8</v>
      </c>
      <c r="D121" s="98">
        <v>83693.279999999999</v>
      </c>
      <c r="E121" s="87">
        <v>257756.52</v>
      </c>
      <c r="F121" s="98">
        <v>27476.03</v>
      </c>
      <c r="G121" s="87">
        <v>518.44000000000005</v>
      </c>
      <c r="H121" s="98">
        <v>26953.62</v>
      </c>
      <c r="I121" s="87">
        <v>3.87</v>
      </c>
      <c r="J121" s="98">
        <v>0.1</v>
      </c>
      <c r="K121" s="13"/>
    </row>
    <row r="122" spans="1:31" ht="13.5" customHeight="1">
      <c r="A122" s="60">
        <v>2</v>
      </c>
      <c r="B122" s="98">
        <v>374613</v>
      </c>
      <c r="C122" s="87">
        <v>347654.89</v>
      </c>
      <c r="D122" s="98">
        <v>85242</v>
      </c>
      <c r="E122" s="87">
        <v>262412.89</v>
      </c>
      <c r="F122" s="98">
        <v>26958.11</v>
      </c>
      <c r="G122" s="87">
        <v>523.04999999999995</v>
      </c>
      <c r="H122" s="98">
        <v>26431.919999999998</v>
      </c>
      <c r="I122" s="87">
        <v>3.08</v>
      </c>
      <c r="J122" s="98">
        <v>0.06</v>
      </c>
      <c r="K122" s="13"/>
    </row>
    <row r="123" spans="1:31" ht="13.5" customHeight="1">
      <c r="A123" s="60">
        <v>3</v>
      </c>
      <c r="B123" s="98">
        <v>393642.91</v>
      </c>
      <c r="C123" s="87">
        <v>367542.81</v>
      </c>
      <c r="D123" s="98">
        <v>103283.78</v>
      </c>
      <c r="E123" s="87">
        <v>264259.03000000003</v>
      </c>
      <c r="F123" s="98">
        <v>26100.1</v>
      </c>
      <c r="G123" s="87">
        <v>506.05</v>
      </c>
      <c r="H123" s="98">
        <v>25589.49</v>
      </c>
      <c r="I123" s="87">
        <v>4.37</v>
      </c>
      <c r="J123" s="98">
        <v>0.19</v>
      </c>
      <c r="K123" s="13"/>
    </row>
    <row r="124" spans="1:31" ht="13.5" customHeight="1">
      <c r="A124" s="60"/>
      <c r="B124" s="98"/>
      <c r="C124" s="87"/>
      <c r="D124" s="98"/>
      <c r="E124" s="87"/>
      <c r="F124" s="98"/>
      <c r="G124" s="87"/>
      <c r="H124" s="98"/>
      <c r="I124" s="87"/>
      <c r="J124" s="98"/>
      <c r="K124" s="13"/>
    </row>
    <row r="125" spans="1:31" ht="13.5" customHeight="1">
      <c r="A125" s="60">
        <v>4</v>
      </c>
      <c r="B125" s="98">
        <v>379655.06</v>
      </c>
      <c r="C125" s="87">
        <v>355044.49</v>
      </c>
      <c r="D125" s="98">
        <v>100361.9</v>
      </c>
      <c r="E125" s="87">
        <v>254682.59</v>
      </c>
      <c r="F125" s="98">
        <v>24610.57</v>
      </c>
      <c r="G125" s="87">
        <v>97.65</v>
      </c>
      <c r="H125" s="98">
        <v>24510.400000000001</v>
      </c>
      <c r="I125" s="87">
        <v>2.48</v>
      </c>
      <c r="J125" s="98">
        <v>0.04</v>
      </c>
      <c r="K125" s="13"/>
      <c r="AE125" s="51"/>
    </row>
    <row r="126" spans="1:31" ht="13.5" customHeight="1">
      <c r="A126" s="60">
        <v>5</v>
      </c>
      <c r="B126" s="98">
        <v>375595.65</v>
      </c>
      <c r="C126" s="87">
        <v>348914.48</v>
      </c>
      <c r="D126" s="98">
        <v>100005.21</v>
      </c>
      <c r="E126" s="87">
        <v>248909.27</v>
      </c>
      <c r="F126" s="98">
        <v>26681.17</v>
      </c>
      <c r="G126" s="87">
        <v>103.6</v>
      </c>
      <c r="H126" s="98">
        <v>26573.67</v>
      </c>
      <c r="I126" s="87">
        <v>3.78</v>
      </c>
      <c r="J126" s="98">
        <v>0.12</v>
      </c>
      <c r="K126" s="13"/>
      <c r="AE126" s="51"/>
    </row>
    <row r="127" spans="1:31" ht="13.5" customHeight="1">
      <c r="A127" s="60">
        <v>6</v>
      </c>
      <c r="B127" s="98">
        <v>383824.08</v>
      </c>
      <c r="C127" s="87">
        <v>357266.32</v>
      </c>
      <c r="D127" s="98">
        <v>100931.92</v>
      </c>
      <c r="E127" s="87">
        <v>256334.4</v>
      </c>
      <c r="F127" s="98">
        <v>26557.759999999998</v>
      </c>
      <c r="G127" s="87">
        <v>99.25</v>
      </c>
      <c r="H127" s="98">
        <v>26450.31</v>
      </c>
      <c r="I127" s="87">
        <v>7.91</v>
      </c>
      <c r="J127" s="98">
        <v>0.28999999999999998</v>
      </c>
      <c r="K127" s="13"/>
      <c r="AE127" s="51"/>
    </row>
    <row r="128" spans="1:31" ht="13.5" customHeight="1">
      <c r="A128" s="60"/>
      <c r="B128" s="98"/>
      <c r="C128" s="87"/>
      <c r="D128" s="98"/>
      <c r="E128" s="87"/>
      <c r="F128" s="98"/>
      <c r="G128" s="87"/>
      <c r="H128" s="98"/>
      <c r="I128" s="87"/>
      <c r="J128" s="98"/>
      <c r="K128" s="13"/>
      <c r="AE128" s="51"/>
    </row>
    <row r="129" spans="1:31" ht="13.5" customHeight="1">
      <c r="A129" s="60">
        <v>7</v>
      </c>
      <c r="B129" s="98">
        <v>375840.78</v>
      </c>
      <c r="C129" s="87">
        <v>348287.2</v>
      </c>
      <c r="D129" s="98">
        <v>92131.91</v>
      </c>
      <c r="E129" s="87">
        <v>256155.29</v>
      </c>
      <c r="F129" s="98">
        <v>27553.58</v>
      </c>
      <c r="G129" s="87">
        <v>98.85</v>
      </c>
      <c r="H129" s="98">
        <v>27444.31</v>
      </c>
      <c r="I129" s="87">
        <v>10.3</v>
      </c>
      <c r="J129" s="98">
        <v>0.12</v>
      </c>
      <c r="K129" s="13"/>
      <c r="AE129" s="51"/>
    </row>
    <row r="130" spans="1:31" ht="13.5" customHeight="1">
      <c r="A130" s="60">
        <v>8</v>
      </c>
      <c r="B130" s="98">
        <v>377493.6</v>
      </c>
      <c r="C130" s="87">
        <v>349669.23</v>
      </c>
      <c r="D130" s="98">
        <v>83787.72</v>
      </c>
      <c r="E130" s="87">
        <v>265881.51</v>
      </c>
      <c r="F130" s="98">
        <v>27824.37</v>
      </c>
      <c r="G130" s="87">
        <v>490.71</v>
      </c>
      <c r="H130" s="98">
        <v>27324.33</v>
      </c>
      <c r="I130" s="87">
        <v>9.2100000000000009</v>
      </c>
      <c r="J130" s="98">
        <v>0.12</v>
      </c>
      <c r="K130" s="13"/>
      <c r="AE130" s="51"/>
    </row>
    <row r="131" spans="1:31" ht="13.5" customHeight="1">
      <c r="A131" s="60">
        <v>9</v>
      </c>
      <c r="B131" s="98">
        <v>385374.98</v>
      </c>
      <c r="C131" s="87">
        <v>356518.84</v>
      </c>
      <c r="D131" s="98">
        <v>87954.75</v>
      </c>
      <c r="E131" s="87">
        <v>268564.09000000003</v>
      </c>
      <c r="F131" s="98">
        <v>28856.14</v>
      </c>
      <c r="G131" s="87">
        <v>1439.68</v>
      </c>
      <c r="H131" s="98">
        <v>27411.01</v>
      </c>
      <c r="I131" s="87">
        <v>5.07</v>
      </c>
      <c r="J131" s="98">
        <v>0.38</v>
      </c>
      <c r="K131" s="13"/>
      <c r="AE131" s="51"/>
    </row>
    <row r="132" spans="1:31" ht="13.5" customHeight="1">
      <c r="A132" s="60"/>
      <c r="B132" s="98"/>
      <c r="C132" s="87"/>
      <c r="D132" s="98"/>
      <c r="E132" s="87"/>
      <c r="F132" s="98"/>
      <c r="G132" s="87"/>
      <c r="H132" s="98"/>
      <c r="I132" s="87"/>
      <c r="J132" s="98"/>
      <c r="K132" s="13"/>
      <c r="AE132" s="51"/>
    </row>
    <row r="133" spans="1:31" ht="13.5" customHeight="1">
      <c r="A133" s="60">
        <v>10</v>
      </c>
      <c r="B133" s="98">
        <v>375807.19</v>
      </c>
      <c r="C133" s="87">
        <v>346956.91</v>
      </c>
      <c r="D133" s="98">
        <v>80550.34</v>
      </c>
      <c r="E133" s="87">
        <v>266406.57</v>
      </c>
      <c r="F133" s="98">
        <v>28850.28</v>
      </c>
      <c r="G133" s="87">
        <v>1439.59</v>
      </c>
      <c r="H133" s="98">
        <v>27409.07</v>
      </c>
      <c r="I133" s="87">
        <v>1.39</v>
      </c>
      <c r="J133" s="98">
        <v>0.23</v>
      </c>
      <c r="K133" s="13"/>
      <c r="AE133" s="51"/>
    </row>
    <row r="134" spans="1:31" ht="13.5" customHeight="1">
      <c r="A134" s="60">
        <v>11</v>
      </c>
      <c r="B134" s="98">
        <v>374619.03</v>
      </c>
      <c r="C134" s="87">
        <v>345372.76</v>
      </c>
      <c r="D134" s="98">
        <v>80950.080000000002</v>
      </c>
      <c r="E134" s="87">
        <v>264422.68</v>
      </c>
      <c r="F134" s="98">
        <v>29246.27</v>
      </c>
      <c r="G134" s="87">
        <v>1638.58</v>
      </c>
      <c r="H134" s="98">
        <v>27605.32</v>
      </c>
      <c r="I134" s="87">
        <v>1.89</v>
      </c>
      <c r="J134" s="98">
        <v>0.48</v>
      </c>
      <c r="K134" s="13"/>
      <c r="AE134" s="51"/>
    </row>
    <row r="135" spans="1:31">
      <c r="A135" s="60">
        <v>12</v>
      </c>
      <c r="B135" s="98">
        <v>354717.29</v>
      </c>
      <c r="C135" s="87">
        <v>325429.05</v>
      </c>
      <c r="D135" s="98">
        <v>70883.61</v>
      </c>
      <c r="E135" s="87">
        <v>254545.44</v>
      </c>
      <c r="F135" s="98">
        <v>29288.240000000002</v>
      </c>
      <c r="G135" s="87">
        <v>1637.4</v>
      </c>
      <c r="H135" s="98">
        <v>27646.26</v>
      </c>
      <c r="I135" s="87">
        <v>4.17</v>
      </c>
      <c r="J135" s="98">
        <v>0.41</v>
      </c>
      <c r="K135" s="13"/>
    </row>
    <row r="136" spans="1:31">
      <c r="A136" s="60"/>
      <c r="B136" s="98"/>
      <c r="C136" s="87"/>
      <c r="D136" s="98"/>
      <c r="E136" s="87"/>
      <c r="F136" s="98"/>
      <c r="G136" s="87"/>
      <c r="H136" s="98"/>
      <c r="I136" s="87"/>
      <c r="J136" s="98"/>
      <c r="K136" s="13"/>
    </row>
    <row r="137" spans="1:31">
      <c r="A137" s="60">
        <v>2026.1</v>
      </c>
      <c r="B137" s="98">
        <v>359877.44</v>
      </c>
      <c r="C137" s="87">
        <v>334669.46999999997</v>
      </c>
      <c r="D137" s="98">
        <v>82341.59</v>
      </c>
      <c r="E137" s="87">
        <v>252327.88</v>
      </c>
      <c r="F137" s="98">
        <v>25207.97</v>
      </c>
      <c r="G137" s="87">
        <v>1636.43</v>
      </c>
      <c r="H137" s="98">
        <v>23566.27</v>
      </c>
      <c r="I137" s="87">
        <v>4.17</v>
      </c>
      <c r="J137" s="98">
        <v>1.1000000000000001</v>
      </c>
      <c r="K137" s="13"/>
    </row>
    <row r="138" spans="1:31">
      <c r="A138" s="60">
        <v>2</v>
      </c>
      <c r="B138" s="98">
        <v>369610.88</v>
      </c>
      <c r="C138" s="87">
        <v>347885.03</v>
      </c>
      <c r="D138" s="98">
        <v>88875.46</v>
      </c>
      <c r="E138" s="87">
        <v>259009.57</v>
      </c>
      <c r="F138" s="98">
        <v>21725.85</v>
      </c>
      <c r="G138" s="87">
        <v>1431.44</v>
      </c>
      <c r="H138" s="98">
        <v>20290.939999999999</v>
      </c>
      <c r="I138" s="87">
        <v>2.98</v>
      </c>
      <c r="J138" s="98">
        <v>0.49</v>
      </c>
    </row>
    <row r="139" spans="1:31">
      <c r="A139" s="234" t="s">
        <v>265</v>
      </c>
      <c r="B139" s="220">
        <v>383832.1</v>
      </c>
      <c r="C139" s="221">
        <v>363449.82</v>
      </c>
      <c r="D139" s="220">
        <v>100378.53</v>
      </c>
      <c r="E139" s="221">
        <v>263071.28999999998</v>
      </c>
      <c r="F139" s="220">
        <v>20382.28</v>
      </c>
      <c r="G139" s="221">
        <v>1400.31</v>
      </c>
      <c r="H139" s="220">
        <v>18981.16</v>
      </c>
      <c r="I139" s="221">
        <v>0.5</v>
      </c>
      <c r="J139" s="220">
        <v>0.31</v>
      </c>
    </row>
  </sheetData>
  <mergeCells count="5">
    <mergeCell ref="C6:E6"/>
    <mergeCell ref="A6:A7"/>
    <mergeCell ref="A2:J2"/>
    <mergeCell ref="B6:B7"/>
    <mergeCell ref="F6:J6"/>
  </mergeCells>
  <phoneticPr fontId="9" type="noConversion"/>
  <printOptions horizontalCentered="1"/>
  <pageMargins left="0.55118110236220474" right="0.55118110236220474" top="0.78740157480314965" bottom="0.78740157480314965" header="0.39370078740157483" footer="0.39370078740157483"/>
  <pageSetup paperSize="9" scale="4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R140"/>
  <sheetViews>
    <sheetView zoomScale="85" zoomScaleNormal="85" workbookViewId="0">
      <pane xSplit="1" ySplit="7" topLeftCell="B132" activePane="bottomRight" state="frozen"/>
      <selection activeCell="E91" sqref="E91"/>
      <selection pane="topRight" activeCell="E91" sqref="E91"/>
      <selection pane="bottomLeft" activeCell="E91" sqref="E91"/>
      <selection pane="bottomRight" activeCell="A132" sqref="A132"/>
    </sheetView>
  </sheetViews>
  <sheetFormatPr defaultColWidth="8.88671875" defaultRowHeight="13.5"/>
  <cols>
    <col min="1" max="9" width="10.77734375" style="12" customWidth="1"/>
    <col min="10" max="16384" width="8.88671875" style="12"/>
  </cols>
  <sheetData>
    <row r="1" spans="1:10" s="1" customFormat="1" ht="12">
      <c r="A1" s="53"/>
      <c r="B1" s="53"/>
      <c r="C1" s="53"/>
      <c r="D1" s="53"/>
      <c r="E1" s="53"/>
      <c r="F1" s="53"/>
      <c r="G1" s="53"/>
      <c r="H1" s="53"/>
      <c r="I1" s="48"/>
    </row>
    <row r="2" spans="1:10" s="1" customFormat="1" ht="12">
      <c r="A2" s="55"/>
      <c r="B2" s="55"/>
      <c r="C2" s="55"/>
      <c r="D2" s="55"/>
      <c r="E2" s="55"/>
      <c r="F2" s="55"/>
      <c r="G2" s="55"/>
      <c r="H2" s="55"/>
      <c r="I2" s="55"/>
    </row>
    <row r="3" spans="1:10" s="1" customFormat="1" ht="12">
      <c r="A3" s="55"/>
      <c r="B3" s="55"/>
      <c r="C3" s="55"/>
      <c r="D3" s="55"/>
      <c r="E3" s="55"/>
      <c r="F3" s="55"/>
      <c r="G3" s="55"/>
      <c r="H3" s="55"/>
      <c r="I3" s="55"/>
    </row>
    <row r="4" spans="1:10" s="1" customFormat="1" ht="12">
      <c r="A4" s="55"/>
      <c r="B4" s="55"/>
      <c r="C4" s="55"/>
      <c r="D4" s="55"/>
      <c r="E4" s="55"/>
      <c r="F4" s="55"/>
      <c r="G4" s="55"/>
      <c r="H4" s="55"/>
      <c r="I4" s="55"/>
    </row>
    <row r="5" spans="1:10" ht="19.5" customHeight="1">
      <c r="A5" s="1" t="s">
        <v>98</v>
      </c>
      <c r="B5" s="5"/>
      <c r="C5" s="8"/>
      <c r="D5" s="8"/>
      <c r="E5" s="8"/>
      <c r="F5" s="8"/>
      <c r="G5" s="8"/>
      <c r="H5" s="4"/>
      <c r="I5" s="4" t="s">
        <v>100</v>
      </c>
    </row>
    <row r="6" spans="1:10" ht="20.25" customHeight="1">
      <c r="A6" s="276" t="s">
        <v>1</v>
      </c>
      <c r="B6" s="279" t="s">
        <v>51</v>
      </c>
      <c r="C6" s="271" t="s">
        <v>22</v>
      </c>
      <c r="D6" s="272"/>
      <c r="E6" s="272"/>
      <c r="F6" s="272"/>
      <c r="G6" s="272"/>
      <c r="H6" s="272"/>
      <c r="I6" s="272"/>
    </row>
    <row r="7" spans="1:10" ht="27.75" customHeight="1">
      <c r="A7" s="281"/>
      <c r="B7" s="280"/>
      <c r="C7" s="7" t="s">
        <v>42</v>
      </c>
      <c r="D7" s="7" t="s">
        <v>24</v>
      </c>
      <c r="E7" s="7" t="s">
        <v>39</v>
      </c>
      <c r="F7" s="9" t="s">
        <v>152</v>
      </c>
      <c r="G7" s="9" t="s">
        <v>25</v>
      </c>
      <c r="H7" s="9" t="s">
        <v>26</v>
      </c>
      <c r="I7" s="148" t="s">
        <v>52</v>
      </c>
    </row>
    <row r="8" spans="1:10" s="23" customFormat="1" ht="13.5" customHeight="1">
      <c r="A8" s="72" t="s">
        <v>50</v>
      </c>
      <c r="B8" s="89">
        <v>131623.15</v>
      </c>
      <c r="C8" s="88">
        <v>19316.43</v>
      </c>
      <c r="D8" s="89">
        <v>109.26</v>
      </c>
      <c r="E8" s="88">
        <v>154.74</v>
      </c>
      <c r="F8" s="89">
        <v>12046.92</v>
      </c>
      <c r="G8" s="89">
        <v>3067.44</v>
      </c>
      <c r="H8" s="88">
        <v>3924.18</v>
      </c>
      <c r="I8" s="99">
        <v>13.889999999999418</v>
      </c>
      <c r="J8" s="19"/>
    </row>
    <row r="9" spans="1:10" s="27" customFormat="1" ht="13.5" customHeight="1">
      <c r="A9" s="72" t="s">
        <v>81</v>
      </c>
      <c r="B9" s="89">
        <v>137184.57</v>
      </c>
      <c r="C9" s="88">
        <v>21737.83</v>
      </c>
      <c r="D9" s="89">
        <v>58.57</v>
      </c>
      <c r="E9" s="88">
        <v>168.87</v>
      </c>
      <c r="F9" s="89">
        <v>13944.36</v>
      </c>
      <c r="G9" s="89">
        <v>3163.65</v>
      </c>
      <c r="H9" s="88">
        <v>4384.5</v>
      </c>
      <c r="I9" s="99">
        <v>17.880000000001019</v>
      </c>
      <c r="J9" s="31"/>
    </row>
    <row r="10" spans="1:10" s="27" customFormat="1" ht="13.5" customHeight="1">
      <c r="A10" s="72" t="s">
        <v>87</v>
      </c>
      <c r="B10" s="89">
        <v>148087.47</v>
      </c>
      <c r="C10" s="88">
        <v>23789.94</v>
      </c>
      <c r="D10" s="89">
        <v>69.7</v>
      </c>
      <c r="E10" s="88">
        <v>192.71</v>
      </c>
      <c r="F10" s="89">
        <v>15079.12</v>
      </c>
      <c r="G10" s="89">
        <v>3470.23</v>
      </c>
      <c r="H10" s="88">
        <v>4961.2299999999996</v>
      </c>
      <c r="I10" s="99">
        <v>16.95</v>
      </c>
      <c r="J10" s="31"/>
    </row>
    <row r="11" spans="1:10" s="27" customFormat="1" ht="13.5" customHeight="1">
      <c r="A11" s="72" t="s">
        <v>129</v>
      </c>
      <c r="B11" s="89">
        <v>156641.41</v>
      </c>
      <c r="C11" s="88">
        <v>29090.880000000001</v>
      </c>
      <c r="D11" s="89">
        <v>847.89</v>
      </c>
      <c r="E11" s="88">
        <v>223.51</v>
      </c>
      <c r="F11" s="89">
        <v>18065.63</v>
      </c>
      <c r="G11" s="89">
        <v>3628.89</v>
      </c>
      <c r="H11" s="88">
        <v>6304.24</v>
      </c>
      <c r="I11" s="99">
        <v>20.72</v>
      </c>
      <c r="J11" s="31"/>
    </row>
    <row r="12" spans="1:10" s="27" customFormat="1" ht="13.5" customHeight="1">
      <c r="A12" s="72"/>
      <c r="B12" s="89"/>
      <c r="C12" s="88"/>
      <c r="D12" s="89"/>
      <c r="E12" s="88"/>
      <c r="F12" s="89"/>
      <c r="G12" s="89"/>
      <c r="H12" s="88"/>
      <c r="I12" s="99"/>
      <c r="J12" s="31"/>
    </row>
    <row r="13" spans="1:10" s="27" customFormat="1" ht="13.5" customHeight="1">
      <c r="A13" s="92" t="s">
        <v>134</v>
      </c>
      <c r="B13" s="89">
        <v>226698.6</v>
      </c>
      <c r="C13" s="88">
        <v>35703.81</v>
      </c>
      <c r="D13" s="89">
        <v>819.98</v>
      </c>
      <c r="E13" s="88">
        <v>229.2</v>
      </c>
      <c r="F13" s="89">
        <v>24054.959999999999</v>
      </c>
      <c r="G13" s="89">
        <v>3441.95</v>
      </c>
      <c r="H13" s="88">
        <v>7139.85</v>
      </c>
      <c r="I13" s="99">
        <v>17.87</v>
      </c>
      <c r="J13" s="31"/>
    </row>
    <row r="14" spans="1:10" s="27" customFormat="1" ht="13.5" customHeight="1">
      <c r="A14" s="92" t="s">
        <v>142</v>
      </c>
      <c r="B14" s="89">
        <v>237752.7</v>
      </c>
      <c r="C14" s="88">
        <v>41324.61</v>
      </c>
      <c r="D14" s="89">
        <v>210.37</v>
      </c>
      <c r="E14" s="88">
        <v>244.27</v>
      </c>
      <c r="F14" s="89">
        <v>27850.9</v>
      </c>
      <c r="G14" s="89">
        <v>3799.37</v>
      </c>
      <c r="H14" s="88">
        <v>9198.44</v>
      </c>
      <c r="I14" s="99">
        <v>21.260000000002037</v>
      </c>
      <c r="J14" s="31"/>
    </row>
    <row r="15" spans="1:10" s="27" customFormat="1" ht="13.5" customHeight="1">
      <c r="A15" s="92" t="s">
        <v>148</v>
      </c>
      <c r="B15" s="89">
        <v>236803.62</v>
      </c>
      <c r="C15" s="89">
        <v>42793.97</v>
      </c>
      <c r="D15" s="89">
        <v>1810.39</v>
      </c>
      <c r="E15" s="89">
        <v>226.37</v>
      </c>
      <c r="F15" s="89">
        <v>29417.42</v>
      </c>
      <c r="G15" s="89">
        <v>4196.0600000000004</v>
      </c>
      <c r="H15" s="89">
        <v>7122.5</v>
      </c>
      <c r="I15" s="99">
        <v>20.97</v>
      </c>
      <c r="J15" s="31"/>
    </row>
    <row r="16" spans="1:10" s="27" customFormat="1" ht="13.5" customHeight="1">
      <c r="A16" s="92" t="s">
        <v>149</v>
      </c>
      <c r="B16" s="89">
        <v>255012.99</v>
      </c>
      <c r="C16" s="89">
        <v>48811.18</v>
      </c>
      <c r="D16" s="89">
        <v>1198.08</v>
      </c>
      <c r="E16" s="89">
        <v>246.58</v>
      </c>
      <c r="F16" s="89">
        <v>32042.38</v>
      </c>
      <c r="G16" s="89">
        <v>4350.1499999999996</v>
      </c>
      <c r="H16" s="89">
        <v>10955.47</v>
      </c>
      <c r="I16" s="99">
        <v>18.52</v>
      </c>
      <c r="J16" s="31"/>
    </row>
    <row r="17" spans="1:18" s="27" customFormat="1" ht="13.5" customHeight="1">
      <c r="A17" s="92" t="s">
        <v>154</v>
      </c>
      <c r="B17" s="89">
        <v>249394.51</v>
      </c>
      <c r="C17" s="89">
        <v>61922.94</v>
      </c>
      <c r="D17" s="89">
        <v>3034.96</v>
      </c>
      <c r="E17" s="89">
        <v>303.82</v>
      </c>
      <c r="F17" s="89">
        <v>40496.839999999997</v>
      </c>
      <c r="G17" s="89">
        <v>4086.59</v>
      </c>
      <c r="H17" s="89">
        <v>13974.26</v>
      </c>
      <c r="I17" s="99">
        <v>26.47</v>
      </c>
      <c r="J17" s="31"/>
    </row>
    <row r="18" spans="1:18" ht="14.25" customHeight="1">
      <c r="A18" s="60"/>
      <c r="B18" s="89"/>
      <c r="C18" s="88"/>
      <c r="D18" s="89"/>
      <c r="E18" s="88"/>
      <c r="F18" s="89"/>
      <c r="G18" s="89"/>
      <c r="H18" s="88"/>
      <c r="I18" s="99"/>
      <c r="J18" s="13"/>
    </row>
    <row r="19" spans="1:18" ht="14.25" customHeight="1">
      <c r="A19" s="197">
        <v>2021</v>
      </c>
      <c r="B19" s="89">
        <v>280547.75</v>
      </c>
      <c r="C19" s="88">
        <v>65800.350000000006</v>
      </c>
      <c r="D19" s="89">
        <v>30.31</v>
      </c>
      <c r="E19" s="88">
        <v>350.46</v>
      </c>
      <c r="F19" s="89">
        <v>47033.85</v>
      </c>
      <c r="G19" s="89">
        <v>4511.8900000000003</v>
      </c>
      <c r="H19" s="88">
        <v>13842.06</v>
      </c>
      <c r="I19" s="99">
        <v>31.78</v>
      </c>
      <c r="J19" s="13"/>
    </row>
    <row r="20" spans="1:18" ht="14.25" customHeight="1">
      <c r="A20" s="197">
        <v>2022</v>
      </c>
      <c r="B20" s="89">
        <v>310304.46000000002</v>
      </c>
      <c r="C20" s="88">
        <v>67975.19</v>
      </c>
      <c r="D20" s="89">
        <v>78.58</v>
      </c>
      <c r="E20" s="88">
        <v>263.89</v>
      </c>
      <c r="F20" s="89">
        <v>50358.16</v>
      </c>
      <c r="G20" s="89">
        <v>4061.55</v>
      </c>
      <c r="H20" s="88">
        <v>13186.47</v>
      </c>
      <c r="I20" s="99">
        <v>26.54</v>
      </c>
      <c r="J20" s="13"/>
    </row>
    <row r="21" spans="1:18" ht="14.25" customHeight="1">
      <c r="A21" s="197">
        <v>2023</v>
      </c>
      <c r="B21" s="89">
        <v>325276.90999999997</v>
      </c>
      <c r="C21" s="88">
        <v>72008.86</v>
      </c>
      <c r="D21" s="89">
        <v>100.95</v>
      </c>
      <c r="E21" s="88">
        <v>258.77999999999997</v>
      </c>
      <c r="F21" s="89">
        <v>50426.239999999998</v>
      </c>
      <c r="G21" s="89">
        <v>4520.51</v>
      </c>
      <c r="H21" s="88">
        <v>16679.91</v>
      </c>
      <c r="I21" s="99">
        <v>22.47</v>
      </c>
      <c r="J21" s="13"/>
    </row>
    <row r="22" spans="1:18" ht="14.25" customHeight="1">
      <c r="A22" s="197">
        <v>2024</v>
      </c>
      <c r="B22" s="89">
        <f>B119</f>
        <v>334927.86</v>
      </c>
      <c r="C22" s="88">
        <f t="shared" ref="C22:I22" si="0">C119</f>
        <v>72008.2</v>
      </c>
      <c r="D22" s="89">
        <f t="shared" si="0"/>
        <v>22.28</v>
      </c>
      <c r="E22" s="88">
        <f t="shared" si="0"/>
        <v>278.92</v>
      </c>
      <c r="F22" s="89">
        <f t="shared" si="0"/>
        <v>55434.13</v>
      </c>
      <c r="G22" s="89">
        <f t="shared" si="0"/>
        <v>4208.3</v>
      </c>
      <c r="H22" s="88">
        <f t="shared" si="0"/>
        <v>12035.29</v>
      </c>
      <c r="I22" s="99">
        <f t="shared" si="0"/>
        <v>29.28</v>
      </c>
      <c r="J22" s="13"/>
      <c r="K22" s="259"/>
      <c r="L22" s="259"/>
      <c r="M22" s="259"/>
      <c r="N22" s="259"/>
      <c r="O22" s="259"/>
      <c r="P22" s="259"/>
      <c r="Q22" s="259"/>
      <c r="R22" s="259"/>
    </row>
    <row r="23" spans="1:18" ht="14.25" customHeight="1">
      <c r="A23" s="197">
        <v>2025</v>
      </c>
      <c r="B23" s="89">
        <v>325429.05</v>
      </c>
      <c r="C23" s="88">
        <v>70883.61</v>
      </c>
      <c r="D23" s="89">
        <v>21.72</v>
      </c>
      <c r="E23" s="88">
        <v>273.48</v>
      </c>
      <c r="F23" s="89">
        <v>54007.11</v>
      </c>
      <c r="G23" s="89">
        <v>4251.5200000000004</v>
      </c>
      <c r="H23" s="88">
        <v>12297.21</v>
      </c>
      <c r="I23" s="99">
        <v>32.57</v>
      </c>
      <c r="J23" s="13"/>
      <c r="K23" s="259"/>
      <c r="L23" s="259"/>
      <c r="M23" s="259"/>
      <c r="N23" s="259"/>
      <c r="O23" s="259"/>
      <c r="P23" s="259"/>
      <c r="Q23" s="259"/>
      <c r="R23" s="259"/>
    </row>
    <row r="24" spans="1:18" ht="14.25" customHeight="1">
      <c r="A24" s="60"/>
      <c r="B24" s="89"/>
      <c r="C24" s="88"/>
      <c r="D24" s="89"/>
      <c r="E24" s="88"/>
      <c r="F24" s="89"/>
      <c r="G24" s="89"/>
      <c r="H24" s="88"/>
      <c r="I24" s="99"/>
      <c r="J24" s="13"/>
    </row>
    <row r="25" spans="1:18" ht="14.25" customHeight="1">
      <c r="A25" s="60">
        <v>2019.1</v>
      </c>
      <c r="B25" s="89">
        <v>247871.71</v>
      </c>
      <c r="C25" s="88">
        <v>43529.18</v>
      </c>
      <c r="D25" s="89">
        <v>37.840000000000003</v>
      </c>
      <c r="E25" s="88">
        <v>227.5</v>
      </c>
      <c r="F25" s="89">
        <v>29956.33</v>
      </c>
      <c r="G25" s="89">
        <v>3962.58</v>
      </c>
      <c r="H25" s="88">
        <v>9234.2000000000007</v>
      </c>
      <c r="I25" s="99">
        <v>110.73</v>
      </c>
      <c r="J25" s="13"/>
    </row>
    <row r="26" spans="1:18" ht="14.25" customHeight="1">
      <c r="A26" s="60">
        <v>2</v>
      </c>
      <c r="B26" s="89">
        <v>264096.99</v>
      </c>
      <c r="C26" s="88">
        <v>47866.53</v>
      </c>
      <c r="D26" s="89">
        <v>24.81</v>
      </c>
      <c r="E26" s="88">
        <v>228.25</v>
      </c>
      <c r="F26" s="89">
        <v>30819.89</v>
      </c>
      <c r="G26" s="89">
        <v>4244.1000000000004</v>
      </c>
      <c r="H26" s="88">
        <v>12438.47</v>
      </c>
      <c r="I26" s="99">
        <v>111.01</v>
      </c>
      <c r="J26" s="13"/>
    </row>
    <row r="27" spans="1:18" ht="14.25" customHeight="1">
      <c r="A27" s="60">
        <v>3</v>
      </c>
      <c r="B27" s="89">
        <v>267316.63</v>
      </c>
      <c r="C27" s="88">
        <v>48320.36</v>
      </c>
      <c r="D27" s="89">
        <v>66.58</v>
      </c>
      <c r="E27" s="88">
        <v>238.98</v>
      </c>
      <c r="F27" s="89">
        <v>32944.199999999997</v>
      </c>
      <c r="G27" s="89">
        <v>3997.8</v>
      </c>
      <c r="H27" s="88">
        <v>10886.94</v>
      </c>
      <c r="I27" s="99">
        <v>185.86</v>
      </c>
      <c r="J27" s="13"/>
    </row>
    <row r="28" spans="1:18" ht="14.25" customHeight="1">
      <c r="A28" s="60"/>
      <c r="B28" s="89"/>
      <c r="C28" s="88"/>
      <c r="D28" s="89"/>
      <c r="E28" s="88"/>
      <c r="F28" s="89"/>
      <c r="G28" s="89"/>
      <c r="H28" s="88"/>
      <c r="I28" s="99"/>
      <c r="J28" s="13"/>
    </row>
    <row r="29" spans="1:18" ht="14.25" customHeight="1">
      <c r="A29" s="60">
        <v>4</v>
      </c>
      <c r="B29" s="89">
        <v>279819.89</v>
      </c>
      <c r="C29" s="88">
        <v>50091.88</v>
      </c>
      <c r="D29" s="89">
        <v>30.62</v>
      </c>
      <c r="E29" s="88">
        <v>226.85</v>
      </c>
      <c r="F29" s="89">
        <v>32717.96</v>
      </c>
      <c r="G29" s="89">
        <v>3959.81</v>
      </c>
      <c r="H29" s="88">
        <v>12976.79</v>
      </c>
      <c r="I29" s="99">
        <v>179.85</v>
      </c>
      <c r="J29" s="13"/>
    </row>
    <row r="30" spans="1:18" ht="14.25" customHeight="1">
      <c r="A30" s="60">
        <v>5</v>
      </c>
      <c r="B30" s="89">
        <v>290278.09000000003</v>
      </c>
      <c r="C30" s="88">
        <v>48672.08</v>
      </c>
      <c r="D30" s="89">
        <v>37</v>
      </c>
      <c r="E30" s="88">
        <v>234.4</v>
      </c>
      <c r="F30" s="89">
        <v>33283.449999999997</v>
      </c>
      <c r="G30" s="89">
        <v>3841.11</v>
      </c>
      <c r="H30" s="88">
        <v>11102.16</v>
      </c>
      <c r="I30" s="99">
        <v>173.96</v>
      </c>
      <c r="J30" s="13"/>
    </row>
    <row r="31" spans="1:18" ht="14.25" customHeight="1">
      <c r="A31" s="60">
        <v>6</v>
      </c>
      <c r="B31" s="89">
        <v>297857.84000000003</v>
      </c>
      <c r="C31" s="88">
        <v>54157.25</v>
      </c>
      <c r="D31" s="89">
        <v>1372.18</v>
      </c>
      <c r="E31" s="88">
        <v>234.89</v>
      </c>
      <c r="F31" s="89">
        <v>38473.769999999997</v>
      </c>
      <c r="G31" s="89">
        <v>3879.15</v>
      </c>
      <c r="H31" s="88">
        <v>9877.1</v>
      </c>
      <c r="I31" s="99">
        <v>320.16000000000003</v>
      </c>
      <c r="J31" s="13"/>
    </row>
    <row r="32" spans="1:18" ht="14.25" customHeight="1">
      <c r="A32" s="60"/>
      <c r="B32" s="89"/>
      <c r="C32" s="88"/>
      <c r="D32" s="89"/>
      <c r="E32" s="88"/>
      <c r="F32" s="89"/>
      <c r="G32" s="89"/>
      <c r="H32" s="88"/>
      <c r="I32" s="99"/>
      <c r="J32" s="13"/>
    </row>
    <row r="33" spans="1:10" ht="14.25" customHeight="1">
      <c r="A33" s="60">
        <v>7</v>
      </c>
      <c r="B33" s="89">
        <v>289821.90999999997</v>
      </c>
      <c r="C33" s="88">
        <v>46594.85</v>
      </c>
      <c r="D33" s="89">
        <v>27.2</v>
      </c>
      <c r="E33" s="88">
        <v>227</v>
      </c>
      <c r="F33" s="89">
        <v>31268.91</v>
      </c>
      <c r="G33" s="89">
        <v>3945.14</v>
      </c>
      <c r="H33" s="88">
        <v>10856.19</v>
      </c>
      <c r="I33" s="99">
        <v>270.41000000000003</v>
      </c>
      <c r="J33" s="13"/>
    </row>
    <row r="34" spans="1:10" ht="14.25" customHeight="1">
      <c r="A34" s="60">
        <v>8</v>
      </c>
      <c r="B34" s="89">
        <v>286254.28999999998</v>
      </c>
      <c r="C34" s="88">
        <v>47103.66</v>
      </c>
      <c r="D34" s="89">
        <v>90.62</v>
      </c>
      <c r="E34" s="88">
        <v>232.78</v>
      </c>
      <c r="F34" s="89">
        <v>30934.95</v>
      </c>
      <c r="G34" s="89">
        <v>3838.19</v>
      </c>
      <c r="H34" s="88">
        <v>11801.87</v>
      </c>
      <c r="I34" s="99">
        <v>205.25</v>
      </c>
      <c r="J34" s="13"/>
    </row>
    <row r="35" spans="1:10" ht="14.25" customHeight="1">
      <c r="A35" s="60">
        <v>9</v>
      </c>
      <c r="B35" s="89">
        <v>283498.81</v>
      </c>
      <c r="C35" s="88">
        <v>47427.71</v>
      </c>
      <c r="D35" s="89">
        <v>38.130000000000003</v>
      </c>
      <c r="E35" s="88">
        <v>239.94</v>
      </c>
      <c r="F35" s="89">
        <v>31792.85</v>
      </c>
      <c r="G35" s="89">
        <v>3935.77</v>
      </c>
      <c r="H35" s="88">
        <v>11248.36</v>
      </c>
      <c r="I35" s="99">
        <v>172.17</v>
      </c>
      <c r="J35" s="13"/>
    </row>
    <row r="36" spans="1:10" ht="14.25" customHeight="1">
      <c r="A36" s="60"/>
      <c r="B36" s="89"/>
      <c r="C36" s="88"/>
      <c r="D36" s="89"/>
      <c r="E36" s="88"/>
      <c r="F36" s="89"/>
      <c r="G36" s="89"/>
      <c r="H36" s="88"/>
      <c r="I36" s="99"/>
      <c r="J36" s="13"/>
    </row>
    <row r="37" spans="1:10" ht="14.25" customHeight="1">
      <c r="A37" s="60">
        <v>10</v>
      </c>
      <c r="B37" s="89">
        <v>280326.56</v>
      </c>
      <c r="C37" s="88">
        <v>46481.47</v>
      </c>
      <c r="D37" s="89">
        <v>22.54</v>
      </c>
      <c r="E37" s="88">
        <v>237.65</v>
      </c>
      <c r="F37" s="89">
        <v>30571.22</v>
      </c>
      <c r="G37" s="89">
        <v>3915.99</v>
      </c>
      <c r="H37" s="88">
        <v>11580.65</v>
      </c>
      <c r="I37" s="99">
        <v>153.41999999999999</v>
      </c>
      <c r="J37" s="13"/>
    </row>
    <row r="38" spans="1:10" ht="14.25" customHeight="1">
      <c r="A38" s="60">
        <v>11</v>
      </c>
      <c r="B38" s="89">
        <v>271965.93</v>
      </c>
      <c r="C38" s="88">
        <v>49129.03</v>
      </c>
      <c r="D38" s="89">
        <v>111.95</v>
      </c>
      <c r="E38" s="88">
        <v>247.01</v>
      </c>
      <c r="F38" s="89">
        <v>30672.1</v>
      </c>
      <c r="G38" s="89">
        <v>4247.38</v>
      </c>
      <c r="H38" s="88">
        <v>13734.89</v>
      </c>
      <c r="I38" s="99">
        <v>115.7</v>
      </c>
      <c r="J38" s="13"/>
    </row>
    <row r="39" spans="1:10" ht="14.25" customHeight="1">
      <c r="A39" s="60">
        <v>12</v>
      </c>
      <c r="B39" s="89">
        <v>255012.99</v>
      </c>
      <c r="C39" s="88">
        <v>48811.18</v>
      </c>
      <c r="D39" s="89">
        <v>1198.08</v>
      </c>
      <c r="E39" s="88">
        <v>246.58</v>
      </c>
      <c r="F39" s="89">
        <v>32042.38</v>
      </c>
      <c r="G39" s="89">
        <v>4350.1499999999996</v>
      </c>
      <c r="H39" s="88">
        <v>10955.47</v>
      </c>
      <c r="I39" s="99">
        <v>18.52</v>
      </c>
      <c r="J39" s="13"/>
    </row>
    <row r="40" spans="1:10" ht="14.25" customHeight="1">
      <c r="A40" s="60"/>
      <c r="B40" s="89"/>
      <c r="C40" s="88"/>
      <c r="D40" s="89"/>
      <c r="E40" s="88"/>
      <c r="F40" s="89"/>
      <c r="G40" s="89"/>
      <c r="H40" s="88"/>
      <c r="I40" s="99"/>
      <c r="J40" s="13"/>
    </row>
    <row r="41" spans="1:10" ht="14.25" customHeight="1">
      <c r="A41" s="60">
        <v>2020.1</v>
      </c>
      <c r="B41" s="89">
        <v>257160.88</v>
      </c>
      <c r="C41" s="88">
        <v>55566.21</v>
      </c>
      <c r="D41" s="89">
        <v>46.88</v>
      </c>
      <c r="E41" s="88">
        <v>261.55</v>
      </c>
      <c r="F41" s="89">
        <v>39119.730000000003</v>
      </c>
      <c r="G41" s="89">
        <v>4385.63</v>
      </c>
      <c r="H41" s="88">
        <v>11566.93</v>
      </c>
      <c r="I41" s="99">
        <v>185.49</v>
      </c>
      <c r="J41" s="13"/>
    </row>
    <row r="42" spans="1:10" ht="14.25" customHeight="1">
      <c r="A42" s="60">
        <v>2</v>
      </c>
      <c r="B42" s="89">
        <v>274675.77</v>
      </c>
      <c r="C42" s="88">
        <v>69025.350000000006</v>
      </c>
      <c r="D42" s="89">
        <v>99.14</v>
      </c>
      <c r="E42" s="88">
        <v>263.61</v>
      </c>
      <c r="F42" s="89">
        <v>44318.21</v>
      </c>
      <c r="G42" s="89">
        <v>4367.1899999999996</v>
      </c>
      <c r="H42" s="88">
        <v>19781.2</v>
      </c>
      <c r="I42" s="99">
        <v>196</v>
      </c>
      <c r="J42" s="13"/>
    </row>
    <row r="43" spans="1:10" ht="14.25" customHeight="1">
      <c r="A43" s="60">
        <v>3</v>
      </c>
      <c r="B43" s="89">
        <v>273998.44</v>
      </c>
      <c r="C43" s="88">
        <v>60949.24</v>
      </c>
      <c r="D43" s="89">
        <v>27.26</v>
      </c>
      <c r="E43" s="88">
        <v>267.64</v>
      </c>
      <c r="F43" s="89">
        <v>44596.27</v>
      </c>
      <c r="G43" s="89">
        <v>4110.5</v>
      </c>
      <c r="H43" s="88">
        <v>11680.77</v>
      </c>
      <c r="I43" s="99">
        <v>266.8</v>
      </c>
      <c r="J43" s="13"/>
    </row>
    <row r="44" spans="1:10" ht="14.25" customHeight="1">
      <c r="A44" s="60"/>
      <c r="B44" s="89"/>
      <c r="C44" s="88"/>
      <c r="D44" s="89"/>
      <c r="E44" s="88"/>
      <c r="F44" s="89"/>
      <c r="G44" s="89"/>
      <c r="H44" s="88"/>
      <c r="I44" s="99"/>
      <c r="J44" s="13"/>
    </row>
    <row r="45" spans="1:10" ht="14.25" customHeight="1">
      <c r="A45" s="60">
        <v>4</v>
      </c>
      <c r="B45" s="89">
        <v>285497.01</v>
      </c>
      <c r="C45" s="88">
        <v>77791.81</v>
      </c>
      <c r="D45" s="89">
        <v>95.31</v>
      </c>
      <c r="E45" s="88">
        <v>282.57</v>
      </c>
      <c r="F45" s="89">
        <v>58408.08</v>
      </c>
      <c r="G45" s="89">
        <v>4290.3999999999996</v>
      </c>
      <c r="H45" s="88">
        <v>14486.03</v>
      </c>
      <c r="I45" s="99">
        <v>229.42</v>
      </c>
      <c r="J45" s="13"/>
    </row>
    <row r="46" spans="1:10" ht="14.25" customHeight="1">
      <c r="A46" s="60">
        <v>5</v>
      </c>
      <c r="B46" s="89">
        <v>275688.63</v>
      </c>
      <c r="C46" s="88">
        <v>72357.09</v>
      </c>
      <c r="D46" s="89">
        <v>94.47</v>
      </c>
      <c r="E46" s="88">
        <v>285.01</v>
      </c>
      <c r="F46" s="89">
        <v>50439.9</v>
      </c>
      <c r="G46" s="89">
        <v>4355.88</v>
      </c>
      <c r="H46" s="88">
        <v>17000.849999999999</v>
      </c>
      <c r="I46" s="99">
        <v>180.98</v>
      </c>
      <c r="J46" s="13"/>
    </row>
    <row r="47" spans="1:10" ht="14.25" customHeight="1">
      <c r="A47" s="60">
        <v>6</v>
      </c>
      <c r="B47" s="89">
        <v>280599.05</v>
      </c>
      <c r="C47" s="88">
        <v>75068.39</v>
      </c>
      <c r="D47" s="89">
        <v>496.17</v>
      </c>
      <c r="E47" s="88">
        <v>282.16000000000003</v>
      </c>
      <c r="F47" s="89">
        <v>54459.97</v>
      </c>
      <c r="G47" s="89">
        <v>4325.96</v>
      </c>
      <c r="H47" s="88">
        <v>15206.77</v>
      </c>
      <c r="I47" s="99">
        <v>297.36</v>
      </c>
      <c r="J47" s="13"/>
    </row>
    <row r="48" spans="1:10" ht="14.25" customHeight="1">
      <c r="A48" s="60"/>
      <c r="B48" s="89"/>
      <c r="C48" s="88"/>
      <c r="D48" s="89"/>
      <c r="E48" s="88"/>
      <c r="F48" s="89"/>
      <c r="G48" s="89"/>
      <c r="H48" s="88"/>
      <c r="I48" s="99"/>
      <c r="J48" s="13"/>
    </row>
    <row r="49" spans="1:10" ht="14.25" customHeight="1">
      <c r="A49" s="60">
        <v>7</v>
      </c>
      <c r="B49" s="89">
        <v>271712.03000000003</v>
      </c>
      <c r="C49" s="88">
        <v>64459.360000000001</v>
      </c>
      <c r="D49" s="89">
        <v>24.74</v>
      </c>
      <c r="E49" s="88">
        <v>287.3</v>
      </c>
      <c r="F49" s="89">
        <v>47719.62</v>
      </c>
      <c r="G49" s="89">
        <v>4369.1400000000003</v>
      </c>
      <c r="H49" s="88">
        <v>11824.78</v>
      </c>
      <c r="I49" s="99">
        <v>233.78</v>
      </c>
      <c r="J49" s="13"/>
    </row>
    <row r="50" spans="1:10" ht="14.25" customHeight="1">
      <c r="A50" s="60">
        <v>8</v>
      </c>
      <c r="B50" s="89">
        <v>265572.46999999997</v>
      </c>
      <c r="C50" s="88">
        <v>62558.47</v>
      </c>
      <c r="D50" s="89">
        <v>44.5</v>
      </c>
      <c r="E50" s="88">
        <v>276.67</v>
      </c>
      <c r="F50" s="89">
        <v>44027.76</v>
      </c>
      <c r="G50" s="89">
        <v>4248.79</v>
      </c>
      <c r="H50" s="88">
        <v>13767.65</v>
      </c>
      <c r="I50" s="99">
        <v>193.1</v>
      </c>
      <c r="J50" s="13"/>
    </row>
    <row r="51" spans="1:10" ht="14.25" customHeight="1">
      <c r="A51" s="60">
        <v>9</v>
      </c>
      <c r="B51" s="89">
        <v>261690.29</v>
      </c>
      <c r="C51" s="88">
        <v>62227.75</v>
      </c>
      <c r="D51" s="89">
        <v>74.41</v>
      </c>
      <c r="E51" s="88">
        <v>284.16000000000003</v>
      </c>
      <c r="F51" s="89">
        <v>43051.85</v>
      </c>
      <c r="G51" s="89">
        <v>4247.9399999999996</v>
      </c>
      <c r="H51" s="88">
        <v>14383.71</v>
      </c>
      <c r="I51" s="99">
        <v>185.68</v>
      </c>
      <c r="J51" s="13"/>
    </row>
    <row r="52" spans="1:10" ht="14.25" customHeight="1">
      <c r="A52" s="60"/>
      <c r="B52" s="89"/>
      <c r="C52" s="88"/>
      <c r="D52" s="89"/>
      <c r="E52" s="88"/>
      <c r="F52" s="89"/>
      <c r="G52" s="89"/>
      <c r="H52" s="88"/>
      <c r="I52" s="99"/>
      <c r="J52" s="13"/>
    </row>
    <row r="53" spans="1:10" ht="14.25" customHeight="1">
      <c r="A53" s="60">
        <v>10</v>
      </c>
      <c r="B53" s="89">
        <v>260904.23</v>
      </c>
      <c r="C53" s="88">
        <v>64360.65</v>
      </c>
      <c r="D53" s="89">
        <v>60.12</v>
      </c>
      <c r="E53" s="88">
        <v>287.45999999999998</v>
      </c>
      <c r="F53" s="89">
        <v>43861.06</v>
      </c>
      <c r="G53" s="89">
        <v>4159.29</v>
      </c>
      <c r="H53" s="88">
        <v>15839.63</v>
      </c>
      <c r="I53" s="99">
        <v>153.09</v>
      </c>
      <c r="J53" s="13"/>
    </row>
    <row r="54" spans="1:10" ht="14.25" customHeight="1">
      <c r="A54" s="60">
        <v>11</v>
      </c>
      <c r="B54" s="89">
        <v>259529.04</v>
      </c>
      <c r="C54" s="88">
        <v>62364.68</v>
      </c>
      <c r="D54" s="89">
        <v>44.69</v>
      </c>
      <c r="E54" s="88">
        <v>293.83999999999997</v>
      </c>
      <c r="F54" s="89">
        <v>40090.69</v>
      </c>
      <c r="G54" s="89">
        <v>4153.29</v>
      </c>
      <c r="H54" s="88">
        <v>17655.63</v>
      </c>
      <c r="I54" s="99">
        <v>126.07</v>
      </c>
      <c r="J54" s="13"/>
    </row>
    <row r="55" spans="1:10" ht="14.25" customHeight="1">
      <c r="A55" s="60">
        <v>12</v>
      </c>
      <c r="B55" s="89">
        <v>249394.51</v>
      </c>
      <c r="C55" s="88">
        <v>61922.94</v>
      </c>
      <c r="D55" s="89">
        <v>3034.96</v>
      </c>
      <c r="E55" s="88">
        <v>303.82</v>
      </c>
      <c r="F55" s="89">
        <v>40496.839999999997</v>
      </c>
      <c r="G55" s="89">
        <v>4086.59</v>
      </c>
      <c r="H55" s="88">
        <v>13974.26</v>
      </c>
      <c r="I55" s="99">
        <v>26.47</v>
      </c>
      <c r="J55" s="13"/>
    </row>
    <row r="56" spans="1:10" ht="14.25" customHeight="1">
      <c r="A56" s="60"/>
      <c r="B56" s="89"/>
      <c r="C56" s="88"/>
      <c r="D56" s="89"/>
      <c r="E56" s="88"/>
      <c r="F56" s="89"/>
      <c r="G56" s="89"/>
      <c r="H56" s="88"/>
      <c r="I56" s="99"/>
      <c r="J56" s="13"/>
    </row>
    <row r="57" spans="1:10" ht="14.25" customHeight="1">
      <c r="A57" s="60">
        <v>2021.1</v>
      </c>
      <c r="B57" s="89">
        <v>257767.57</v>
      </c>
      <c r="C57" s="88">
        <v>67094.320000000007</v>
      </c>
      <c r="D57" s="89">
        <v>66.66</v>
      </c>
      <c r="E57" s="88">
        <v>325.02</v>
      </c>
      <c r="F57" s="89">
        <v>46885.74</v>
      </c>
      <c r="G57" s="89">
        <v>3904.52</v>
      </c>
      <c r="H57" s="88">
        <v>15770.98</v>
      </c>
      <c r="I57" s="99">
        <v>141.4</v>
      </c>
      <c r="J57" s="13"/>
    </row>
    <row r="58" spans="1:10" ht="14.25" customHeight="1">
      <c r="A58" s="60">
        <v>2</v>
      </c>
      <c r="B58" s="89">
        <v>270743.21999999997</v>
      </c>
      <c r="C58" s="88">
        <v>77014.740000000005</v>
      </c>
      <c r="D58" s="89">
        <v>71.849999999999994</v>
      </c>
      <c r="E58" s="88">
        <v>337.71</v>
      </c>
      <c r="F58" s="89">
        <v>51165.17</v>
      </c>
      <c r="G58" s="89">
        <v>4025.73</v>
      </c>
      <c r="H58" s="88">
        <v>21285.38</v>
      </c>
      <c r="I58" s="99">
        <v>128.9</v>
      </c>
      <c r="J58" s="13"/>
    </row>
    <row r="59" spans="1:10" ht="14.25" customHeight="1">
      <c r="A59" s="60">
        <v>3</v>
      </c>
      <c r="B59" s="89">
        <v>268025.39</v>
      </c>
      <c r="C59" s="88">
        <v>68090.16</v>
      </c>
      <c r="D59" s="89">
        <v>30.76</v>
      </c>
      <c r="E59" s="88">
        <v>299.29000000000002</v>
      </c>
      <c r="F59" s="89">
        <v>47381.81</v>
      </c>
      <c r="G59" s="89">
        <v>4182.8500000000004</v>
      </c>
      <c r="H59" s="88">
        <v>15988.82</v>
      </c>
      <c r="I59" s="99">
        <v>206.63</v>
      </c>
      <c r="J59" s="13"/>
    </row>
    <row r="60" spans="1:10" ht="14.25" customHeight="1">
      <c r="A60" s="60"/>
      <c r="B60" s="89"/>
      <c r="C60" s="88"/>
      <c r="D60" s="89"/>
      <c r="E60" s="88"/>
      <c r="F60" s="89"/>
      <c r="G60" s="89"/>
      <c r="H60" s="88"/>
      <c r="I60" s="99"/>
      <c r="J60" s="13"/>
    </row>
    <row r="61" spans="1:10" ht="14.25" customHeight="1">
      <c r="A61" s="60">
        <v>4</v>
      </c>
      <c r="B61" s="89">
        <v>270834.78999999998</v>
      </c>
      <c r="C61" s="88">
        <v>71250.92</v>
      </c>
      <c r="D61" s="89">
        <v>21.32</v>
      </c>
      <c r="E61" s="88">
        <v>301.97000000000003</v>
      </c>
      <c r="F61" s="89">
        <v>50564.22</v>
      </c>
      <c r="G61" s="89">
        <v>4164.51</v>
      </c>
      <c r="H61" s="88">
        <v>16012.22</v>
      </c>
      <c r="I61" s="99">
        <v>186.68</v>
      </c>
      <c r="J61" s="13"/>
    </row>
    <row r="62" spans="1:10" ht="14.25" customHeight="1">
      <c r="A62" s="60">
        <v>5</v>
      </c>
      <c r="B62" s="89">
        <v>280521.84999999998</v>
      </c>
      <c r="C62" s="88">
        <v>78382.31</v>
      </c>
      <c r="D62" s="89">
        <v>51.21</v>
      </c>
      <c r="E62" s="88">
        <v>310.74</v>
      </c>
      <c r="F62" s="89">
        <v>54111.32</v>
      </c>
      <c r="G62" s="89">
        <v>4129.9799999999996</v>
      </c>
      <c r="H62" s="88">
        <v>19594.830000000002</v>
      </c>
      <c r="I62" s="99">
        <v>184.23</v>
      </c>
      <c r="J62" s="13"/>
    </row>
    <row r="63" spans="1:10" ht="14.25" customHeight="1">
      <c r="A63" s="60">
        <v>6</v>
      </c>
      <c r="B63" s="89">
        <v>292457.05</v>
      </c>
      <c r="C63" s="88">
        <v>78725.919999999998</v>
      </c>
      <c r="D63" s="89">
        <v>2728.12</v>
      </c>
      <c r="E63" s="88">
        <v>314.06</v>
      </c>
      <c r="F63" s="89">
        <v>55406.09</v>
      </c>
      <c r="G63" s="89">
        <v>4103.3500000000004</v>
      </c>
      <c r="H63" s="88">
        <v>15624.74</v>
      </c>
      <c r="I63" s="99">
        <v>549.55999999999995</v>
      </c>
      <c r="J63" s="13"/>
    </row>
    <row r="64" spans="1:10" ht="14.25" customHeight="1">
      <c r="A64" s="60"/>
      <c r="B64" s="89"/>
      <c r="C64" s="88"/>
      <c r="D64" s="89"/>
      <c r="E64" s="88"/>
      <c r="F64" s="89"/>
      <c r="G64" s="89"/>
      <c r="H64" s="88"/>
      <c r="I64" s="99"/>
      <c r="J64" s="13"/>
    </row>
    <row r="65" spans="1:10" ht="14.25" customHeight="1">
      <c r="A65" s="60">
        <v>7</v>
      </c>
      <c r="B65" s="89">
        <v>282745.34000000003</v>
      </c>
      <c r="C65" s="88">
        <v>70504.44</v>
      </c>
      <c r="D65" s="89">
        <v>75.09</v>
      </c>
      <c r="E65" s="88">
        <v>322.60000000000002</v>
      </c>
      <c r="F65" s="89">
        <v>50603.33</v>
      </c>
      <c r="G65" s="89">
        <v>4205.53</v>
      </c>
      <c r="H65" s="88">
        <v>14955.29</v>
      </c>
      <c r="I65" s="99">
        <v>342.6</v>
      </c>
      <c r="J65" s="13"/>
    </row>
    <row r="66" spans="1:10" ht="14.25" customHeight="1">
      <c r="A66" s="60">
        <v>8</v>
      </c>
      <c r="B66" s="89">
        <v>293382.7</v>
      </c>
      <c r="C66" s="88">
        <v>77772.990000000005</v>
      </c>
      <c r="D66" s="89">
        <v>22.9</v>
      </c>
      <c r="E66" s="88">
        <v>310.79000000000002</v>
      </c>
      <c r="F66" s="89">
        <v>50918.26</v>
      </c>
      <c r="G66" s="89">
        <v>4143.37</v>
      </c>
      <c r="H66" s="88">
        <v>22144.42</v>
      </c>
      <c r="I66" s="99">
        <v>233.25</v>
      </c>
      <c r="J66" s="13"/>
    </row>
    <row r="67" spans="1:10" ht="14.25" customHeight="1">
      <c r="A67" s="60">
        <v>9</v>
      </c>
      <c r="B67" s="89">
        <v>290642.58</v>
      </c>
      <c r="C67" s="88">
        <v>78783.850000000006</v>
      </c>
      <c r="D67" s="89">
        <v>24.32</v>
      </c>
      <c r="E67" s="88">
        <v>341.42</v>
      </c>
      <c r="F67" s="89">
        <v>55405.9</v>
      </c>
      <c r="G67" s="89">
        <v>4206.8500000000004</v>
      </c>
      <c r="H67" s="88">
        <v>18486.439999999999</v>
      </c>
      <c r="I67" s="99">
        <v>318.56</v>
      </c>
      <c r="J67" s="13"/>
    </row>
    <row r="68" spans="1:10" ht="14.25" customHeight="1">
      <c r="A68" s="60"/>
      <c r="B68" s="89"/>
      <c r="C68" s="88"/>
      <c r="D68" s="89"/>
      <c r="E68" s="88"/>
      <c r="F68" s="89"/>
      <c r="G68" s="89"/>
      <c r="H68" s="88"/>
      <c r="I68" s="99"/>
      <c r="J68" s="13"/>
    </row>
    <row r="69" spans="1:10" ht="14.25" customHeight="1">
      <c r="A69" s="60">
        <v>10</v>
      </c>
      <c r="B69" s="89">
        <v>291362.12</v>
      </c>
      <c r="C69" s="88">
        <v>75877.89</v>
      </c>
      <c r="D69" s="89">
        <v>57.97</v>
      </c>
      <c r="E69" s="88">
        <v>353.32</v>
      </c>
      <c r="F69" s="89">
        <v>52566.91</v>
      </c>
      <c r="G69" s="89">
        <v>4160.42</v>
      </c>
      <c r="H69" s="88">
        <v>18533.490000000002</v>
      </c>
      <c r="I69" s="99">
        <v>205.78</v>
      </c>
      <c r="J69" s="13"/>
    </row>
    <row r="70" spans="1:10" ht="14.25" customHeight="1">
      <c r="A70" s="60">
        <v>11</v>
      </c>
      <c r="B70" s="89">
        <v>296216.67</v>
      </c>
      <c r="C70" s="88">
        <v>75540.899999999994</v>
      </c>
      <c r="D70" s="89">
        <v>30.93</v>
      </c>
      <c r="E70" s="88">
        <v>340.69</v>
      </c>
      <c r="F70" s="89">
        <v>49867.97</v>
      </c>
      <c r="G70" s="89">
        <v>4265.82</v>
      </c>
      <c r="H70" s="88">
        <v>20914.599999999999</v>
      </c>
      <c r="I70" s="99">
        <v>120.89</v>
      </c>
      <c r="J70" s="13"/>
    </row>
    <row r="71" spans="1:10" ht="14.25" customHeight="1">
      <c r="A71" s="60">
        <v>12</v>
      </c>
      <c r="B71" s="89">
        <v>280547.75</v>
      </c>
      <c r="C71" s="88">
        <v>65800.350000000006</v>
      </c>
      <c r="D71" s="89">
        <v>30.31</v>
      </c>
      <c r="E71" s="88">
        <v>350.46</v>
      </c>
      <c r="F71" s="89">
        <v>47033.85</v>
      </c>
      <c r="G71" s="89">
        <v>4511.8900000000003</v>
      </c>
      <c r="H71" s="88">
        <v>13842.06</v>
      </c>
      <c r="I71" s="99">
        <v>31.78</v>
      </c>
      <c r="J71" s="13"/>
    </row>
    <row r="72" spans="1:10" ht="14.25" customHeight="1">
      <c r="A72" s="60"/>
      <c r="B72" s="89"/>
      <c r="C72" s="88"/>
      <c r="D72" s="89"/>
      <c r="E72" s="88"/>
      <c r="F72" s="89"/>
      <c r="G72" s="89"/>
      <c r="H72" s="88"/>
      <c r="I72" s="99"/>
      <c r="J72" s="13"/>
    </row>
    <row r="73" spans="1:10" ht="14.25" customHeight="1">
      <c r="A73" s="60">
        <v>2022.1</v>
      </c>
      <c r="B73" s="89">
        <v>285878.49</v>
      </c>
      <c r="C73" s="88">
        <v>70534.63</v>
      </c>
      <c r="D73" s="89">
        <v>62.91</v>
      </c>
      <c r="E73" s="88">
        <v>351.73</v>
      </c>
      <c r="F73" s="89">
        <v>50482.92</v>
      </c>
      <c r="G73" s="89">
        <v>4410.24</v>
      </c>
      <c r="H73" s="88">
        <v>15054.1</v>
      </c>
      <c r="I73" s="99">
        <v>172.73</v>
      </c>
      <c r="J73" s="13"/>
    </row>
    <row r="74" spans="1:10" ht="14.25" customHeight="1">
      <c r="A74" s="60">
        <v>2</v>
      </c>
      <c r="B74" s="89">
        <v>301399.21999999997</v>
      </c>
      <c r="C74" s="88">
        <v>83071.039999999994</v>
      </c>
      <c r="D74" s="89">
        <v>24.7</v>
      </c>
      <c r="E74" s="88">
        <v>348.03</v>
      </c>
      <c r="F74" s="89">
        <v>54809.01</v>
      </c>
      <c r="G74" s="89">
        <v>5030.2</v>
      </c>
      <c r="H74" s="88">
        <v>22685.45</v>
      </c>
      <c r="I74" s="99">
        <v>173.29</v>
      </c>
      <c r="J74" s="13"/>
    </row>
    <row r="75" spans="1:10" ht="14.25" customHeight="1">
      <c r="A75" s="60">
        <v>3</v>
      </c>
      <c r="B75" s="89">
        <v>311480.25</v>
      </c>
      <c r="C75" s="88">
        <v>87929.5</v>
      </c>
      <c r="D75" s="89">
        <v>17.29</v>
      </c>
      <c r="E75" s="88">
        <v>332.41</v>
      </c>
      <c r="F75" s="89">
        <v>63138.8</v>
      </c>
      <c r="G75" s="89">
        <v>4144.45</v>
      </c>
      <c r="H75" s="88">
        <v>19971.3</v>
      </c>
      <c r="I75" s="99">
        <v>325.25</v>
      </c>
      <c r="J75" s="13"/>
    </row>
    <row r="76" spans="1:10" ht="14.25" customHeight="1">
      <c r="A76" s="60"/>
      <c r="B76" s="89"/>
      <c r="C76" s="88"/>
      <c r="D76" s="89"/>
      <c r="E76" s="88"/>
      <c r="F76" s="89"/>
      <c r="G76" s="89"/>
      <c r="H76" s="88"/>
      <c r="I76" s="99"/>
      <c r="J76" s="13"/>
    </row>
    <row r="77" spans="1:10" ht="14.25" customHeight="1">
      <c r="A77" s="60">
        <v>4</v>
      </c>
      <c r="B77" s="89">
        <v>326060.67</v>
      </c>
      <c r="C77" s="88">
        <v>95100</v>
      </c>
      <c r="D77" s="89">
        <v>62.28</v>
      </c>
      <c r="E77" s="88">
        <v>338.44</v>
      </c>
      <c r="F77" s="89">
        <v>65019.87</v>
      </c>
      <c r="G77" s="89">
        <v>4213.03</v>
      </c>
      <c r="H77" s="88">
        <v>25265.79</v>
      </c>
      <c r="I77" s="99">
        <v>200.59</v>
      </c>
      <c r="J77" s="13"/>
    </row>
    <row r="78" spans="1:10" ht="14.25" customHeight="1">
      <c r="A78" s="60">
        <v>5</v>
      </c>
      <c r="B78" s="89">
        <v>342665.89</v>
      </c>
      <c r="C78" s="88">
        <v>91536.07</v>
      </c>
      <c r="D78" s="89">
        <v>21.94</v>
      </c>
      <c r="E78" s="88">
        <v>317.26</v>
      </c>
      <c r="F78" s="89">
        <v>62877.89</v>
      </c>
      <c r="G78" s="89">
        <v>4646.6400000000003</v>
      </c>
      <c r="H78" s="88">
        <v>23504.46</v>
      </c>
      <c r="I78" s="99">
        <v>167.88</v>
      </c>
      <c r="J78" s="13"/>
    </row>
    <row r="79" spans="1:10" ht="14.25" customHeight="1">
      <c r="A79" s="60">
        <v>6</v>
      </c>
      <c r="B79" s="89">
        <v>338795.31</v>
      </c>
      <c r="C79" s="88">
        <v>79980.33</v>
      </c>
      <c r="D79" s="89">
        <v>22.14</v>
      </c>
      <c r="E79" s="88">
        <v>310.95999999999998</v>
      </c>
      <c r="F79" s="89">
        <v>56347.91</v>
      </c>
      <c r="G79" s="89">
        <v>4379.8599999999997</v>
      </c>
      <c r="H79" s="88">
        <v>17889.2</v>
      </c>
      <c r="I79" s="99">
        <v>1030.26</v>
      </c>
      <c r="J79" s="13"/>
    </row>
    <row r="80" spans="1:10" ht="14.25" customHeight="1">
      <c r="A80" s="60"/>
      <c r="B80" s="89"/>
      <c r="C80" s="88"/>
      <c r="D80" s="89"/>
      <c r="E80" s="88"/>
      <c r="F80" s="89"/>
      <c r="G80" s="89"/>
      <c r="H80" s="88"/>
      <c r="I80" s="99"/>
      <c r="J80" s="13"/>
    </row>
    <row r="81" spans="1:10" ht="14.25" customHeight="1">
      <c r="A81" s="60">
        <v>7</v>
      </c>
      <c r="B81" s="89">
        <v>332797.38</v>
      </c>
      <c r="C81" s="88">
        <v>78369.05</v>
      </c>
      <c r="D81" s="89">
        <v>51.32</v>
      </c>
      <c r="E81" s="88">
        <v>318.58999999999997</v>
      </c>
      <c r="F81" s="89">
        <v>58712.35</v>
      </c>
      <c r="G81" s="89">
        <v>4354.04</v>
      </c>
      <c r="H81" s="88">
        <v>14269.86</v>
      </c>
      <c r="I81" s="99">
        <v>662.89</v>
      </c>
      <c r="J81" s="13"/>
    </row>
    <row r="82" spans="1:10" ht="14.25" customHeight="1">
      <c r="A82" s="60">
        <v>8</v>
      </c>
      <c r="B82" s="89">
        <v>334374.18</v>
      </c>
      <c r="C82" s="88">
        <v>81791.73</v>
      </c>
      <c r="D82" s="89">
        <v>23.23</v>
      </c>
      <c r="E82" s="88">
        <v>305.01</v>
      </c>
      <c r="F82" s="89">
        <v>56480.22</v>
      </c>
      <c r="G82" s="89">
        <v>4434.17</v>
      </c>
      <c r="H82" s="88">
        <v>20015.349999999999</v>
      </c>
      <c r="I82" s="99">
        <v>533.75</v>
      </c>
      <c r="J82" s="13"/>
    </row>
    <row r="83" spans="1:10" ht="14.25" customHeight="1">
      <c r="A83" s="60">
        <v>9</v>
      </c>
      <c r="B83" s="89">
        <v>334014.65000000002</v>
      </c>
      <c r="C83" s="88">
        <v>85628.13</v>
      </c>
      <c r="D83" s="89">
        <v>25.23</v>
      </c>
      <c r="E83" s="88">
        <v>297.58</v>
      </c>
      <c r="F83" s="89">
        <v>58306.15</v>
      </c>
      <c r="G83" s="89">
        <v>4422.7</v>
      </c>
      <c r="H83" s="88">
        <v>22340.93</v>
      </c>
      <c r="I83" s="99">
        <v>235.54</v>
      </c>
      <c r="J83" s="13"/>
    </row>
    <row r="84" spans="1:10" ht="14.25" customHeight="1">
      <c r="A84" s="60"/>
      <c r="B84" s="89"/>
      <c r="C84" s="88"/>
      <c r="D84" s="89"/>
      <c r="E84" s="88"/>
      <c r="F84" s="89"/>
      <c r="G84" s="89"/>
      <c r="H84" s="88"/>
      <c r="I84" s="99"/>
      <c r="J84" s="13"/>
    </row>
    <row r="85" spans="1:10" ht="14.25" customHeight="1">
      <c r="A85" s="60">
        <v>10</v>
      </c>
      <c r="B85" s="89">
        <v>336435.16</v>
      </c>
      <c r="C85" s="88">
        <v>74959.509999999995</v>
      </c>
      <c r="D85" s="89">
        <v>27.41</v>
      </c>
      <c r="E85" s="88">
        <v>289.57</v>
      </c>
      <c r="F85" s="89">
        <v>49940.78</v>
      </c>
      <c r="G85" s="89">
        <v>4078.02</v>
      </c>
      <c r="H85" s="88">
        <v>20465.16</v>
      </c>
      <c r="I85" s="99">
        <v>158.57</v>
      </c>
      <c r="J85" s="13"/>
    </row>
    <row r="86" spans="1:10" ht="14.25" customHeight="1">
      <c r="A86" s="60">
        <v>11</v>
      </c>
      <c r="B86" s="89">
        <v>330174.90999999997</v>
      </c>
      <c r="C86" s="88">
        <v>73892.899999999994</v>
      </c>
      <c r="D86" s="89">
        <v>39.57</v>
      </c>
      <c r="E86" s="88">
        <v>276.44</v>
      </c>
      <c r="F86" s="89">
        <v>49014.23</v>
      </c>
      <c r="G86" s="89">
        <v>4078.53</v>
      </c>
      <c r="H86" s="88">
        <v>20375.62</v>
      </c>
      <c r="I86" s="99">
        <v>108.51</v>
      </c>
      <c r="J86" s="13"/>
    </row>
    <row r="87" spans="1:10" ht="14.25" customHeight="1">
      <c r="A87" s="60">
        <v>12</v>
      </c>
      <c r="B87" s="89">
        <v>310304.46000000002</v>
      </c>
      <c r="C87" s="88">
        <v>67975.19</v>
      </c>
      <c r="D87" s="89">
        <v>78.58</v>
      </c>
      <c r="E87" s="88">
        <v>263.89</v>
      </c>
      <c r="F87" s="89">
        <v>50358.16</v>
      </c>
      <c r="G87" s="89">
        <v>4061.55</v>
      </c>
      <c r="H87" s="88">
        <v>13186.47</v>
      </c>
      <c r="I87" s="99">
        <v>26.54</v>
      </c>
      <c r="J87" s="13"/>
    </row>
    <row r="88" spans="1:10" ht="14.25" customHeight="1">
      <c r="A88" s="60"/>
      <c r="B88" s="89"/>
      <c r="C88" s="88"/>
      <c r="D88" s="89"/>
      <c r="E88" s="88"/>
      <c r="F88" s="89"/>
      <c r="G88" s="89"/>
      <c r="H88" s="88"/>
      <c r="I88" s="99"/>
      <c r="J88" s="13"/>
    </row>
    <row r="89" spans="1:10" ht="14.25" customHeight="1">
      <c r="A89" s="60">
        <v>2023.1</v>
      </c>
      <c r="B89" s="89">
        <v>311088.3</v>
      </c>
      <c r="C89" s="88">
        <v>73814.61</v>
      </c>
      <c r="D89" s="89">
        <v>23.86</v>
      </c>
      <c r="E89" s="88">
        <v>248.65</v>
      </c>
      <c r="F89" s="89">
        <v>54498.21</v>
      </c>
      <c r="G89" s="89">
        <v>3926.09</v>
      </c>
      <c r="H89" s="88">
        <v>14995.42</v>
      </c>
      <c r="I89" s="99">
        <v>122.38</v>
      </c>
      <c r="J89" s="13"/>
    </row>
    <row r="90" spans="1:10" ht="14.25" customHeight="1">
      <c r="A90" s="60">
        <v>2</v>
      </c>
      <c r="B90" s="89">
        <v>327004.13</v>
      </c>
      <c r="C90" s="88">
        <v>81222</v>
      </c>
      <c r="D90" s="89">
        <v>21.14</v>
      </c>
      <c r="E90" s="88">
        <v>264.02999999999997</v>
      </c>
      <c r="F90" s="89">
        <v>54265.37</v>
      </c>
      <c r="G90" s="89">
        <v>4181.84</v>
      </c>
      <c r="H90" s="88">
        <v>22370.23</v>
      </c>
      <c r="I90" s="99">
        <v>119.39</v>
      </c>
      <c r="J90" s="13"/>
    </row>
    <row r="91" spans="1:10" ht="14.25" customHeight="1">
      <c r="A91" s="60">
        <v>3</v>
      </c>
      <c r="B91" s="89">
        <v>332383.75</v>
      </c>
      <c r="C91" s="88">
        <v>85193.15</v>
      </c>
      <c r="D91" s="89">
        <v>22.14</v>
      </c>
      <c r="E91" s="88">
        <v>258.72000000000003</v>
      </c>
      <c r="F91" s="89">
        <v>62409.94</v>
      </c>
      <c r="G91" s="89">
        <v>3986.2</v>
      </c>
      <c r="H91" s="88">
        <v>18294.37</v>
      </c>
      <c r="I91" s="99">
        <v>221.78</v>
      </c>
      <c r="J91" s="13"/>
    </row>
    <row r="92" spans="1:10" ht="14.25" customHeight="1">
      <c r="A92" s="60"/>
      <c r="B92" s="89"/>
      <c r="C92" s="88"/>
      <c r="D92" s="89"/>
      <c r="E92" s="88"/>
      <c r="F92" s="89"/>
      <c r="G92" s="89"/>
      <c r="H92" s="88"/>
      <c r="I92" s="99"/>
      <c r="J92" s="13"/>
    </row>
    <row r="93" spans="1:10" ht="14.25" customHeight="1">
      <c r="A93" s="60">
        <v>4</v>
      </c>
      <c r="B93" s="89">
        <v>332986.31</v>
      </c>
      <c r="C93" s="88">
        <v>77775.929999999993</v>
      </c>
      <c r="D93" s="89">
        <v>64.77</v>
      </c>
      <c r="E93" s="88">
        <v>253.99</v>
      </c>
      <c r="F93" s="89">
        <v>56631.78</v>
      </c>
      <c r="G93" s="89">
        <v>3976.81</v>
      </c>
      <c r="H93" s="88">
        <v>16671.650000000001</v>
      </c>
      <c r="I93" s="99">
        <v>176.93</v>
      </c>
      <c r="J93" s="13"/>
    </row>
    <row r="94" spans="1:10" ht="14.25" customHeight="1">
      <c r="A94" s="60">
        <v>5</v>
      </c>
      <c r="B94" s="89">
        <v>339591.85</v>
      </c>
      <c r="C94" s="88">
        <v>79741.23</v>
      </c>
      <c r="D94" s="89">
        <v>25.47</v>
      </c>
      <c r="E94" s="88">
        <v>245.77</v>
      </c>
      <c r="F94" s="89">
        <v>58557.93</v>
      </c>
      <c r="G94" s="89">
        <v>3851.21</v>
      </c>
      <c r="H94" s="88">
        <v>16897.919999999998</v>
      </c>
      <c r="I94" s="99">
        <v>162.93</v>
      </c>
      <c r="J94" s="13"/>
    </row>
    <row r="95" spans="1:10" ht="14.25" customHeight="1">
      <c r="A95" s="60">
        <v>6</v>
      </c>
      <c r="B95" s="89">
        <v>354142.82</v>
      </c>
      <c r="C95" s="88">
        <v>85559.63</v>
      </c>
      <c r="D95" s="89">
        <v>23.76</v>
      </c>
      <c r="E95" s="88">
        <v>249.18</v>
      </c>
      <c r="F95" s="89">
        <v>65456.18</v>
      </c>
      <c r="G95" s="89">
        <v>4089.2</v>
      </c>
      <c r="H95" s="88">
        <v>14739.14</v>
      </c>
      <c r="I95" s="99">
        <v>1002.17</v>
      </c>
      <c r="J95" s="13"/>
    </row>
    <row r="96" spans="1:10" ht="14.25" customHeight="1">
      <c r="A96" s="60"/>
      <c r="B96" s="89"/>
      <c r="C96" s="88"/>
      <c r="D96" s="89"/>
      <c r="E96" s="88"/>
      <c r="F96" s="89"/>
      <c r="G96" s="89"/>
      <c r="H96" s="88"/>
      <c r="I96" s="99"/>
      <c r="J96" s="13"/>
    </row>
    <row r="97" spans="1:10" ht="14.25" customHeight="1">
      <c r="A97" s="60">
        <v>7</v>
      </c>
      <c r="B97" s="89">
        <v>351124.4</v>
      </c>
      <c r="C97" s="88">
        <v>82330.75</v>
      </c>
      <c r="D97" s="89">
        <v>25.5</v>
      </c>
      <c r="E97" s="88">
        <v>244.37</v>
      </c>
      <c r="F97" s="89">
        <v>64132.74</v>
      </c>
      <c r="G97" s="89">
        <v>3804.83</v>
      </c>
      <c r="H97" s="88">
        <v>13498.24</v>
      </c>
      <c r="I97" s="99">
        <v>624.76</v>
      </c>
      <c r="J97" s="13"/>
    </row>
    <row r="98" spans="1:10" ht="14.25" customHeight="1">
      <c r="A98" s="60">
        <v>8</v>
      </c>
      <c r="B98" s="89">
        <v>356373.45</v>
      </c>
      <c r="C98" s="88">
        <v>78028.850000000006</v>
      </c>
      <c r="D98" s="89">
        <v>25.04</v>
      </c>
      <c r="E98" s="88">
        <v>248.09</v>
      </c>
      <c r="F98" s="89">
        <v>57234.6</v>
      </c>
      <c r="G98" s="89">
        <v>3764.93</v>
      </c>
      <c r="H98" s="88">
        <v>16387.36</v>
      </c>
      <c r="I98" s="99">
        <v>368.41</v>
      </c>
      <c r="J98" s="13"/>
    </row>
    <row r="99" spans="1:10" ht="14.25" customHeight="1">
      <c r="A99" s="60">
        <v>9</v>
      </c>
      <c r="B99" s="89">
        <v>351059.27</v>
      </c>
      <c r="C99" s="88">
        <v>73051.490000000005</v>
      </c>
      <c r="D99" s="89">
        <v>54.77</v>
      </c>
      <c r="E99" s="88">
        <v>253.87</v>
      </c>
      <c r="F99" s="89">
        <v>54297.27</v>
      </c>
      <c r="G99" s="89">
        <v>3984.89</v>
      </c>
      <c r="H99" s="88">
        <v>14231.04</v>
      </c>
      <c r="I99" s="99">
        <v>229.65</v>
      </c>
      <c r="J99" s="13"/>
    </row>
    <row r="100" spans="1:10" ht="14.25" customHeight="1">
      <c r="A100" s="60"/>
      <c r="B100" s="89"/>
      <c r="C100" s="88"/>
      <c r="D100" s="89"/>
      <c r="E100" s="88"/>
      <c r="F100" s="89"/>
      <c r="G100" s="89"/>
      <c r="H100" s="88"/>
      <c r="I100" s="99"/>
      <c r="J100" s="13"/>
    </row>
    <row r="101" spans="1:10" ht="14.25" customHeight="1">
      <c r="A101" s="60">
        <v>10</v>
      </c>
      <c r="B101" s="89">
        <v>337989.04</v>
      </c>
      <c r="C101" s="88">
        <v>68853.679999999993</v>
      </c>
      <c r="D101" s="89">
        <v>27.98</v>
      </c>
      <c r="E101" s="88">
        <v>249.73</v>
      </c>
      <c r="F101" s="89">
        <v>49906.58</v>
      </c>
      <c r="G101" s="89">
        <v>4376.3500000000004</v>
      </c>
      <c r="H101" s="88">
        <v>14123.7</v>
      </c>
      <c r="I101" s="99">
        <v>169.34</v>
      </c>
      <c r="J101" s="13"/>
    </row>
    <row r="102" spans="1:10" ht="14.25" customHeight="1">
      <c r="A102" s="60">
        <v>11</v>
      </c>
      <c r="B102" s="89">
        <v>344373.38</v>
      </c>
      <c r="C102" s="88">
        <v>75511.63</v>
      </c>
      <c r="D102" s="89">
        <v>31.04</v>
      </c>
      <c r="E102" s="88">
        <v>268.36</v>
      </c>
      <c r="F102" s="89">
        <v>47700.28</v>
      </c>
      <c r="G102" s="89">
        <v>4649.17</v>
      </c>
      <c r="H102" s="88">
        <v>22752.83</v>
      </c>
      <c r="I102" s="99">
        <v>109.95</v>
      </c>
      <c r="J102" s="13"/>
    </row>
    <row r="103" spans="1:10" ht="14.25" customHeight="1">
      <c r="A103" s="60">
        <v>12</v>
      </c>
      <c r="B103" s="89">
        <v>325276.90999999997</v>
      </c>
      <c r="C103" s="88">
        <v>72008.86</v>
      </c>
      <c r="D103" s="89">
        <v>100.95</v>
      </c>
      <c r="E103" s="88">
        <v>258.77999999999997</v>
      </c>
      <c r="F103" s="89">
        <v>50426.239999999998</v>
      </c>
      <c r="G103" s="89">
        <v>4520.51</v>
      </c>
      <c r="H103" s="88">
        <v>16679.91</v>
      </c>
      <c r="I103" s="99">
        <v>22.47</v>
      </c>
      <c r="J103" s="13"/>
    </row>
    <row r="104" spans="1:10" ht="14.25" customHeight="1">
      <c r="A104" s="60"/>
      <c r="B104" s="89"/>
      <c r="C104" s="88"/>
      <c r="D104" s="89"/>
      <c r="E104" s="88"/>
      <c r="F104" s="89"/>
      <c r="G104" s="89"/>
      <c r="H104" s="88"/>
      <c r="I104" s="99"/>
      <c r="J104" s="13"/>
    </row>
    <row r="105" spans="1:10" ht="14.25" customHeight="1">
      <c r="A105" s="60">
        <v>2024.1</v>
      </c>
      <c r="B105" s="89">
        <v>340897.27</v>
      </c>
      <c r="C105" s="88">
        <v>83778.11</v>
      </c>
      <c r="D105" s="89">
        <v>41.58</v>
      </c>
      <c r="E105" s="88">
        <v>251.2</v>
      </c>
      <c r="F105" s="89">
        <v>63940.4</v>
      </c>
      <c r="G105" s="89">
        <v>4269.55</v>
      </c>
      <c r="H105" s="88">
        <v>15148.09</v>
      </c>
      <c r="I105" s="99">
        <v>127.29</v>
      </c>
      <c r="J105" s="13"/>
    </row>
    <row r="106" spans="1:10" ht="14.25" customHeight="1">
      <c r="A106" s="60">
        <v>2</v>
      </c>
      <c r="B106" s="89">
        <v>355654.79</v>
      </c>
      <c r="C106" s="88">
        <v>91233.07</v>
      </c>
      <c r="D106" s="89">
        <v>25.49</v>
      </c>
      <c r="E106" s="88">
        <v>263.70999999999998</v>
      </c>
      <c r="F106" s="89">
        <v>66593.66</v>
      </c>
      <c r="G106" s="89">
        <v>4182.4799999999996</v>
      </c>
      <c r="H106" s="88">
        <v>20017.45</v>
      </c>
      <c r="I106" s="99">
        <v>150.28</v>
      </c>
      <c r="J106" s="13"/>
    </row>
    <row r="107" spans="1:10" ht="14.25" customHeight="1">
      <c r="A107" s="60">
        <v>3</v>
      </c>
      <c r="B107" s="89">
        <v>380926.93</v>
      </c>
      <c r="C107" s="88">
        <v>106837.04</v>
      </c>
      <c r="D107" s="89">
        <v>36.380000000000003</v>
      </c>
      <c r="E107" s="88">
        <v>265.64999999999998</v>
      </c>
      <c r="F107" s="89">
        <v>87654.77</v>
      </c>
      <c r="G107" s="89">
        <v>4251.87</v>
      </c>
      <c r="H107" s="88">
        <v>14297.58</v>
      </c>
      <c r="I107" s="99">
        <v>330.79</v>
      </c>
      <c r="J107" s="13"/>
    </row>
    <row r="108" spans="1:10" ht="14.25" customHeight="1">
      <c r="A108" s="60"/>
      <c r="B108" s="89"/>
      <c r="C108" s="88"/>
      <c r="D108" s="89"/>
      <c r="E108" s="88"/>
      <c r="F108" s="89"/>
      <c r="G108" s="89"/>
      <c r="H108" s="88"/>
      <c r="I108" s="99"/>
      <c r="J108" s="13"/>
    </row>
    <row r="109" spans="1:10" ht="14.25" customHeight="1">
      <c r="A109" s="60">
        <v>4</v>
      </c>
      <c r="B109" s="89">
        <v>378640.49</v>
      </c>
      <c r="C109" s="88">
        <v>98124.59</v>
      </c>
      <c r="D109" s="89">
        <v>23.15</v>
      </c>
      <c r="E109" s="88">
        <v>253.21</v>
      </c>
      <c r="F109" s="89">
        <v>78461.53</v>
      </c>
      <c r="G109" s="89">
        <v>4116.32</v>
      </c>
      <c r="H109" s="88">
        <v>15014.22</v>
      </c>
      <c r="I109" s="99">
        <v>256.16000000000003</v>
      </c>
      <c r="J109" s="13"/>
    </row>
    <row r="110" spans="1:10" ht="14.25" customHeight="1">
      <c r="A110" s="60">
        <v>5</v>
      </c>
      <c r="B110" s="89">
        <v>383756.54</v>
      </c>
      <c r="C110" s="88">
        <v>98701.5</v>
      </c>
      <c r="D110" s="89">
        <v>28</v>
      </c>
      <c r="E110" s="88">
        <v>258.72000000000003</v>
      </c>
      <c r="F110" s="89">
        <v>80114.509999999995</v>
      </c>
      <c r="G110" s="89">
        <v>4027.68</v>
      </c>
      <c r="H110" s="88">
        <v>14055.33</v>
      </c>
      <c r="I110" s="99">
        <v>217.26</v>
      </c>
      <c r="J110" s="13"/>
    </row>
    <row r="111" spans="1:10" ht="14.25" customHeight="1">
      <c r="A111" s="60">
        <v>6</v>
      </c>
      <c r="B111" s="89">
        <v>390011.19</v>
      </c>
      <c r="C111" s="88">
        <v>114476.45</v>
      </c>
      <c r="D111" s="89">
        <v>70.81</v>
      </c>
      <c r="E111" s="88">
        <v>271.45</v>
      </c>
      <c r="F111" s="89">
        <v>96492.06</v>
      </c>
      <c r="G111" s="89">
        <v>4160.75</v>
      </c>
      <c r="H111" s="88">
        <v>13139.41</v>
      </c>
      <c r="I111" s="99">
        <v>341.97</v>
      </c>
      <c r="J111" s="13"/>
    </row>
    <row r="112" spans="1:10" ht="14.25" customHeight="1">
      <c r="A112" s="60"/>
      <c r="B112" s="89"/>
      <c r="C112" s="88"/>
      <c r="D112" s="89"/>
      <c r="E112" s="88"/>
      <c r="F112" s="89"/>
      <c r="G112" s="89"/>
      <c r="H112" s="88"/>
      <c r="I112" s="99"/>
      <c r="J112" s="13"/>
    </row>
    <row r="113" spans="1:10" ht="14.25" customHeight="1">
      <c r="A113" s="60">
        <v>7</v>
      </c>
      <c r="B113" s="89">
        <v>380166.91</v>
      </c>
      <c r="C113" s="88">
        <v>96828.53</v>
      </c>
      <c r="D113" s="89">
        <v>26.55</v>
      </c>
      <c r="E113" s="88">
        <v>256.12</v>
      </c>
      <c r="F113" s="89">
        <v>80023.59</v>
      </c>
      <c r="G113" s="89">
        <v>4137.25</v>
      </c>
      <c r="H113" s="88">
        <v>12130.98</v>
      </c>
      <c r="I113" s="99">
        <v>254.04</v>
      </c>
      <c r="J113" s="13"/>
    </row>
    <row r="114" spans="1:10" ht="14.25" customHeight="1">
      <c r="A114" s="60">
        <v>8</v>
      </c>
      <c r="B114" s="89">
        <v>382909.1</v>
      </c>
      <c r="C114" s="88">
        <v>96205.66</v>
      </c>
      <c r="D114" s="89">
        <v>71.569999999999993</v>
      </c>
      <c r="E114" s="88">
        <v>253.43</v>
      </c>
      <c r="F114" s="89">
        <v>77146.17</v>
      </c>
      <c r="G114" s="89">
        <v>4234.1000000000004</v>
      </c>
      <c r="H114" s="88">
        <v>14306.4</v>
      </c>
      <c r="I114" s="99">
        <v>193.99</v>
      </c>
      <c r="J114" s="13"/>
    </row>
    <row r="115" spans="1:10" ht="14.25" customHeight="1">
      <c r="A115" s="60">
        <v>9</v>
      </c>
      <c r="B115" s="89">
        <v>369764.64</v>
      </c>
      <c r="C115" s="88">
        <v>87290.72</v>
      </c>
      <c r="D115" s="89">
        <v>18.440000000000001</v>
      </c>
      <c r="E115" s="88">
        <v>260.43</v>
      </c>
      <c r="F115" s="89">
        <v>66952.73</v>
      </c>
      <c r="G115" s="89">
        <v>4443.6000000000004</v>
      </c>
      <c r="H115" s="88">
        <v>15400.5</v>
      </c>
      <c r="I115" s="99">
        <v>215.02</v>
      </c>
      <c r="J115" s="13"/>
    </row>
    <row r="116" spans="1:10" ht="14.25" customHeight="1">
      <c r="A116" s="60"/>
      <c r="B116" s="89"/>
      <c r="C116" s="88"/>
      <c r="D116" s="89"/>
      <c r="E116" s="88"/>
      <c r="F116" s="89"/>
      <c r="G116" s="89"/>
      <c r="H116" s="88"/>
      <c r="I116" s="99"/>
      <c r="J116" s="13"/>
    </row>
    <row r="117" spans="1:10" ht="14.25" customHeight="1">
      <c r="A117" s="60">
        <v>10</v>
      </c>
      <c r="B117" s="89">
        <v>370556.51</v>
      </c>
      <c r="C117" s="88">
        <v>87596.71</v>
      </c>
      <c r="D117" s="89">
        <v>23.68</v>
      </c>
      <c r="E117" s="88">
        <v>261.37</v>
      </c>
      <c r="F117" s="89">
        <v>68929.070000000007</v>
      </c>
      <c r="G117" s="89">
        <v>4318.38</v>
      </c>
      <c r="H117" s="88">
        <v>13895.62</v>
      </c>
      <c r="I117" s="99">
        <v>168.59</v>
      </c>
      <c r="J117" s="13"/>
    </row>
    <row r="118" spans="1:10" ht="14.25" customHeight="1">
      <c r="A118" s="60">
        <v>11</v>
      </c>
      <c r="B118" s="89">
        <v>351675.33</v>
      </c>
      <c r="C118" s="88">
        <v>82611.179999999993</v>
      </c>
      <c r="D118" s="89">
        <v>58.57</v>
      </c>
      <c r="E118" s="88">
        <v>282.11</v>
      </c>
      <c r="F118" s="89">
        <v>61787.29</v>
      </c>
      <c r="G118" s="89">
        <v>4398.68</v>
      </c>
      <c r="H118" s="88">
        <v>15962.4</v>
      </c>
      <c r="I118" s="99">
        <v>122.13</v>
      </c>
      <c r="J118" s="13"/>
    </row>
    <row r="119" spans="1:10" ht="14.25" customHeight="1">
      <c r="A119" s="60">
        <v>12</v>
      </c>
      <c r="B119" s="89">
        <v>334927.86</v>
      </c>
      <c r="C119" s="88">
        <v>72008.2</v>
      </c>
      <c r="D119" s="89">
        <v>22.28</v>
      </c>
      <c r="E119" s="88">
        <v>278.92</v>
      </c>
      <c r="F119" s="89">
        <v>55434.13</v>
      </c>
      <c r="G119" s="89">
        <v>4208.3</v>
      </c>
      <c r="H119" s="88">
        <v>12035.29</v>
      </c>
      <c r="I119" s="99">
        <v>29.28</v>
      </c>
      <c r="J119" s="13"/>
    </row>
    <row r="120" spans="1:10" ht="14.25" customHeight="1">
      <c r="A120" s="60"/>
      <c r="B120" s="89"/>
      <c r="C120" s="88"/>
      <c r="D120" s="89"/>
      <c r="E120" s="88"/>
      <c r="F120" s="89"/>
      <c r="G120" s="89"/>
      <c r="H120" s="88"/>
      <c r="I120" s="99"/>
      <c r="J120" s="13"/>
    </row>
    <row r="121" spans="1:10" ht="14.25" customHeight="1">
      <c r="A121" s="60">
        <v>2025.1</v>
      </c>
      <c r="B121" s="89">
        <v>341449.8</v>
      </c>
      <c r="C121" s="88">
        <v>83693.279999999999</v>
      </c>
      <c r="D121" s="89">
        <v>17.41</v>
      </c>
      <c r="E121" s="88">
        <v>268.7</v>
      </c>
      <c r="F121" s="89">
        <v>66626.62</v>
      </c>
      <c r="G121" s="89">
        <v>4253.7299999999996</v>
      </c>
      <c r="H121" s="88">
        <v>12414.61</v>
      </c>
      <c r="I121" s="99">
        <v>112.21</v>
      </c>
      <c r="J121" s="13"/>
    </row>
    <row r="122" spans="1:10" ht="14.25" customHeight="1">
      <c r="A122" s="60">
        <v>2</v>
      </c>
      <c r="B122" s="89">
        <v>347654.89</v>
      </c>
      <c r="C122" s="88">
        <v>85242</v>
      </c>
      <c r="D122" s="89">
        <v>18.850000000000001</v>
      </c>
      <c r="E122" s="88">
        <v>263.14999999999998</v>
      </c>
      <c r="F122" s="89">
        <v>61555.48</v>
      </c>
      <c r="G122" s="89">
        <v>4204.46</v>
      </c>
      <c r="H122" s="88">
        <v>19021.66</v>
      </c>
      <c r="I122" s="99">
        <v>178.4</v>
      </c>
      <c r="J122" s="13"/>
    </row>
    <row r="123" spans="1:10" ht="14.25" customHeight="1">
      <c r="A123" s="60">
        <v>3</v>
      </c>
      <c r="B123" s="89">
        <v>367542.81</v>
      </c>
      <c r="C123" s="88">
        <v>103283.78</v>
      </c>
      <c r="D123" s="89">
        <v>17.920000000000002</v>
      </c>
      <c r="E123" s="88">
        <v>265.58999999999997</v>
      </c>
      <c r="F123" s="89">
        <v>84856.37</v>
      </c>
      <c r="G123" s="89">
        <v>4082.71</v>
      </c>
      <c r="H123" s="88">
        <v>13654.99</v>
      </c>
      <c r="I123" s="99">
        <v>406.2</v>
      </c>
      <c r="J123" s="13"/>
    </row>
    <row r="124" spans="1:10" ht="14.25" customHeight="1">
      <c r="A124" s="60"/>
      <c r="B124" s="89"/>
      <c r="C124" s="88"/>
      <c r="D124" s="89"/>
      <c r="E124" s="88"/>
      <c r="F124" s="89"/>
      <c r="G124" s="89"/>
      <c r="H124" s="88"/>
      <c r="I124" s="99"/>
      <c r="J124" s="13"/>
    </row>
    <row r="125" spans="1:10" ht="14.25" customHeight="1">
      <c r="A125" s="60">
        <v>4</v>
      </c>
      <c r="B125" s="89">
        <v>355044.49</v>
      </c>
      <c r="C125" s="88">
        <v>100361.9</v>
      </c>
      <c r="D125" s="89">
        <v>21.3</v>
      </c>
      <c r="E125" s="88">
        <v>271.48</v>
      </c>
      <c r="F125" s="89">
        <v>83956.55</v>
      </c>
      <c r="G125" s="89">
        <v>4084.99</v>
      </c>
      <c r="H125" s="88">
        <v>11724.48</v>
      </c>
      <c r="I125" s="99">
        <v>303.10000000000002</v>
      </c>
      <c r="J125" s="13"/>
    </row>
    <row r="126" spans="1:10" ht="14.25" customHeight="1">
      <c r="A126" s="60">
        <v>5</v>
      </c>
      <c r="B126" s="89">
        <v>348914.48</v>
      </c>
      <c r="C126" s="88">
        <v>100005.21</v>
      </c>
      <c r="D126" s="89">
        <v>33.92</v>
      </c>
      <c r="E126" s="88">
        <v>261.23</v>
      </c>
      <c r="F126" s="89">
        <v>80371.14</v>
      </c>
      <c r="G126" s="89">
        <v>3999.99</v>
      </c>
      <c r="H126" s="88">
        <v>15070.91</v>
      </c>
      <c r="I126" s="99">
        <v>268.02</v>
      </c>
      <c r="J126" s="13"/>
    </row>
    <row r="127" spans="1:10" ht="14.25" customHeight="1">
      <c r="A127" s="60">
        <v>6</v>
      </c>
      <c r="B127" s="89">
        <v>357266.32</v>
      </c>
      <c r="C127" s="88">
        <v>100931.92</v>
      </c>
      <c r="D127" s="89">
        <v>12.49</v>
      </c>
      <c r="E127" s="88">
        <v>261.02</v>
      </c>
      <c r="F127" s="89">
        <v>83037.56</v>
      </c>
      <c r="G127" s="89">
        <v>4209.96</v>
      </c>
      <c r="H127" s="88">
        <v>12987.44</v>
      </c>
      <c r="I127" s="99">
        <v>423.45</v>
      </c>
      <c r="J127" s="13"/>
    </row>
    <row r="128" spans="1:10" ht="14.25" customHeight="1">
      <c r="A128" s="60"/>
      <c r="B128" s="89"/>
      <c r="C128" s="88"/>
      <c r="D128" s="89"/>
      <c r="E128" s="88"/>
      <c r="F128" s="89"/>
      <c r="G128" s="89"/>
      <c r="H128" s="88"/>
      <c r="I128" s="99"/>
      <c r="J128" s="13"/>
    </row>
    <row r="129" spans="1:10" ht="14.25" customHeight="1">
      <c r="A129" s="60">
        <v>7</v>
      </c>
      <c r="B129" s="89">
        <v>348287.2</v>
      </c>
      <c r="C129" s="88">
        <v>92131.91</v>
      </c>
      <c r="D129" s="89">
        <v>11.29</v>
      </c>
      <c r="E129" s="88">
        <v>259.27999999999997</v>
      </c>
      <c r="F129" s="89">
        <v>74717.039999999994</v>
      </c>
      <c r="G129" s="89">
        <v>4114.49</v>
      </c>
      <c r="H129" s="88">
        <v>12751.57</v>
      </c>
      <c r="I129" s="99">
        <v>278.24</v>
      </c>
      <c r="J129" s="13"/>
    </row>
    <row r="130" spans="1:10" ht="14.25" customHeight="1">
      <c r="A130" s="60">
        <v>8</v>
      </c>
      <c r="B130" s="89">
        <v>349669.23</v>
      </c>
      <c r="C130" s="88">
        <v>83787.72</v>
      </c>
      <c r="D130" s="89">
        <v>66.27</v>
      </c>
      <c r="E130" s="88">
        <v>270.27999999999997</v>
      </c>
      <c r="F130" s="89">
        <v>64257.760000000002</v>
      </c>
      <c r="G130" s="89">
        <v>4160.92</v>
      </c>
      <c r="H130" s="88">
        <v>14807.2</v>
      </c>
      <c r="I130" s="99">
        <v>225.29</v>
      </c>
      <c r="J130" s="13"/>
    </row>
    <row r="131" spans="1:10" ht="14.25" customHeight="1">
      <c r="A131" s="60">
        <v>9</v>
      </c>
      <c r="B131" s="89">
        <v>356518.84</v>
      </c>
      <c r="C131" s="88">
        <v>87954.75</v>
      </c>
      <c r="D131" s="89">
        <v>13.51</v>
      </c>
      <c r="E131" s="88">
        <v>261.8</v>
      </c>
      <c r="F131" s="89">
        <v>68628.679999999993</v>
      </c>
      <c r="G131" s="89">
        <v>4385.24</v>
      </c>
      <c r="H131" s="88">
        <v>14421.02</v>
      </c>
      <c r="I131" s="99">
        <v>244.5</v>
      </c>
      <c r="J131" s="13"/>
    </row>
    <row r="132" spans="1:10" ht="14.25" customHeight="1">
      <c r="A132" s="60"/>
      <c r="B132" s="89"/>
      <c r="C132" s="88"/>
      <c r="D132" s="89"/>
      <c r="E132" s="88"/>
      <c r="F132" s="89"/>
      <c r="G132" s="89"/>
      <c r="H132" s="88"/>
      <c r="I132" s="99"/>
      <c r="J132" s="13"/>
    </row>
    <row r="133" spans="1:10" ht="14.25" customHeight="1">
      <c r="A133" s="60">
        <v>10</v>
      </c>
      <c r="B133" s="89">
        <v>346956.91</v>
      </c>
      <c r="C133" s="88">
        <v>80550.34</v>
      </c>
      <c r="D133" s="89">
        <v>1006.66</v>
      </c>
      <c r="E133" s="88">
        <v>274.14999999999998</v>
      </c>
      <c r="F133" s="89">
        <v>63178.8</v>
      </c>
      <c r="G133" s="89">
        <v>4512.47</v>
      </c>
      <c r="H133" s="88">
        <v>11372.39</v>
      </c>
      <c r="I133" s="99">
        <v>205.87</v>
      </c>
      <c r="J133" s="13"/>
    </row>
    <row r="134" spans="1:10" ht="14.25" customHeight="1">
      <c r="A134" s="60">
        <v>11</v>
      </c>
      <c r="B134" s="89">
        <v>345372.76</v>
      </c>
      <c r="C134" s="88">
        <v>80950.080000000002</v>
      </c>
      <c r="D134" s="89">
        <v>52.74</v>
      </c>
      <c r="E134" s="88">
        <v>275.08999999999997</v>
      </c>
      <c r="F134" s="89">
        <v>59598.9</v>
      </c>
      <c r="G134" s="89">
        <v>4309.47</v>
      </c>
      <c r="H134" s="88">
        <v>16547.580000000002</v>
      </c>
      <c r="I134" s="99">
        <v>166.3</v>
      </c>
    </row>
    <row r="135" spans="1:10" ht="14.25" customHeight="1">
      <c r="A135" s="269" t="s">
        <v>213</v>
      </c>
      <c r="B135" s="209">
        <v>325429.05</v>
      </c>
      <c r="C135" s="209">
        <v>70883.61</v>
      </c>
      <c r="D135" s="209">
        <v>21.72</v>
      </c>
      <c r="E135" s="209">
        <v>273.48</v>
      </c>
      <c r="F135" s="209">
        <v>54007.11</v>
      </c>
      <c r="G135" s="209">
        <v>4251.5200000000004</v>
      </c>
      <c r="H135" s="209">
        <v>12297.21</v>
      </c>
      <c r="I135" s="229">
        <v>32.57</v>
      </c>
    </row>
    <row r="136" spans="1:10" ht="14.25" customHeight="1">
      <c r="A136" s="60"/>
      <c r="B136" s="89"/>
      <c r="C136" s="88"/>
      <c r="D136" s="89"/>
      <c r="E136" s="88"/>
      <c r="F136" s="89"/>
      <c r="G136" s="89"/>
      <c r="H136" s="88"/>
      <c r="I136" s="99"/>
      <c r="J136" s="13"/>
    </row>
    <row r="137" spans="1:10" ht="14.25" customHeight="1">
      <c r="A137" s="60">
        <v>2026.1</v>
      </c>
      <c r="B137" s="89">
        <v>334669.46999999997</v>
      </c>
      <c r="C137" s="88">
        <v>82341.59</v>
      </c>
      <c r="D137" s="89">
        <v>71.72</v>
      </c>
      <c r="E137" s="88">
        <v>274.52999999999997</v>
      </c>
      <c r="F137" s="89">
        <v>64842.63</v>
      </c>
      <c r="G137" s="89">
        <v>4445.99</v>
      </c>
      <c r="H137" s="88">
        <v>12573.18</v>
      </c>
      <c r="I137" s="99">
        <v>133.54</v>
      </c>
      <c r="J137" s="13"/>
    </row>
    <row r="138" spans="1:10">
      <c r="A138" s="60">
        <v>2</v>
      </c>
      <c r="B138" s="89">
        <v>347885.03</v>
      </c>
      <c r="C138" s="88">
        <v>88875.46</v>
      </c>
      <c r="D138" s="89">
        <v>60.55</v>
      </c>
      <c r="E138" s="88">
        <v>292.06</v>
      </c>
      <c r="F138" s="89">
        <v>65779.77</v>
      </c>
      <c r="G138" s="89">
        <v>4273.55</v>
      </c>
      <c r="H138" s="88">
        <v>18328.63</v>
      </c>
      <c r="I138" s="99">
        <v>140.9</v>
      </c>
    </row>
    <row r="139" spans="1:10">
      <c r="A139" s="234" t="s">
        <v>265</v>
      </c>
      <c r="B139" s="219">
        <v>363449.82</v>
      </c>
      <c r="C139" s="219">
        <v>100378.53</v>
      </c>
      <c r="D139" s="219">
        <v>16.27</v>
      </c>
      <c r="E139" s="219">
        <v>271.94</v>
      </c>
      <c r="F139" s="219">
        <v>83244.22</v>
      </c>
      <c r="G139" s="219">
        <v>4173</v>
      </c>
      <c r="H139" s="219">
        <v>12453.14</v>
      </c>
      <c r="I139" s="210">
        <v>219.96</v>
      </c>
    </row>
    <row r="140" spans="1:10">
      <c r="A140" s="1" t="s">
        <v>158</v>
      </c>
    </row>
  </sheetData>
  <mergeCells count="3">
    <mergeCell ref="A6:A7"/>
    <mergeCell ref="C6:I6"/>
    <mergeCell ref="B6:B7"/>
  </mergeCells>
  <phoneticPr fontId="9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3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R140"/>
  <sheetViews>
    <sheetView zoomScale="85" zoomScaleNormal="85" workbookViewId="0">
      <pane xSplit="1" ySplit="7" topLeftCell="B122" activePane="bottomRight" state="frozen"/>
      <selection activeCell="E91" sqref="E91"/>
      <selection pane="topRight" activeCell="E91" sqref="E91"/>
      <selection pane="bottomLeft" activeCell="E91" sqref="E91"/>
      <selection pane="bottomRight" activeCell="B142" sqref="B142"/>
    </sheetView>
  </sheetViews>
  <sheetFormatPr defaultColWidth="8.88671875" defaultRowHeight="13.5"/>
  <cols>
    <col min="1" max="1" width="10.77734375" style="29" customWidth="1"/>
    <col min="2" max="2" width="11.88671875" style="28" customWidth="1"/>
    <col min="3" max="3" width="12" style="28" customWidth="1"/>
    <col min="4" max="7" width="10.77734375" style="28" customWidth="1"/>
    <col min="8" max="8" width="8.77734375" style="28" customWidth="1"/>
    <col min="9" max="9" width="10.109375" style="28" customWidth="1"/>
    <col min="10" max="16384" width="8.88671875" style="28"/>
  </cols>
  <sheetData>
    <row r="1" spans="1:10" s="1" customFormat="1" ht="12">
      <c r="A1" s="53"/>
      <c r="B1" s="53"/>
      <c r="C1" s="53"/>
      <c r="D1" s="53"/>
      <c r="E1" s="53"/>
      <c r="F1" s="53"/>
      <c r="G1" s="53"/>
      <c r="H1" s="54"/>
      <c r="I1" s="48"/>
    </row>
    <row r="2" spans="1:10" s="1" customFormat="1" ht="12">
      <c r="A2" s="53"/>
      <c r="B2" s="53"/>
      <c r="C2" s="53"/>
      <c r="D2" s="53"/>
      <c r="E2" s="53"/>
      <c r="F2" s="53"/>
      <c r="G2" s="53"/>
      <c r="H2" s="54"/>
      <c r="I2" s="48"/>
    </row>
    <row r="3" spans="1:10" s="1" customFormat="1" ht="12">
      <c r="A3" s="53"/>
      <c r="B3" s="53"/>
      <c r="C3" s="53"/>
      <c r="D3" s="53"/>
      <c r="E3" s="53"/>
      <c r="F3" s="53"/>
      <c r="G3" s="53"/>
      <c r="H3" s="54"/>
      <c r="I3" s="48"/>
    </row>
    <row r="4" spans="1:10" s="1" customFormat="1" ht="12">
      <c r="A4" s="55"/>
      <c r="B4" s="55"/>
      <c r="C4" s="55"/>
      <c r="D4" s="55"/>
      <c r="E4" s="55"/>
      <c r="F4" s="55"/>
      <c r="G4" s="55"/>
      <c r="H4" s="55"/>
      <c r="I4" s="55"/>
    </row>
    <row r="5" spans="1:10" s="12" customFormat="1" ht="19.5" customHeight="1">
      <c r="A5" s="1" t="s">
        <v>98</v>
      </c>
      <c r="B5" s="8"/>
      <c r="C5" s="8"/>
      <c r="D5" s="8"/>
      <c r="E5" s="8"/>
      <c r="F5" s="8"/>
      <c r="G5" s="4"/>
      <c r="H5" s="4"/>
      <c r="I5" s="4" t="s">
        <v>99</v>
      </c>
    </row>
    <row r="6" spans="1:10" s="12" customFormat="1" ht="20.25" customHeight="1">
      <c r="A6" s="276" t="s">
        <v>1</v>
      </c>
      <c r="B6" s="271" t="s">
        <v>16</v>
      </c>
      <c r="C6" s="272"/>
      <c r="D6" s="272"/>
      <c r="E6" s="272"/>
      <c r="F6" s="272"/>
      <c r="G6" s="272"/>
      <c r="H6" s="272"/>
      <c r="I6" s="272"/>
    </row>
    <row r="7" spans="1:10" s="12" customFormat="1" ht="27.75" customHeight="1">
      <c r="A7" s="281"/>
      <c r="B7" s="7" t="s">
        <v>42</v>
      </c>
      <c r="C7" s="7" t="s">
        <v>17</v>
      </c>
      <c r="D7" s="7" t="s">
        <v>18</v>
      </c>
      <c r="E7" s="9" t="s">
        <v>19</v>
      </c>
      <c r="F7" s="9" t="s">
        <v>20</v>
      </c>
      <c r="G7" s="107" t="s">
        <v>53</v>
      </c>
      <c r="H7" s="107" t="s">
        <v>54</v>
      </c>
      <c r="I7" s="46" t="s">
        <v>52</v>
      </c>
    </row>
    <row r="8" spans="1:10" s="23" customFormat="1" ht="13.5" customHeight="1">
      <c r="A8" s="72" t="s">
        <v>50</v>
      </c>
      <c r="B8" s="85">
        <v>112306.72</v>
      </c>
      <c r="C8" s="43">
        <v>77517.240000000005</v>
      </c>
      <c r="D8" s="85">
        <v>4689.01</v>
      </c>
      <c r="E8" s="43">
        <v>19138.939999999999</v>
      </c>
      <c r="F8" s="85">
        <v>7903.1</v>
      </c>
      <c r="G8" s="43">
        <v>1010.58</v>
      </c>
      <c r="H8" s="43">
        <v>68.08</v>
      </c>
      <c r="I8" s="97">
        <v>1979.7699999999895</v>
      </c>
      <c r="J8" s="19"/>
    </row>
    <row r="9" spans="1:10" s="27" customFormat="1" ht="13.5" customHeight="1">
      <c r="A9" s="72" t="s">
        <v>81</v>
      </c>
      <c r="B9" s="85">
        <v>115446.74</v>
      </c>
      <c r="C9" s="43">
        <v>77079.240000000005</v>
      </c>
      <c r="D9" s="85">
        <v>5181.3100000000004</v>
      </c>
      <c r="E9" s="43">
        <v>21971.54</v>
      </c>
      <c r="F9" s="85">
        <v>7921.49</v>
      </c>
      <c r="G9" s="43">
        <v>1491.07</v>
      </c>
      <c r="H9" s="43">
        <v>55.24</v>
      </c>
      <c r="I9" s="97">
        <v>1746.8499999999913</v>
      </c>
      <c r="J9" s="31"/>
    </row>
    <row r="10" spans="1:10" s="27" customFormat="1" ht="13.5" customHeight="1">
      <c r="A10" s="72" t="s">
        <v>87</v>
      </c>
      <c r="B10" s="85">
        <v>124297.54</v>
      </c>
      <c r="C10" s="43">
        <v>82912.37</v>
      </c>
      <c r="D10" s="85">
        <v>4913.43</v>
      </c>
      <c r="E10" s="43">
        <v>24572.01</v>
      </c>
      <c r="F10" s="85">
        <v>8159.62</v>
      </c>
      <c r="G10" s="43">
        <v>1945.04</v>
      </c>
      <c r="H10" s="43">
        <v>47.8</v>
      </c>
      <c r="I10" s="97">
        <v>1747.27</v>
      </c>
      <c r="J10" s="31"/>
    </row>
    <row r="11" spans="1:10" s="27" customFormat="1" ht="13.5" customHeight="1">
      <c r="A11" s="72" t="s">
        <v>129</v>
      </c>
      <c r="B11" s="85">
        <v>127550.53</v>
      </c>
      <c r="C11" s="43">
        <v>79698.52</v>
      </c>
      <c r="D11" s="85">
        <v>5409</v>
      </c>
      <c r="E11" s="43">
        <v>29483.75</v>
      </c>
      <c r="F11" s="85">
        <v>8943.86</v>
      </c>
      <c r="G11" s="43">
        <v>1932.31</v>
      </c>
      <c r="H11" s="43">
        <v>46.57</v>
      </c>
      <c r="I11" s="97">
        <v>2036.52</v>
      </c>
      <c r="J11" s="31"/>
    </row>
    <row r="12" spans="1:10" s="27" customFormat="1" ht="13.5" customHeight="1">
      <c r="A12" s="72"/>
      <c r="B12" s="85"/>
      <c r="C12" s="43"/>
      <c r="D12" s="85"/>
      <c r="E12" s="43"/>
      <c r="F12" s="85"/>
      <c r="G12" s="43"/>
      <c r="H12" s="43"/>
      <c r="I12" s="97"/>
      <c r="J12" s="31"/>
    </row>
    <row r="13" spans="1:10" s="27" customFormat="1" ht="13.5" customHeight="1">
      <c r="A13" s="92" t="s">
        <v>134</v>
      </c>
      <c r="B13" s="85">
        <v>190994.79</v>
      </c>
      <c r="C13" s="43">
        <v>137944.23000000001</v>
      </c>
      <c r="D13" s="85">
        <v>5209.53</v>
      </c>
      <c r="E13" s="43">
        <v>34302.239999999998</v>
      </c>
      <c r="F13" s="85">
        <v>9288.11</v>
      </c>
      <c r="G13" s="43">
        <v>1880.36</v>
      </c>
      <c r="H13" s="43">
        <v>41.09</v>
      </c>
      <c r="I13" s="97">
        <v>2329.23</v>
      </c>
      <c r="J13" s="31"/>
    </row>
    <row r="14" spans="1:10" s="27" customFormat="1" ht="13.5" customHeight="1">
      <c r="A14" s="92" t="s">
        <v>142</v>
      </c>
      <c r="B14" s="85">
        <v>196428.09</v>
      </c>
      <c r="C14" s="43">
        <v>139734.82999999999</v>
      </c>
      <c r="D14" s="85">
        <v>5235.24</v>
      </c>
      <c r="E14" s="43">
        <v>37587.33</v>
      </c>
      <c r="F14" s="85">
        <v>9436.0499999999993</v>
      </c>
      <c r="G14" s="43">
        <v>1726.57</v>
      </c>
      <c r="H14" s="43">
        <v>35.07</v>
      </c>
      <c r="I14" s="97">
        <v>2673.0000000000291</v>
      </c>
      <c r="J14" s="31"/>
    </row>
    <row r="15" spans="1:10" s="27" customFormat="1" ht="13.5" customHeight="1">
      <c r="A15" s="92" t="s">
        <v>148</v>
      </c>
      <c r="B15" s="85">
        <v>194009.65</v>
      </c>
      <c r="C15" s="85">
        <v>137005.95000000001</v>
      </c>
      <c r="D15" s="85">
        <v>5163.72</v>
      </c>
      <c r="E15" s="85">
        <v>38071.46</v>
      </c>
      <c r="F15" s="85">
        <v>8724.18</v>
      </c>
      <c r="G15" s="85">
        <v>2095.2800000000002</v>
      </c>
      <c r="H15" s="85">
        <v>33.43</v>
      </c>
      <c r="I15" s="97">
        <v>2915.63</v>
      </c>
      <c r="J15" s="31"/>
    </row>
    <row r="16" spans="1:10" s="27" customFormat="1" ht="13.5" customHeight="1">
      <c r="A16" s="92" t="s">
        <v>149</v>
      </c>
      <c r="B16" s="85">
        <v>206201.81</v>
      </c>
      <c r="C16" s="85">
        <v>140663.63</v>
      </c>
      <c r="D16" s="85">
        <v>5501.22</v>
      </c>
      <c r="E16" s="85">
        <v>42574.39</v>
      </c>
      <c r="F16" s="85">
        <v>11362.76</v>
      </c>
      <c r="G16" s="85">
        <v>2920.71</v>
      </c>
      <c r="H16" s="85">
        <v>31.09</v>
      </c>
      <c r="I16" s="97">
        <v>3148.01</v>
      </c>
      <c r="J16" s="31"/>
    </row>
    <row r="17" spans="1:18" s="27" customFormat="1" ht="13.5" customHeight="1">
      <c r="A17" s="92" t="s">
        <v>154</v>
      </c>
      <c r="B17" s="89">
        <v>187471.57</v>
      </c>
      <c r="C17" s="85">
        <v>109850.94</v>
      </c>
      <c r="D17" s="85">
        <v>6237.92</v>
      </c>
      <c r="E17" s="85">
        <v>52269.31</v>
      </c>
      <c r="F17" s="85">
        <v>13505.68</v>
      </c>
      <c r="G17" s="85">
        <v>3195.67</v>
      </c>
      <c r="H17" s="85">
        <v>27.62</v>
      </c>
      <c r="I17" s="97">
        <v>2384.4299999999998</v>
      </c>
      <c r="J17" s="31"/>
    </row>
    <row r="18" spans="1:18" s="12" customFormat="1" ht="13.5" customHeight="1">
      <c r="A18" s="60"/>
      <c r="B18" s="85"/>
      <c r="C18" s="43"/>
      <c r="D18" s="85"/>
      <c r="E18" s="43"/>
      <c r="F18" s="85"/>
      <c r="G18" s="43"/>
      <c r="H18" s="43"/>
      <c r="I18" s="97"/>
      <c r="J18" s="13"/>
    </row>
    <row r="19" spans="1:18" s="12" customFormat="1" ht="13.5" customHeight="1">
      <c r="A19" s="218" t="s">
        <v>157</v>
      </c>
      <c r="B19" s="85">
        <v>214747.4</v>
      </c>
      <c r="C19" s="43">
        <v>123517.41</v>
      </c>
      <c r="D19" s="85">
        <v>5610.81</v>
      </c>
      <c r="E19" s="43">
        <v>56923.02</v>
      </c>
      <c r="F19" s="85">
        <v>23838.04</v>
      </c>
      <c r="G19" s="43">
        <v>2671.65</v>
      </c>
      <c r="H19" s="43">
        <v>26.48</v>
      </c>
      <c r="I19" s="97">
        <v>2159.9899999999998</v>
      </c>
      <c r="J19" s="13"/>
    </row>
    <row r="20" spans="1:18" s="12" customFormat="1" ht="13.5" customHeight="1">
      <c r="A20" s="218" t="s">
        <v>210</v>
      </c>
      <c r="B20" s="85">
        <v>242329.27</v>
      </c>
      <c r="C20" s="43">
        <v>164649.64000000001</v>
      </c>
      <c r="D20" s="85">
        <v>6820.22</v>
      </c>
      <c r="E20" s="43">
        <v>46748.94</v>
      </c>
      <c r="F20" s="85">
        <v>20718.52</v>
      </c>
      <c r="G20" s="43">
        <v>2042</v>
      </c>
      <c r="H20" s="43">
        <v>23.94</v>
      </c>
      <c r="I20" s="97">
        <v>1326.01</v>
      </c>
      <c r="J20" s="13"/>
    </row>
    <row r="21" spans="1:18" s="12" customFormat="1" ht="13.5" customHeight="1">
      <c r="A21" s="218" t="s">
        <v>238</v>
      </c>
      <c r="B21" s="85">
        <v>253268.05</v>
      </c>
      <c r="C21" s="43">
        <v>175132.82</v>
      </c>
      <c r="D21" s="85">
        <v>8671.66</v>
      </c>
      <c r="E21" s="43">
        <v>47681.98</v>
      </c>
      <c r="F21" s="85">
        <v>19282.5</v>
      </c>
      <c r="G21" s="43">
        <v>2099.7800000000002</v>
      </c>
      <c r="H21" s="43">
        <v>20.32</v>
      </c>
      <c r="I21" s="97">
        <v>378.99</v>
      </c>
      <c r="J21" s="13"/>
    </row>
    <row r="22" spans="1:18" s="12" customFormat="1" ht="13.5" customHeight="1">
      <c r="A22" s="218" t="s">
        <v>249</v>
      </c>
      <c r="B22" s="85">
        <f>B119</f>
        <v>262919.65999999997</v>
      </c>
      <c r="C22" s="43">
        <f t="shared" ref="C22:I22" si="0">C119</f>
        <v>183254.96</v>
      </c>
      <c r="D22" s="85">
        <f t="shared" si="0"/>
        <v>7424.94</v>
      </c>
      <c r="E22" s="43">
        <f t="shared" si="0"/>
        <v>50027.74</v>
      </c>
      <c r="F22" s="85">
        <f t="shared" si="0"/>
        <v>19816.34</v>
      </c>
      <c r="G22" s="43">
        <f t="shared" si="0"/>
        <v>2116.2600000000002</v>
      </c>
      <c r="H22" s="43">
        <f t="shared" si="0"/>
        <v>17.5</v>
      </c>
      <c r="I22" s="97">
        <f t="shared" si="0"/>
        <v>261.92</v>
      </c>
      <c r="J22" s="13"/>
      <c r="K22" s="97"/>
      <c r="L22" s="97"/>
      <c r="M22" s="97"/>
      <c r="N22" s="97"/>
      <c r="O22" s="97"/>
      <c r="P22" s="97"/>
      <c r="Q22" s="97"/>
      <c r="R22" s="97"/>
    </row>
    <row r="23" spans="1:18" s="12" customFormat="1" ht="13.5" customHeight="1">
      <c r="A23" s="218" t="s">
        <v>264</v>
      </c>
      <c r="B23" s="85">
        <v>254545.44</v>
      </c>
      <c r="C23" s="43">
        <v>171856.98</v>
      </c>
      <c r="D23" s="85">
        <v>9205.44</v>
      </c>
      <c r="E23" s="43">
        <v>51972.52</v>
      </c>
      <c r="F23" s="85">
        <v>19633.490000000002</v>
      </c>
      <c r="G23" s="43">
        <v>1760.05</v>
      </c>
      <c r="H23" s="43">
        <v>14.74</v>
      </c>
      <c r="I23" s="97">
        <v>102.22</v>
      </c>
      <c r="J23" s="13"/>
      <c r="K23" s="97"/>
      <c r="L23" s="97"/>
      <c r="M23" s="97"/>
      <c r="N23" s="97"/>
      <c r="O23" s="97"/>
      <c r="P23" s="97"/>
      <c r="Q23" s="97"/>
      <c r="R23" s="97"/>
    </row>
    <row r="24" spans="1:18" s="12" customFormat="1" ht="13.5" customHeight="1">
      <c r="A24" s="60"/>
      <c r="B24" s="85"/>
      <c r="C24" s="43"/>
      <c r="D24" s="85"/>
      <c r="E24" s="43"/>
      <c r="F24" s="85"/>
      <c r="G24" s="43"/>
      <c r="H24" s="43"/>
      <c r="I24" s="97"/>
      <c r="J24" s="13"/>
    </row>
    <row r="25" spans="1:18" s="12" customFormat="1" ht="13.5" customHeight="1">
      <c r="A25" s="60">
        <v>2019.1</v>
      </c>
      <c r="B25" s="85">
        <v>204342.53</v>
      </c>
      <c r="C25" s="43">
        <v>140733.79999999999</v>
      </c>
      <c r="D25" s="85">
        <v>5059.62</v>
      </c>
      <c r="E25" s="43">
        <v>38470.03</v>
      </c>
      <c r="F25" s="85">
        <v>15024.15</v>
      </c>
      <c r="G25" s="43">
        <v>2090.1999999999998</v>
      </c>
      <c r="H25" s="43">
        <v>33.33</v>
      </c>
      <c r="I25" s="97">
        <v>2931.4</v>
      </c>
      <c r="J25" s="13"/>
    </row>
    <row r="26" spans="1:18" s="12" customFormat="1" ht="13.5" customHeight="1">
      <c r="A26" s="60">
        <v>2</v>
      </c>
      <c r="B26" s="85">
        <v>216230.46</v>
      </c>
      <c r="C26" s="43">
        <v>153760.87</v>
      </c>
      <c r="D26" s="85">
        <v>5042.88</v>
      </c>
      <c r="E26" s="43">
        <v>38567.78</v>
      </c>
      <c r="F26" s="85">
        <v>13714.95</v>
      </c>
      <c r="G26" s="43">
        <v>2166.61</v>
      </c>
      <c r="H26" s="43">
        <v>33.26</v>
      </c>
      <c r="I26" s="97">
        <v>2944.11</v>
      </c>
      <c r="J26" s="13"/>
    </row>
    <row r="27" spans="1:18" s="12" customFormat="1" ht="13.5" customHeight="1">
      <c r="A27" s="60">
        <v>3</v>
      </c>
      <c r="B27" s="85">
        <v>218996.27</v>
      </c>
      <c r="C27" s="43">
        <v>157985.73000000001</v>
      </c>
      <c r="D27" s="85">
        <v>4999.54</v>
      </c>
      <c r="E27" s="43">
        <v>38721.93</v>
      </c>
      <c r="F27" s="85">
        <v>12057.83</v>
      </c>
      <c r="G27" s="43">
        <v>2243.62</v>
      </c>
      <c r="H27" s="43">
        <v>33.229999999999997</v>
      </c>
      <c r="I27" s="97">
        <v>2954.39</v>
      </c>
      <c r="J27" s="13"/>
    </row>
    <row r="28" spans="1:18" s="12" customFormat="1" ht="13.5" customHeight="1">
      <c r="A28" s="60"/>
      <c r="B28" s="85"/>
      <c r="C28" s="43"/>
      <c r="D28" s="85"/>
      <c r="E28" s="43"/>
      <c r="F28" s="85"/>
      <c r="G28" s="43"/>
      <c r="H28" s="43"/>
      <c r="I28" s="97"/>
      <c r="J28" s="13"/>
    </row>
    <row r="29" spans="1:18" s="12" customFormat="1" ht="13.5" customHeight="1">
      <c r="A29" s="60">
        <v>4</v>
      </c>
      <c r="B29" s="85">
        <v>229728.01</v>
      </c>
      <c r="C29" s="43">
        <v>168555.86</v>
      </c>
      <c r="D29" s="85">
        <v>5014.71</v>
      </c>
      <c r="E29" s="43">
        <v>38748</v>
      </c>
      <c r="F29" s="85">
        <v>12038.65</v>
      </c>
      <c r="G29" s="43">
        <v>2349.09</v>
      </c>
      <c r="H29" s="43">
        <v>33.380000000000003</v>
      </c>
      <c r="I29" s="97">
        <v>2988.32</v>
      </c>
      <c r="J29" s="13"/>
    </row>
    <row r="30" spans="1:18" s="12" customFormat="1" ht="13.5" customHeight="1">
      <c r="A30" s="60">
        <v>5</v>
      </c>
      <c r="B30" s="85">
        <v>241606.01</v>
      </c>
      <c r="C30" s="43">
        <v>177030.74</v>
      </c>
      <c r="D30" s="85">
        <v>5050.17</v>
      </c>
      <c r="E30" s="43">
        <v>38526.14</v>
      </c>
      <c r="F30" s="85">
        <v>15513.18</v>
      </c>
      <c r="G30" s="43">
        <v>2444.5500000000002</v>
      </c>
      <c r="H30" s="43">
        <v>33.270000000000003</v>
      </c>
      <c r="I30" s="97">
        <v>3007.96</v>
      </c>
      <c r="J30" s="13"/>
    </row>
    <row r="31" spans="1:18" s="12" customFormat="1" ht="13.5" customHeight="1">
      <c r="A31" s="60">
        <v>6</v>
      </c>
      <c r="B31" s="85">
        <v>243700.59</v>
      </c>
      <c r="C31" s="43">
        <v>174987.75</v>
      </c>
      <c r="D31" s="85">
        <v>5095.74</v>
      </c>
      <c r="E31" s="43">
        <v>39173.019999999997</v>
      </c>
      <c r="F31" s="85">
        <v>18845.46</v>
      </c>
      <c r="G31" s="43">
        <v>2541.0500000000002</v>
      </c>
      <c r="H31" s="43">
        <v>33.479999999999997</v>
      </c>
      <c r="I31" s="97">
        <v>3024.09</v>
      </c>
      <c r="J31" s="13"/>
    </row>
    <row r="32" spans="1:18" s="12" customFormat="1" ht="13.5" customHeight="1">
      <c r="A32" s="60"/>
      <c r="B32" s="85"/>
      <c r="C32" s="43"/>
      <c r="D32" s="85"/>
      <c r="E32" s="43"/>
      <c r="F32" s="85"/>
      <c r="G32" s="43"/>
      <c r="H32" s="43"/>
      <c r="I32" s="97"/>
      <c r="J32" s="13"/>
    </row>
    <row r="33" spans="1:10" s="12" customFormat="1" ht="13.5" customHeight="1">
      <c r="A33" s="60">
        <v>7</v>
      </c>
      <c r="B33" s="85">
        <v>243227.06</v>
      </c>
      <c r="C33" s="43">
        <v>180248.95</v>
      </c>
      <c r="D33" s="85">
        <v>5143.29</v>
      </c>
      <c r="E33" s="43">
        <v>39330.78</v>
      </c>
      <c r="F33" s="85">
        <v>12786.72</v>
      </c>
      <c r="G33" s="43">
        <v>2622.13</v>
      </c>
      <c r="H33" s="43">
        <v>33.21</v>
      </c>
      <c r="I33" s="97">
        <v>3061.98</v>
      </c>
      <c r="J33" s="13"/>
    </row>
    <row r="34" spans="1:10" s="12" customFormat="1" ht="13.5" customHeight="1">
      <c r="A34" s="60">
        <v>8</v>
      </c>
      <c r="B34" s="85">
        <v>239150.63</v>
      </c>
      <c r="C34" s="43">
        <v>176457.79</v>
      </c>
      <c r="D34" s="85">
        <v>5178.26</v>
      </c>
      <c r="E34" s="43">
        <v>39778.46</v>
      </c>
      <c r="F34" s="85">
        <v>11936.15</v>
      </c>
      <c r="G34" s="43">
        <v>2688.52</v>
      </c>
      <c r="H34" s="43">
        <v>32.299999999999997</v>
      </c>
      <c r="I34" s="97">
        <v>3079.15</v>
      </c>
      <c r="J34" s="13"/>
    </row>
    <row r="35" spans="1:10" s="12" customFormat="1" ht="13.5" customHeight="1">
      <c r="A35" s="60">
        <v>9</v>
      </c>
      <c r="B35" s="85">
        <v>236071.1</v>
      </c>
      <c r="C35" s="43">
        <v>173620.87</v>
      </c>
      <c r="D35" s="85">
        <v>5335.91</v>
      </c>
      <c r="E35" s="43">
        <v>40498.75</v>
      </c>
      <c r="F35" s="85">
        <v>10702.28</v>
      </c>
      <c r="G35" s="43">
        <v>2777.14</v>
      </c>
      <c r="H35" s="43">
        <v>32.39</v>
      </c>
      <c r="I35" s="97">
        <v>3103.76</v>
      </c>
      <c r="J35" s="13"/>
    </row>
    <row r="36" spans="1:10" s="12" customFormat="1" ht="13.5" customHeight="1">
      <c r="A36" s="60"/>
      <c r="B36" s="85"/>
      <c r="C36" s="43"/>
      <c r="D36" s="85"/>
      <c r="E36" s="43"/>
      <c r="F36" s="85"/>
      <c r="G36" s="43"/>
      <c r="H36" s="43"/>
      <c r="I36" s="97"/>
      <c r="J36" s="13"/>
    </row>
    <row r="37" spans="1:10" s="12" customFormat="1" ht="13.5" customHeight="1">
      <c r="A37" s="60">
        <v>10</v>
      </c>
      <c r="B37" s="85">
        <v>233845.09</v>
      </c>
      <c r="C37" s="43">
        <v>169865.5</v>
      </c>
      <c r="D37" s="85">
        <v>5366.06</v>
      </c>
      <c r="E37" s="43">
        <v>40400.39</v>
      </c>
      <c r="F37" s="85">
        <v>12195.91</v>
      </c>
      <c r="G37" s="43">
        <v>2845.2</v>
      </c>
      <c r="H37" s="43">
        <v>31.65</v>
      </c>
      <c r="I37" s="97">
        <v>3140.38</v>
      </c>
      <c r="J37" s="13"/>
    </row>
    <row r="38" spans="1:10" s="12" customFormat="1" ht="13.5" customHeight="1">
      <c r="A38" s="60">
        <v>11</v>
      </c>
      <c r="B38" s="85">
        <v>222836.9</v>
      </c>
      <c r="C38" s="43">
        <v>158612.82999999999</v>
      </c>
      <c r="D38" s="85">
        <v>5461.63</v>
      </c>
      <c r="E38" s="43">
        <v>40970.65</v>
      </c>
      <c r="F38" s="85">
        <v>11693.69</v>
      </c>
      <c r="G38" s="43">
        <v>2918.45</v>
      </c>
      <c r="H38" s="43">
        <v>31.23</v>
      </c>
      <c r="I38" s="97">
        <v>3148.42</v>
      </c>
      <c r="J38" s="13"/>
    </row>
    <row r="39" spans="1:10" s="12" customFormat="1" ht="13.5" customHeight="1">
      <c r="A39" s="60">
        <v>12</v>
      </c>
      <c r="B39" s="85">
        <v>206201.81</v>
      </c>
      <c r="C39" s="43">
        <v>140663.63</v>
      </c>
      <c r="D39" s="85">
        <v>5501.22</v>
      </c>
      <c r="E39" s="43">
        <v>42574.39</v>
      </c>
      <c r="F39" s="85">
        <v>11362.76</v>
      </c>
      <c r="G39" s="43">
        <v>2920.71</v>
      </c>
      <c r="H39" s="43">
        <v>31.09</v>
      </c>
      <c r="I39" s="97">
        <v>3148.01</v>
      </c>
      <c r="J39" s="13"/>
    </row>
    <row r="40" spans="1:10" s="12" customFormat="1" ht="13.5" customHeight="1">
      <c r="A40" s="60"/>
      <c r="B40" s="85"/>
      <c r="C40" s="43"/>
      <c r="D40" s="85"/>
      <c r="E40" s="43"/>
      <c r="F40" s="85"/>
      <c r="G40" s="43"/>
      <c r="H40" s="43"/>
      <c r="I40" s="97"/>
      <c r="J40" s="13"/>
    </row>
    <row r="41" spans="1:10" s="12" customFormat="1" ht="13.5" customHeight="1">
      <c r="A41" s="60">
        <v>2020.1</v>
      </c>
      <c r="B41" s="85">
        <v>201594.67</v>
      </c>
      <c r="C41" s="43">
        <v>133750.97</v>
      </c>
      <c r="D41" s="85">
        <v>5465.62</v>
      </c>
      <c r="E41" s="43">
        <v>43493.25</v>
      </c>
      <c r="F41" s="85">
        <v>12786.69</v>
      </c>
      <c r="G41" s="43">
        <v>2882.11</v>
      </c>
      <c r="H41" s="43">
        <v>30.48</v>
      </c>
      <c r="I41" s="97">
        <v>3185.55</v>
      </c>
      <c r="J41" s="13"/>
    </row>
    <row r="42" spans="1:10" s="12" customFormat="1" ht="13.5" customHeight="1">
      <c r="A42" s="60">
        <v>2</v>
      </c>
      <c r="B42" s="85">
        <v>205650.42</v>
      </c>
      <c r="C42" s="43">
        <v>138118.07</v>
      </c>
      <c r="D42" s="85">
        <v>5457.35</v>
      </c>
      <c r="E42" s="43">
        <v>43871.25</v>
      </c>
      <c r="F42" s="85">
        <v>12090.66</v>
      </c>
      <c r="G42" s="43">
        <v>2878.61</v>
      </c>
      <c r="H42" s="43">
        <v>29.83</v>
      </c>
      <c r="I42" s="97">
        <v>3204.65</v>
      </c>
      <c r="J42" s="13"/>
    </row>
    <row r="43" spans="1:10" s="12" customFormat="1" ht="13.5" customHeight="1">
      <c r="A43" s="60">
        <v>3</v>
      </c>
      <c r="B43" s="85">
        <v>213049.2</v>
      </c>
      <c r="C43" s="43">
        <v>141099.92000000001</v>
      </c>
      <c r="D43" s="85">
        <v>5491.55</v>
      </c>
      <c r="E43" s="43">
        <v>45035.99</v>
      </c>
      <c r="F43" s="85">
        <v>15722.65</v>
      </c>
      <c r="G43" s="43">
        <v>2933.84</v>
      </c>
      <c r="H43" s="43">
        <v>28.84</v>
      </c>
      <c r="I43" s="97">
        <v>2736.41</v>
      </c>
      <c r="J43" s="13"/>
    </row>
    <row r="44" spans="1:10" s="12" customFormat="1" ht="13.5" customHeight="1">
      <c r="A44" s="60"/>
      <c r="B44" s="85"/>
      <c r="C44" s="43"/>
      <c r="D44" s="85"/>
      <c r="E44" s="43"/>
      <c r="F44" s="85"/>
      <c r="G44" s="43"/>
      <c r="H44" s="43"/>
      <c r="I44" s="97"/>
      <c r="J44" s="13"/>
    </row>
    <row r="45" spans="1:10" s="12" customFormat="1" ht="13.5" customHeight="1">
      <c r="A45" s="60">
        <v>4</v>
      </c>
      <c r="B45" s="85">
        <v>207705.2</v>
      </c>
      <c r="C45" s="43">
        <v>134307.82</v>
      </c>
      <c r="D45" s="85">
        <v>5549.57</v>
      </c>
      <c r="E45" s="43">
        <v>45464.66</v>
      </c>
      <c r="F45" s="85">
        <v>16798.61</v>
      </c>
      <c r="G45" s="43">
        <v>2964.17</v>
      </c>
      <c r="H45" s="43">
        <v>28.69</v>
      </c>
      <c r="I45" s="97">
        <v>2591.6799999999998</v>
      </c>
      <c r="J45" s="13"/>
    </row>
    <row r="46" spans="1:10" s="12" customFormat="1" ht="13.5" customHeight="1">
      <c r="A46" s="60">
        <v>5</v>
      </c>
      <c r="B46" s="85">
        <v>203331.54</v>
      </c>
      <c r="C46" s="43">
        <v>129123.29</v>
      </c>
      <c r="D46" s="85">
        <v>5653.13</v>
      </c>
      <c r="E46" s="43">
        <v>46404.79</v>
      </c>
      <c r="F46" s="85">
        <v>16592.93</v>
      </c>
      <c r="G46" s="43">
        <v>3017.4</v>
      </c>
      <c r="H46" s="43">
        <v>28.6</v>
      </c>
      <c r="I46" s="97">
        <v>2511.4</v>
      </c>
      <c r="J46" s="13"/>
    </row>
    <row r="47" spans="1:10" s="12" customFormat="1" ht="13.5" customHeight="1">
      <c r="A47" s="60">
        <v>6</v>
      </c>
      <c r="B47" s="85">
        <v>205530.66</v>
      </c>
      <c r="C47" s="43">
        <v>129592.31</v>
      </c>
      <c r="D47" s="85">
        <v>5774.42</v>
      </c>
      <c r="E47" s="43">
        <v>47087.64</v>
      </c>
      <c r="F47" s="85">
        <v>17525.77</v>
      </c>
      <c r="G47" s="43">
        <v>3058.31</v>
      </c>
      <c r="H47" s="43">
        <v>28.37</v>
      </c>
      <c r="I47" s="97">
        <v>2463.84</v>
      </c>
      <c r="J47" s="13"/>
    </row>
    <row r="48" spans="1:10" s="12" customFormat="1" ht="13.5" customHeight="1">
      <c r="A48" s="60"/>
      <c r="B48" s="85"/>
      <c r="C48" s="43"/>
      <c r="D48" s="85"/>
      <c r="E48" s="43"/>
      <c r="F48" s="85"/>
      <c r="G48" s="43"/>
      <c r="H48" s="43"/>
      <c r="I48" s="97"/>
      <c r="J48" s="13"/>
    </row>
    <row r="49" spans="1:10" s="12" customFormat="1" ht="13.5" customHeight="1">
      <c r="A49" s="60">
        <v>7</v>
      </c>
      <c r="B49" s="85">
        <v>207252.67</v>
      </c>
      <c r="C49" s="43">
        <v>131860.29</v>
      </c>
      <c r="D49" s="85">
        <v>5876.21</v>
      </c>
      <c r="E49" s="43">
        <v>48026.54</v>
      </c>
      <c r="F49" s="85">
        <v>15890.96</v>
      </c>
      <c r="G49" s="43">
        <v>3113.63</v>
      </c>
      <c r="H49" s="43">
        <v>28.46</v>
      </c>
      <c r="I49" s="97">
        <v>2456.58</v>
      </c>
      <c r="J49" s="13"/>
    </row>
    <row r="50" spans="1:10" s="12" customFormat="1" ht="13.5" customHeight="1">
      <c r="A50" s="60">
        <v>8</v>
      </c>
      <c r="B50" s="85">
        <v>203014</v>
      </c>
      <c r="C50" s="43">
        <v>126790.07</v>
      </c>
      <c r="D50" s="85">
        <v>5995.58</v>
      </c>
      <c r="E50" s="43">
        <v>48279.4</v>
      </c>
      <c r="F50" s="85">
        <v>16333.57</v>
      </c>
      <c r="G50" s="43">
        <v>3155.97</v>
      </c>
      <c r="H50" s="43">
        <v>28.34</v>
      </c>
      <c r="I50" s="97">
        <v>2431.0700000000002</v>
      </c>
      <c r="J50" s="13"/>
    </row>
    <row r="51" spans="1:10" s="12" customFormat="1" ht="13.5" customHeight="1">
      <c r="A51" s="60">
        <v>9</v>
      </c>
      <c r="B51" s="85">
        <v>199462.54</v>
      </c>
      <c r="C51" s="43">
        <v>121253</v>
      </c>
      <c r="D51" s="85">
        <v>6121.04</v>
      </c>
      <c r="E51" s="43">
        <v>50399.89</v>
      </c>
      <c r="F51" s="85">
        <v>16050.89</v>
      </c>
      <c r="G51" s="43">
        <v>3195.91</v>
      </c>
      <c r="H51" s="43">
        <v>28.25</v>
      </c>
      <c r="I51" s="97">
        <v>2413.56</v>
      </c>
      <c r="J51" s="13"/>
    </row>
    <row r="52" spans="1:10" s="12" customFormat="1" ht="13.5" customHeight="1">
      <c r="A52" s="60"/>
      <c r="B52" s="85"/>
      <c r="C52" s="43"/>
      <c r="D52" s="85"/>
      <c r="E52" s="43"/>
      <c r="F52" s="85"/>
      <c r="G52" s="43"/>
      <c r="H52" s="43"/>
      <c r="I52" s="97"/>
      <c r="J52" s="13"/>
    </row>
    <row r="53" spans="1:10" s="12" customFormat="1" ht="13.5" customHeight="1">
      <c r="A53" s="60">
        <v>10</v>
      </c>
      <c r="B53" s="85">
        <v>196543.58</v>
      </c>
      <c r="C53" s="43">
        <v>118617.14</v>
      </c>
      <c r="D53" s="85">
        <v>6160.91</v>
      </c>
      <c r="E53" s="43">
        <v>50161.54</v>
      </c>
      <c r="F53" s="85">
        <v>15918.29</v>
      </c>
      <c r="G53" s="43">
        <v>3233.38</v>
      </c>
      <c r="H53" s="43">
        <v>27.87</v>
      </c>
      <c r="I53" s="97">
        <v>2424.4499999999998</v>
      </c>
      <c r="J53" s="13"/>
    </row>
    <row r="54" spans="1:10" s="12" customFormat="1" ht="13.5" customHeight="1">
      <c r="A54" s="60">
        <v>11</v>
      </c>
      <c r="B54" s="85">
        <v>197164.36</v>
      </c>
      <c r="C54" s="43">
        <v>118971.77</v>
      </c>
      <c r="D54" s="85">
        <v>6231.1</v>
      </c>
      <c r="E54" s="43">
        <v>50151.74</v>
      </c>
      <c r="F54" s="85">
        <v>16137.09</v>
      </c>
      <c r="G54" s="43">
        <v>3241.74</v>
      </c>
      <c r="H54" s="43">
        <v>28</v>
      </c>
      <c r="I54" s="97">
        <v>2402.92</v>
      </c>
      <c r="J54" s="13"/>
    </row>
    <row r="55" spans="1:10" s="12" customFormat="1" ht="13.5" customHeight="1">
      <c r="A55" s="60">
        <v>12</v>
      </c>
      <c r="B55" s="85">
        <v>187471.57</v>
      </c>
      <c r="C55" s="43">
        <v>109850.94</v>
      </c>
      <c r="D55" s="85">
        <v>6237.92</v>
      </c>
      <c r="E55" s="43">
        <v>52269.31</v>
      </c>
      <c r="F55" s="85">
        <v>13505.68</v>
      </c>
      <c r="G55" s="43">
        <v>3195.67</v>
      </c>
      <c r="H55" s="43">
        <v>27.62</v>
      </c>
      <c r="I55" s="97">
        <v>2384.4299999999998</v>
      </c>
      <c r="J55" s="13"/>
    </row>
    <row r="56" spans="1:10" s="12" customFormat="1" ht="13.5" customHeight="1">
      <c r="A56" s="60"/>
      <c r="B56" s="85"/>
      <c r="C56" s="43"/>
      <c r="D56" s="85"/>
      <c r="E56" s="43"/>
      <c r="F56" s="85"/>
      <c r="G56" s="43"/>
      <c r="H56" s="43"/>
      <c r="I56" s="97"/>
      <c r="J56" s="13"/>
    </row>
    <row r="57" spans="1:10" s="12" customFormat="1" ht="13.5" customHeight="1">
      <c r="A57" s="60">
        <v>2021.1</v>
      </c>
      <c r="B57" s="85">
        <v>190673.25</v>
      </c>
      <c r="C57" s="43">
        <v>109358.72</v>
      </c>
      <c r="D57" s="85">
        <v>6138.31</v>
      </c>
      <c r="E57" s="43">
        <v>52637.16</v>
      </c>
      <c r="F57" s="85">
        <v>17020.509999999998</v>
      </c>
      <c r="G57" s="43">
        <v>3115.15</v>
      </c>
      <c r="H57" s="43">
        <v>27.63</v>
      </c>
      <c r="I57" s="97">
        <v>2375.77</v>
      </c>
      <c r="J57" s="13"/>
    </row>
    <row r="58" spans="1:10" s="12" customFormat="1" ht="13.5" customHeight="1">
      <c r="A58" s="60">
        <v>2</v>
      </c>
      <c r="B58" s="85">
        <v>193728.48</v>
      </c>
      <c r="C58" s="43">
        <v>110246.05</v>
      </c>
      <c r="D58" s="85">
        <v>5804.26</v>
      </c>
      <c r="E58" s="43">
        <v>53942.31</v>
      </c>
      <c r="F58" s="85">
        <v>18292.02</v>
      </c>
      <c r="G58" s="43">
        <v>3046.01</v>
      </c>
      <c r="H58" s="43">
        <v>27.8</v>
      </c>
      <c r="I58" s="97">
        <v>2370.0300000000002</v>
      </c>
      <c r="J58" s="13"/>
    </row>
    <row r="59" spans="1:10" s="12" customFormat="1" ht="13.5" customHeight="1">
      <c r="A59" s="60">
        <v>3</v>
      </c>
      <c r="B59" s="85">
        <v>199935.23</v>
      </c>
      <c r="C59" s="43">
        <v>112426.17</v>
      </c>
      <c r="D59" s="85">
        <v>5622.89</v>
      </c>
      <c r="E59" s="43">
        <v>54726.23</v>
      </c>
      <c r="F59" s="85">
        <v>21825.1</v>
      </c>
      <c r="G59" s="43">
        <v>2999.22</v>
      </c>
      <c r="H59" s="43">
        <v>27.55</v>
      </c>
      <c r="I59" s="97">
        <v>2308.0700000000002</v>
      </c>
      <c r="J59" s="13"/>
    </row>
    <row r="60" spans="1:10" s="12" customFormat="1" ht="13.5" customHeight="1">
      <c r="A60" s="60"/>
      <c r="B60" s="85"/>
      <c r="C60" s="43"/>
      <c r="D60" s="85"/>
      <c r="E60" s="43"/>
      <c r="F60" s="85"/>
      <c r="G60" s="43"/>
      <c r="H60" s="43"/>
      <c r="I60" s="97"/>
      <c r="J60" s="13"/>
    </row>
    <row r="61" spans="1:10" s="12" customFormat="1" ht="13.5" customHeight="1">
      <c r="A61" s="60">
        <v>4</v>
      </c>
      <c r="B61" s="85">
        <v>199583.87</v>
      </c>
      <c r="C61" s="43">
        <v>114002.11</v>
      </c>
      <c r="D61" s="85">
        <v>5588.94</v>
      </c>
      <c r="E61" s="43">
        <v>53636.1</v>
      </c>
      <c r="F61" s="85">
        <v>21099.41</v>
      </c>
      <c r="G61" s="43">
        <v>2925.19</v>
      </c>
      <c r="H61" s="43">
        <v>27.46</v>
      </c>
      <c r="I61" s="97">
        <v>2304.66</v>
      </c>
      <c r="J61" s="13"/>
    </row>
    <row r="62" spans="1:10" s="12" customFormat="1" ht="13.5" customHeight="1">
      <c r="A62" s="60">
        <v>5</v>
      </c>
      <c r="B62" s="85">
        <v>202139.54</v>
      </c>
      <c r="C62" s="43">
        <v>115325.28</v>
      </c>
      <c r="D62" s="85">
        <v>5636.51</v>
      </c>
      <c r="E62" s="43">
        <v>53883.89</v>
      </c>
      <c r="F62" s="85">
        <v>22054.15</v>
      </c>
      <c r="G62" s="43">
        <v>2912.79</v>
      </c>
      <c r="H62" s="43">
        <v>27.53</v>
      </c>
      <c r="I62" s="97">
        <v>2299.39</v>
      </c>
      <c r="J62" s="13"/>
    </row>
    <row r="63" spans="1:10" s="12" customFormat="1" ht="13.5" customHeight="1">
      <c r="A63" s="60">
        <v>6</v>
      </c>
      <c r="B63" s="85">
        <v>213731.13</v>
      </c>
      <c r="C63" s="43">
        <v>123518.75</v>
      </c>
      <c r="D63" s="85">
        <v>5700.31</v>
      </c>
      <c r="E63" s="43">
        <v>54925.94</v>
      </c>
      <c r="F63" s="85">
        <v>24369.25</v>
      </c>
      <c r="G63" s="43">
        <v>2900.77</v>
      </c>
      <c r="H63" s="43">
        <v>27.64</v>
      </c>
      <c r="I63" s="97">
        <v>2288.4699999999998</v>
      </c>
      <c r="J63" s="13"/>
    </row>
    <row r="64" spans="1:10" s="12" customFormat="1" ht="13.5" customHeight="1">
      <c r="A64" s="60"/>
      <c r="B64" s="85"/>
      <c r="C64" s="43"/>
      <c r="D64" s="85"/>
      <c r="E64" s="43"/>
      <c r="F64" s="85"/>
      <c r="G64" s="43"/>
      <c r="H64" s="43"/>
      <c r="I64" s="97"/>
      <c r="J64" s="13"/>
    </row>
    <row r="65" spans="1:10" s="12" customFormat="1" ht="13.5" customHeight="1">
      <c r="A65" s="60">
        <v>7</v>
      </c>
      <c r="B65" s="85">
        <v>212240.9</v>
      </c>
      <c r="C65" s="43">
        <v>122965.87</v>
      </c>
      <c r="D65" s="85">
        <v>5607.64</v>
      </c>
      <c r="E65" s="43">
        <v>54245.29</v>
      </c>
      <c r="F65" s="85">
        <v>24245.17</v>
      </c>
      <c r="G65" s="43">
        <v>2916.68</v>
      </c>
      <c r="H65" s="43">
        <v>27.77</v>
      </c>
      <c r="I65" s="97">
        <v>2232.48</v>
      </c>
      <c r="J65" s="13"/>
    </row>
    <row r="66" spans="1:10" s="12" customFormat="1" ht="13.5" customHeight="1">
      <c r="A66" s="60">
        <v>8</v>
      </c>
      <c r="B66" s="85">
        <v>215609.71</v>
      </c>
      <c r="C66" s="43">
        <v>122066.35</v>
      </c>
      <c r="D66" s="85">
        <v>5636.74</v>
      </c>
      <c r="E66" s="43">
        <v>54623.67</v>
      </c>
      <c r="F66" s="85">
        <v>28110.799999999999</v>
      </c>
      <c r="G66" s="43">
        <v>2921.04</v>
      </c>
      <c r="H66" s="43">
        <v>27.95</v>
      </c>
      <c r="I66" s="97">
        <v>2223.16</v>
      </c>
      <c r="J66" s="13"/>
    </row>
    <row r="67" spans="1:10" s="12" customFormat="1" ht="13.5" customHeight="1">
      <c r="A67" s="60">
        <v>9</v>
      </c>
      <c r="B67" s="85">
        <v>211858.73</v>
      </c>
      <c r="C67" s="43">
        <v>123588.85</v>
      </c>
      <c r="D67" s="85">
        <v>5693.7</v>
      </c>
      <c r="E67" s="43">
        <v>55659.41</v>
      </c>
      <c r="F67" s="85">
        <v>21727.439999999999</v>
      </c>
      <c r="G67" s="43">
        <v>2945.23</v>
      </c>
      <c r="H67" s="43">
        <v>27.25</v>
      </c>
      <c r="I67" s="97">
        <v>2216.85</v>
      </c>
      <c r="J67" s="13"/>
    </row>
    <row r="68" spans="1:10" s="12" customFormat="1" ht="13.5" customHeight="1">
      <c r="A68" s="60"/>
      <c r="B68" s="85"/>
      <c r="C68" s="43"/>
      <c r="D68" s="85"/>
      <c r="E68" s="43"/>
      <c r="F68" s="85"/>
      <c r="G68" s="43"/>
      <c r="H68" s="43"/>
      <c r="I68" s="97"/>
      <c r="J68" s="13"/>
    </row>
    <row r="69" spans="1:10" s="12" customFormat="1" ht="13.5" customHeight="1">
      <c r="A69" s="60">
        <v>10</v>
      </c>
      <c r="B69" s="85">
        <v>215484.23</v>
      </c>
      <c r="C69" s="43">
        <v>126172.31</v>
      </c>
      <c r="D69" s="85">
        <v>5718.59</v>
      </c>
      <c r="E69" s="43">
        <v>56362.18</v>
      </c>
      <c r="F69" s="85">
        <v>22128.35</v>
      </c>
      <c r="G69" s="43">
        <v>2855.04</v>
      </c>
      <c r="H69" s="43">
        <v>27.17</v>
      </c>
      <c r="I69" s="97">
        <v>2220.59</v>
      </c>
      <c r="J69" s="13"/>
    </row>
    <row r="70" spans="1:10" s="12" customFormat="1" ht="13.5" customHeight="1">
      <c r="A70" s="60">
        <v>11</v>
      </c>
      <c r="B70" s="85">
        <v>220675.77</v>
      </c>
      <c r="C70" s="43">
        <v>129386.89</v>
      </c>
      <c r="D70" s="85">
        <v>5704.43</v>
      </c>
      <c r="E70" s="43">
        <v>55834.09</v>
      </c>
      <c r="F70" s="85">
        <v>24758.21</v>
      </c>
      <c r="G70" s="43">
        <v>2769.06</v>
      </c>
      <c r="H70" s="43">
        <v>27.16</v>
      </c>
      <c r="I70" s="97">
        <v>2195.9299999999998</v>
      </c>
      <c r="J70" s="13"/>
    </row>
    <row r="71" spans="1:10" s="12" customFormat="1" ht="13.5" customHeight="1">
      <c r="A71" s="60">
        <v>12</v>
      </c>
      <c r="B71" s="85">
        <v>214747.4</v>
      </c>
      <c r="C71" s="43">
        <v>123517.41</v>
      </c>
      <c r="D71" s="85">
        <v>5610.81</v>
      </c>
      <c r="E71" s="43">
        <v>56923.02</v>
      </c>
      <c r="F71" s="85">
        <v>23838.04</v>
      </c>
      <c r="G71" s="43">
        <v>2671.65</v>
      </c>
      <c r="H71" s="43">
        <v>26.48</v>
      </c>
      <c r="I71" s="97">
        <v>2159.9899999999998</v>
      </c>
      <c r="J71" s="13"/>
    </row>
    <row r="72" spans="1:10" s="12" customFormat="1" ht="13.5" customHeight="1">
      <c r="A72" s="60"/>
      <c r="B72" s="85"/>
      <c r="C72" s="43"/>
      <c r="D72" s="85"/>
      <c r="E72" s="43"/>
      <c r="F72" s="85"/>
      <c r="G72" s="43"/>
      <c r="H72" s="43"/>
      <c r="I72" s="97"/>
      <c r="J72" s="13"/>
    </row>
    <row r="73" spans="1:10" s="12" customFormat="1" ht="13.5" customHeight="1">
      <c r="A73" s="60">
        <v>2022.1</v>
      </c>
      <c r="B73" s="85">
        <v>215343.86</v>
      </c>
      <c r="C73" s="43">
        <v>121977.79</v>
      </c>
      <c r="D73" s="85">
        <v>5547.36</v>
      </c>
      <c r="E73" s="43">
        <v>57503.91</v>
      </c>
      <c r="F73" s="85">
        <v>25532.080000000002</v>
      </c>
      <c r="G73" s="43">
        <v>2600.87</v>
      </c>
      <c r="H73" s="43">
        <v>26.52</v>
      </c>
      <c r="I73" s="97">
        <v>2155.33</v>
      </c>
      <c r="J73" s="13"/>
    </row>
    <row r="74" spans="1:10" s="12" customFormat="1" ht="13.5" customHeight="1">
      <c r="A74" s="60">
        <v>2</v>
      </c>
      <c r="B74" s="85">
        <v>218328.18</v>
      </c>
      <c r="C74" s="43">
        <v>123341.71</v>
      </c>
      <c r="D74" s="85">
        <v>5456.79</v>
      </c>
      <c r="E74" s="43">
        <v>55918.21</v>
      </c>
      <c r="F74" s="85">
        <v>28938.16</v>
      </c>
      <c r="G74" s="43">
        <v>2551.52</v>
      </c>
      <c r="H74" s="43">
        <v>26.01</v>
      </c>
      <c r="I74" s="97">
        <v>2095.7800000000002</v>
      </c>
      <c r="J74" s="13"/>
    </row>
    <row r="75" spans="1:10" s="12" customFormat="1" ht="13.5" customHeight="1">
      <c r="A75" s="60">
        <v>3</v>
      </c>
      <c r="B75" s="85">
        <v>223550.75</v>
      </c>
      <c r="C75" s="43">
        <v>130313.57</v>
      </c>
      <c r="D75" s="85">
        <v>5485.19</v>
      </c>
      <c r="E75" s="43">
        <v>56512.7</v>
      </c>
      <c r="F75" s="85">
        <v>26663.78</v>
      </c>
      <c r="G75" s="43">
        <v>2500.52</v>
      </c>
      <c r="H75" s="43">
        <v>26.03</v>
      </c>
      <c r="I75" s="97">
        <v>2048.96</v>
      </c>
      <c r="J75" s="13"/>
    </row>
    <row r="76" spans="1:10" s="12" customFormat="1" ht="13.5" customHeight="1">
      <c r="A76" s="60"/>
      <c r="B76" s="85"/>
      <c r="C76" s="43"/>
      <c r="D76" s="85"/>
      <c r="E76" s="43"/>
      <c r="F76" s="85"/>
      <c r="G76" s="43"/>
      <c r="H76" s="43"/>
      <c r="I76" s="97"/>
      <c r="J76" s="13"/>
    </row>
    <row r="77" spans="1:10" s="12" customFormat="1" ht="13.5" customHeight="1">
      <c r="A77" s="60">
        <v>4</v>
      </c>
      <c r="B77" s="85">
        <v>230960.67</v>
      </c>
      <c r="C77" s="43">
        <v>139085.44</v>
      </c>
      <c r="D77" s="85">
        <v>5621.28</v>
      </c>
      <c r="E77" s="43">
        <v>56107.94</v>
      </c>
      <c r="F77" s="85">
        <v>25623.25</v>
      </c>
      <c r="G77" s="43">
        <v>2464.58</v>
      </c>
      <c r="H77" s="43">
        <v>26.14</v>
      </c>
      <c r="I77" s="97">
        <v>2032.04</v>
      </c>
      <c r="J77" s="13"/>
    </row>
    <row r="78" spans="1:10" s="12" customFormat="1" ht="13.5" customHeight="1">
      <c r="A78" s="60">
        <v>5</v>
      </c>
      <c r="B78" s="85">
        <v>251129.82</v>
      </c>
      <c r="C78" s="43">
        <v>150691.01</v>
      </c>
      <c r="D78" s="85">
        <v>5822.09</v>
      </c>
      <c r="E78" s="43">
        <v>55970.93</v>
      </c>
      <c r="F78" s="85">
        <v>34154.79</v>
      </c>
      <c r="G78" s="43">
        <v>2459.6999999999998</v>
      </c>
      <c r="H78" s="43">
        <v>26.31</v>
      </c>
      <c r="I78" s="97">
        <v>2004.99</v>
      </c>
      <c r="J78" s="13"/>
    </row>
    <row r="79" spans="1:10" s="12" customFormat="1" ht="13.5" customHeight="1">
      <c r="A79" s="60">
        <v>6</v>
      </c>
      <c r="B79" s="85">
        <v>258814.98</v>
      </c>
      <c r="C79" s="43">
        <v>149438.92000000001</v>
      </c>
      <c r="D79" s="85">
        <v>6050.07</v>
      </c>
      <c r="E79" s="43">
        <v>55196.31</v>
      </c>
      <c r="F79" s="85">
        <v>43669.98</v>
      </c>
      <c r="G79" s="43">
        <v>2456.4699999999998</v>
      </c>
      <c r="H79" s="43">
        <v>26.54</v>
      </c>
      <c r="I79" s="97">
        <v>1976.69</v>
      </c>
      <c r="J79" s="13"/>
    </row>
    <row r="80" spans="1:10" s="12" customFormat="1" ht="13.5" customHeight="1">
      <c r="A80" s="60"/>
      <c r="B80" s="85"/>
      <c r="C80" s="43"/>
      <c r="D80" s="85"/>
      <c r="E80" s="43"/>
      <c r="F80" s="85"/>
      <c r="G80" s="43"/>
      <c r="H80" s="43"/>
      <c r="I80" s="97"/>
      <c r="J80" s="13"/>
    </row>
    <row r="81" spans="1:10" s="12" customFormat="1" ht="13.5" customHeight="1">
      <c r="A81" s="60">
        <v>7</v>
      </c>
      <c r="B81" s="85">
        <v>254428.33</v>
      </c>
      <c r="C81" s="43">
        <v>155923.14000000001</v>
      </c>
      <c r="D81" s="85">
        <v>6261.16</v>
      </c>
      <c r="E81" s="43">
        <v>54135.15</v>
      </c>
      <c r="F81" s="85">
        <v>33709.94</v>
      </c>
      <c r="G81" s="43">
        <v>2430.88</v>
      </c>
      <c r="H81" s="43">
        <v>26.16</v>
      </c>
      <c r="I81" s="97">
        <v>1941.9</v>
      </c>
      <c r="J81" s="13"/>
    </row>
    <row r="82" spans="1:10" s="12" customFormat="1" ht="13.5" customHeight="1">
      <c r="A82" s="60">
        <v>8</v>
      </c>
      <c r="B82" s="85">
        <v>252582.45</v>
      </c>
      <c r="C82" s="43">
        <v>155049.35</v>
      </c>
      <c r="D82" s="85">
        <v>6481.11</v>
      </c>
      <c r="E82" s="43">
        <v>52774.92</v>
      </c>
      <c r="F82" s="85">
        <v>33949.94</v>
      </c>
      <c r="G82" s="43">
        <v>2412.73</v>
      </c>
      <c r="H82" s="43">
        <v>25.55</v>
      </c>
      <c r="I82" s="97">
        <v>1888.85</v>
      </c>
      <c r="J82" s="13"/>
    </row>
    <row r="83" spans="1:10" s="12" customFormat="1" ht="13.5" customHeight="1">
      <c r="A83" s="60">
        <v>9</v>
      </c>
      <c r="B83" s="85">
        <v>248386.52</v>
      </c>
      <c r="C83" s="43">
        <v>158656.79999999999</v>
      </c>
      <c r="D83" s="85">
        <v>6684.35</v>
      </c>
      <c r="E83" s="43">
        <v>51772.85</v>
      </c>
      <c r="F83" s="85">
        <v>27006.66</v>
      </c>
      <c r="G83" s="43">
        <v>2399.98</v>
      </c>
      <c r="H83" s="43">
        <v>25.52</v>
      </c>
      <c r="I83" s="97">
        <v>1840.36</v>
      </c>
      <c r="J83" s="13"/>
    </row>
    <row r="84" spans="1:10" s="12" customFormat="1" ht="13.5" customHeight="1">
      <c r="A84" s="60"/>
      <c r="B84" s="85"/>
      <c r="C84" s="43"/>
      <c r="D84" s="85"/>
      <c r="E84" s="43"/>
      <c r="F84" s="85"/>
      <c r="G84" s="43"/>
      <c r="H84" s="43"/>
      <c r="I84" s="97"/>
      <c r="J84" s="13"/>
    </row>
    <row r="85" spans="1:10" s="12" customFormat="1" ht="13.5" customHeight="1">
      <c r="A85" s="60">
        <v>10</v>
      </c>
      <c r="B85" s="85">
        <v>261475.65</v>
      </c>
      <c r="C85" s="43">
        <v>170895.81</v>
      </c>
      <c r="D85" s="85">
        <v>6729.33</v>
      </c>
      <c r="E85" s="43">
        <v>50033.61</v>
      </c>
      <c r="F85" s="85">
        <v>29790.48</v>
      </c>
      <c r="G85" s="43">
        <v>2250.17</v>
      </c>
      <c r="H85" s="43">
        <v>24.97</v>
      </c>
      <c r="I85" s="97">
        <v>1751.28</v>
      </c>
      <c r="J85" s="13"/>
    </row>
    <row r="86" spans="1:10" s="12" customFormat="1" ht="13.5" customHeight="1">
      <c r="A86" s="60">
        <v>11</v>
      </c>
      <c r="B86" s="85">
        <v>256282.01</v>
      </c>
      <c r="C86" s="43">
        <v>174134.71</v>
      </c>
      <c r="D86" s="85">
        <v>6797.44</v>
      </c>
      <c r="E86" s="43">
        <v>47503.8</v>
      </c>
      <c r="F86" s="85">
        <v>24071.66</v>
      </c>
      <c r="G86" s="43">
        <v>2132.64</v>
      </c>
      <c r="H86" s="43">
        <v>24.5</v>
      </c>
      <c r="I86" s="97">
        <v>1617.26</v>
      </c>
      <c r="J86" s="13"/>
    </row>
    <row r="87" spans="1:10" s="12" customFormat="1" ht="13.5" customHeight="1">
      <c r="A87" s="60">
        <v>12</v>
      </c>
      <c r="B87" s="85">
        <v>242329.27</v>
      </c>
      <c r="C87" s="43">
        <v>164649.64000000001</v>
      </c>
      <c r="D87" s="85">
        <v>6820.22</v>
      </c>
      <c r="E87" s="43">
        <v>46748.94</v>
      </c>
      <c r="F87" s="85">
        <v>20718.52</v>
      </c>
      <c r="G87" s="43">
        <v>2042</v>
      </c>
      <c r="H87" s="43">
        <v>23.94</v>
      </c>
      <c r="I87" s="97">
        <v>1326.01</v>
      </c>
      <c r="J87" s="13"/>
    </row>
    <row r="88" spans="1:10" s="12" customFormat="1" ht="13.5" customHeight="1">
      <c r="A88" s="60"/>
      <c r="B88" s="85"/>
      <c r="C88" s="43"/>
      <c r="D88" s="85"/>
      <c r="E88" s="43"/>
      <c r="F88" s="85"/>
      <c r="G88" s="43"/>
      <c r="H88" s="43"/>
      <c r="I88" s="97"/>
      <c r="J88" s="13"/>
    </row>
    <row r="89" spans="1:10" s="12" customFormat="1" ht="13.5" customHeight="1">
      <c r="A89" s="60">
        <v>2023.1</v>
      </c>
      <c r="B89" s="85">
        <v>237273.69</v>
      </c>
      <c r="C89" s="43">
        <v>162254.29999999999</v>
      </c>
      <c r="D89" s="85">
        <v>6925.71</v>
      </c>
      <c r="E89" s="43">
        <v>45373.18</v>
      </c>
      <c r="F89" s="85">
        <v>19538.64</v>
      </c>
      <c r="G89" s="43">
        <v>1955.07</v>
      </c>
      <c r="H89" s="43">
        <v>23.37</v>
      </c>
      <c r="I89" s="97">
        <v>1203.42</v>
      </c>
      <c r="J89" s="13"/>
    </row>
    <row r="90" spans="1:10" s="12" customFormat="1" ht="13.5" customHeight="1">
      <c r="A90" s="60">
        <v>2</v>
      </c>
      <c r="B90" s="85">
        <v>245782.13</v>
      </c>
      <c r="C90" s="43">
        <v>167112.70000000001</v>
      </c>
      <c r="D90" s="85">
        <v>7064.92</v>
      </c>
      <c r="E90" s="43">
        <v>45167.64</v>
      </c>
      <c r="F90" s="85">
        <v>23270.14</v>
      </c>
      <c r="G90" s="43">
        <v>1962.35</v>
      </c>
      <c r="H90" s="43">
        <v>23.01</v>
      </c>
      <c r="I90" s="97">
        <v>1181.3699999999999</v>
      </c>
      <c r="J90" s="13"/>
    </row>
    <row r="91" spans="1:10" s="12" customFormat="1" ht="13.5" customHeight="1">
      <c r="A91" s="60">
        <v>3</v>
      </c>
      <c r="B91" s="85">
        <v>247190.6</v>
      </c>
      <c r="C91" s="43">
        <v>171482.4</v>
      </c>
      <c r="D91" s="85">
        <v>7206.11</v>
      </c>
      <c r="E91" s="43">
        <v>46213.64</v>
      </c>
      <c r="F91" s="85">
        <v>19531.919999999998</v>
      </c>
      <c r="G91" s="43">
        <v>1983.87</v>
      </c>
      <c r="H91" s="43">
        <v>22.56</v>
      </c>
      <c r="I91" s="97">
        <v>750.1</v>
      </c>
      <c r="J91" s="13"/>
    </row>
    <row r="92" spans="1:10" s="12" customFormat="1" ht="13.5" customHeight="1">
      <c r="A92" s="60"/>
      <c r="B92" s="85"/>
      <c r="C92" s="43"/>
      <c r="D92" s="85"/>
      <c r="E92" s="43"/>
      <c r="F92" s="85"/>
      <c r="G92" s="43"/>
      <c r="H92" s="43"/>
      <c r="I92" s="97"/>
      <c r="J92" s="13"/>
    </row>
    <row r="93" spans="1:10" s="12" customFormat="1" ht="13.5" customHeight="1">
      <c r="A93" s="60">
        <v>4</v>
      </c>
      <c r="B93" s="85">
        <v>255210.38</v>
      </c>
      <c r="C93" s="43">
        <v>173860.69</v>
      </c>
      <c r="D93" s="85">
        <v>7359.93</v>
      </c>
      <c r="E93" s="43">
        <v>46314.78</v>
      </c>
      <c r="F93" s="85">
        <v>24980.33</v>
      </c>
      <c r="G93" s="43">
        <v>2053.2600000000002</v>
      </c>
      <c r="H93" s="43">
        <v>22.48</v>
      </c>
      <c r="I93" s="97">
        <v>618.91</v>
      </c>
      <c r="J93" s="13"/>
    </row>
    <row r="94" spans="1:10" s="12" customFormat="1" ht="13.5" customHeight="1">
      <c r="A94" s="60">
        <v>5</v>
      </c>
      <c r="B94" s="85">
        <v>259850.62</v>
      </c>
      <c r="C94" s="43">
        <v>177501.91</v>
      </c>
      <c r="D94" s="85">
        <v>7444.68</v>
      </c>
      <c r="E94" s="43">
        <v>45442.51</v>
      </c>
      <c r="F94" s="85">
        <v>26748.36</v>
      </c>
      <c r="G94" s="43">
        <v>2136.54</v>
      </c>
      <c r="H94" s="43">
        <v>22.18</v>
      </c>
      <c r="I94" s="97">
        <v>554.44000000000005</v>
      </c>
      <c r="J94" s="13"/>
    </row>
    <row r="95" spans="1:10" s="12" customFormat="1" ht="13.5" customHeight="1">
      <c r="A95" s="60">
        <v>6</v>
      </c>
      <c r="B95" s="85">
        <v>268583.19</v>
      </c>
      <c r="C95" s="43">
        <v>176857.07</v>
      </c>
      <c r="D95" s="85">
        <v>7652.93</v>
      </c>
      <c r="E95" s="43">
        <v>45995.519999999997</v>
      </c>
      <c r="F95" s="85">
        <v>35352.14</v>
      </c>
      <c r="G95" s="43">
        <v>2195.94</v>
      </c>
      <c r="H95" s="43">
        <v>21.9</v>
      </c>
      <c r="I95" s="97">
        <v>507.69</v>
      </c>
      <c r="J95" s="13"/>
    </row>
    <row r="96" spans="1:10" s="12" customFormat="1" ht="13.5" customHeight="1">
      <c r="A96" s="60"/>
      <c r="B96" s="85"/>
      <c r="C96" s="43"/>
      <c r="D96" s="85"/>
      <c r="E96" s="43"/>
      <c r="F96" s="85"/>
      <c r="G96" s="43"/>
      <c r="H96" s="43"/>
      <c r="I96" s="97"/>
      <c r="J96" s="13"/>
    </row>
    <row r="97" spans="1:10" s="12" customFormat="1" ht="13.5" customHeight="1">
      <c r="A97" s="60">
        <v>7</v>
      </c>
      <c r="B97" s="85">
        <v>268793.65000000002</v>
      </c>
      <c r="C97" s="43">
        <v>182673.25</v>
      </c>
      <c r="D97" s="85">
        <v>7871.32</v>
      </c>
      <c r="E97" s="43">
        <v>45999.26</v>
      </c>
      <c r="F97" s="85">
        <v>29481.67</v>
      </c>
      <c r="G97" s="43">
        <v>2269.88</v>
      </c>
      <c r="H97" s="43">
        <v>21.59</v>
      </c>
      <c r="I97" s="97">
        <v>476.68</v>
      </c>
      <c r="J97" s="13"/>
    </row>
    <row r="98" spans="1:10" s="12" customFormat="1" ht="13.5" customHeight="1">
      <c r="A98" s="60">
        <v>8</v>
      </c>
      <c r="B98" s="85">
        <v>278344.59999999998</v>
      </c>
      <c r="C98" s="43">
        <v>185158.71</v>
      </c>
      <c r="D98" s="85">
        <v>8105.77</v>
      </c>
      <c r="E98" s="43">
        <v>46463.14</v>
      </c>
      <c r="F98" s="85">
        <v>35815.25</v>
      </c>
      <c r="G98" s="43">
        <v>2330.65</v>
      </c>
      <c r="H98" s="43">
        <v>21.24</v>
      </c>
      <c r="I98" s="97">
        <v>449.84</v>
      </c>
      <c r="J98" s="13"/>
    </row>
    <row r="99" spans="1:10" s="12" customFormat="1" ht="13.5" customHeight="1">
      <c r="A99" s="60">
        <v>9</v>
      </c>
      <c r="B99" s="85">
        <v>278007.78000000003</v>
      </c>
      <c r="C99" s="43">
        <v>182336.6</v>
      </c>
      <c r="D99" s="85">
        <v>8351.27</v>
      </c>
      <c r="E99" s="43">
        <v>47418.89</v>
      </c>
      <c r="F99" s="85">
        <v>37071.49</v>
      </c>
      <c r="G99" s="43">
        <v>2371.4499999999998</v>
      </c>
      <c r="H99" s="43">
        <v>20.75</v>
      </c>
      <c r="I99" s="97">
        <v>437.33</v>
      </c>
      <c r="J99" s="13"/>
    </row>
    <row r="100" spans="1:10" s="12" customFormat="1" ht="13.5" customHeight="1">
      <c r="A100" s="60"/>
      <c r="B100" s="85"/>
      <c r="C100" s="43"/>
      <c r="D100" s="85"/>
      <c r="E100" s="43"/>
      <c r="F100" s="85"/>
      <c r="G100" s="43"/>
      <c r="H100" s="43"/>
      <c r="I100" s="97"/>
      <c r="J100" s="13"/>
    </row>
    <row r="101" spans="1:10" s="12" customFormat="1" ht="13.5" customHeight="1">
      <c r="A101" s="60">
        <v>10</v>
      </c>
      <c r="B101" s="85">
        <v>269135.35999999999</v>
      </c>
      <c r="C101" s="43">
        <v>177377.27</v>
      </c>
      <c r="D101" s="85">
        <v>8387</v>
      </c>
      <c r="E101" s="43">
        <v>46787.99</v>
      </c>
      <c r="F101" s="85">
        <v>33840.050000000003</v>
      </c>
      <c r="G101" s="43">
        <v>2299.11</v>
      </c>
      <c r="H101" s="43">
        <v>20.49</v>
      </c>
      <c r="I101" s="97">
        <v>423.45</v>
      </c>
      <c r="J101" s="13"/>
    </row>
    <row r="102" spans="1:10" s="12" customFormat="1" ht="13.5" customHeight="1">
      <c r="A102" s="60">
        <v>11</v>
      </c>
      <c r="B102" s="85">
        <v>268861.75</v>
      </c>
      <c r="C102" s="43">
        <v>181840.2</v>
      </c>
      <c r="D102" s="85">
        <v>8538.07</v>
      </c>
      <c r="E102" s="43">
        <v>46157.440000000002</v>
      </c>
      <c r="F102" s="85">
        <v>29730.69</v>
      </c>
      <c r="G102" s="43">
        <v>2170.4899999999998</v>
      </c>
      <c r="H102" s="43">
        <v>20.28</v>
      </c>
      <c r="I102" s="97">
        <v>404.58</v>
      </c>
      <c r="J102" s="13"/>
    </row>
    <row r="103" spans="1:10" s="12" customFormat="1" ht="13.5" customHeight="1">
      <c r="A103" s="60">
        <v>12</v>
      </c>
      <c r="B103" s="85">
        <v>253268.05</v>
      </c>
      <c r="C103" s="43">
        <v>175132.82</v>
      </c>
      <c r="D103" s="85">
        <v>8671.66</v>
      </c>
      <c r="E103" s="43">
        <v>47681.98</v>
      </c>
      <c r="F103" s="85">
        <v>19282.5</v>
      </c>
      <c r="G103" s="43">
        <v>2099.7800000000002</v>
      </c>
      <c r="H103" s="43">
        <v>20.32</v>
      </c>
      <c r="I103" s="97">
        <v>378.99</v>
      </c>
      <c r="J103" s="13"/>
    </row>
    <row r="104" spans="1:10" s="12" customFormat="1" ht="13.5" customHeight="1">
      <c r="A104" s="60"/>
      <c r="B104" s="85"/>
      <c r="C104" s="43"/>
      <c r="D104" s="85"/>
      <c r="E104" s="43"/>
      <c r="F104" s="85"/>
      <c r="G104" s="43"/>
      <c r="H104" s="43"/>
      <c r="I104" s="97"/>
      <c r="J104" s="13"/>
    </row>
    <row r="105" spans="1:10" s="12" customFormat="1" ht="13.5" customHeight="1">
      <c r="A105" s="60">
        <v>2024.1</v>
      </c>
      <c r="B105" s="85">
        <v>257119.16</v>
      </c>
      <c r="C105" s="43">
        <v>179053.61</v>
      </c>
      <c r="D105" s="85">
        <v>8714.61</v>
      </c>
      <c r="E105" s="43">
        <v>46590.85</v>
      </c>
      <c r="F105" s="85">
        <v>20333.2</v>
      </c>
      <c r="G105" s="43">
        <v>2048.8000000000002</v>
      </c>
      <c r="H105" s="43">
        <v>20.18</v>
      </c>
      <c r="I105" s="97">
        <v>357.91</v>
      </c>
      <c r="J105" s="13"/>
    </row>
    <row r="106" spans="1:10" s="12" customFormat="1" ht="13.5" customHeight="1">
      <c r="A106" s="60">
        <v>2</v>
      </c>
      <c r="B106" s="85">
        <v>264421.71999999997</v>
      </c>
      <c r="C106" s="43">
        <v>186575.97</v>
      </c>
      <c r="D106" s="85">
        <v>6420.79</v>
      </c>
      <c r="E106" s="43">
        <v>48424.09</v>
      </c>
      <c r="F106" s="85">
        <v>20563.87</v>
      </c>
      <c r="G106" s="43">
        <v>2073.2800000000002</v>
      </c>
      <c r="H106" s="43">
        <v>19.87</v>
      </c>
      <c r="I106" s="97">
        <v>343.85</v>
      </c>
      <c r="J106" s="13"/>
    </row>
    <row r="107" spans="1:10" s="12" customFormat="1" ht="13.5" customHeight="1">
      <c r="A107" s="60">
        <v>3</v>
      </c>
      <c r="B107" s="85">
        <v>274089.89</v>
      </c>
      <c r="C107" s="43">
        <v>195278.38</v>
      </c>
      <c r="D107" s="85">
        <v>5907.95</v>
      </c>
      <c r="E107" s="43">
        <v>48797.08</v>
      </c>
      <c r="F107" s="85">
        <v>21675.73</v>
      </c>
      <c r="G107" s="43">
        <v>2076.9499999999998</v>
      </c>
      <c r="H107" s="43">
        <v>19.71</v>
      </c>
      <c r="I107" s="97">
        <v>334.09</v>
      </c>
      <c r="J107" s="13"/>
    </row>
    <row r="108" spans="1:10" s="12" customFormat="1" ht="13.5" customHeight="1">
      <c r="A108" s="60"/>
      <c r="B108" s="85"/>
      <c r="C108" s="43"/>
      <c r="D108" s="85"/>
      <c r="E108" s="43"/>
      <c r="F108" s="85"/>
      <c r="G108" s="43"/>
      <c r="H108" s="43"/>
      <c r="I108" s="97"/>
      <c r="J108" s="13"/>
    </row>
    <row r="109" spans="1:10" s="12" customFormat="1" ht="13.5" customHeight="1">
      <c r="A109" s="60">
        <v>4</v>
      </c>
      <c r="B109" s="85">
        <v>280515.90000000002</v>
      </c>
      <c r="C109" s="43">
        <v>195173.96</v>
      </c>
      <c r="D109" s="85">
        <v>6094.75</v>
      </c>
      <c r="E109" s="43">
        <v>47620.02</v>
      </c>
      <c r="F109" s="85">
        <v>29153.55</v>
      </c>
      <c r="G109" s="43">
        <v>2125.2600000000002</v>
      </c>
      <c r="H109" s="43">
        <v>19.55</v>
      </c>
      <c r="I109" s="97">
        <v>328.81</v>
      </c>
      <c r="J109" s="13"/>
    </row>
    <row r="110" spans="1:10" s="12" customFormat="1" ht="13.5" customHeight="1">
      <c r="A110" s="60">
        <v>5</v>
      </c>
      <c r="B110" s="85">
        <v>285055.03999999998</v>
      </c>
      <c r="C110" s="43">
        <v>205277.05</v>
      </c>
      <c r="D110" s="85">
        <v>6291.09</v>
      </c>
      <c r="E110" s="43">
        <v>47072.52</v>
      </c>
      <c r="F110" s="85">
        <v>23898.25</v>
      </c>
      <c r="G110" s="43">
        <v>2170.14</v>
      </c>
      <c r="H110" s="43">
        <v>19.48</v>
      </c>
      <c r="I110" s="97">
        <v>326.51</v>
      </c>
      <c r="J110" s="13"/>
    </row>
    <row r="111" spans="1:10" s="12" customFormat="1" ht="13.5" customHeight="1">
      <c r="A111" s="60">
        <v>6</v>
      </c>
      <c r="B111" s="85">
        <v>275534.74</v>
      </c>
      <c r="C111" s="43">
        <v>198136.63</v>
      </c>
      <c r="D111" s="85">
        <v>6503.17</v>
      </c>
      <c r="E111" s="43">
        <v>47913.96</v>
      </c>
      <c r="F111" s="85">
        <v>20407.02</v>
      </c>
      <c r="G111" s="43">
        <v>2234.6999999999998</v>
      </c>
      <c r="H111" s="43">
        <v>19.239999999999998</v>
      </c>
      <c r="I111" s="97">
        <v>320.02</v>
      </c>
      <c r="J111" s="13"/>
    </row>
    <row r="112" spans="1:10" s="12" customFormat="1" ht="13.5" customHeight="1">
      <c r="A112" s="60"/>
      <c r="B112" s="85"/>
      <c r="C112" s="43"/>
      <c r="D112" s="85"/>
      <c r="E112" s="43"/>
      <c r="F112" s="85"/>
      <c r="G112" s="43"/>
      <c r="H112" s="43"/>
      <c r="I112" s="97"/>
      <c r="J112" s="13"/>
    </row>
    <row r="113" spans="1:10" s="12" customFormat="1" ht="13.5" customHeight="1">
      <c r="A113" s="60">
        <v>7</v>
      </c>
      <c r="B113" s="85">
        <v>283338.38</v>
      </c>
      <c r="C113" s="43">
        <v>197995.28</v>
      </c>
      <c r="D113" s="85">
        <v>6710.89</v>
      </c>
      <c r="E113" s="43">
        <v>47968.85</v>
      </c>
      <c r="F113" s="85">
        <v>28078.92</v>
      </c>
      <c r="G113" s="43">
        <v>2255.89</v>
      </c>
      <c r="H113" s="43">
        <v>18.91</v>
      </c>
      <c r="I113" s="97">
        <v>309.64</v>
      </c>
      <c r="J113" s="13"/>
    </row>
    <row r="114" spans="1:10" s="12" customFormat="1" ht="13.5" customHeight="1">
      <c r="A114" s="60">
        <v>8</v>
      </c>
      <c r="B114" s="85">
        <v>286703.44</v>
      </c>
      <c r="C114" s="43">
        <v>203133.75</v>
      </c>
      <c r="D114" s="85">
        <v>6924.67</v>
      </c>
      <c r="E114" s="43">
        <v>48359.26</v>
      </c>
      <c r="F114" s="85">
        <v>25675.49</v>
      </c>
      <c r="G114" s="43">
        <v>2288.4699999999998</v>
      </c>
      <c r="H114" s="43">
        <v>18.88</v>
      </c>
      <c r="I114" s="97">
        <v>302.92</v>
      </c>
      <c r="J114" s="13"/>
    </row>
    <row r="115" spans="1:10" s="12" customFormat="1" ht="13.5" customHeight="1">
      <c r="A115" s="60">
        <v>9</v>
      </c>
      <c r="B115" s="85">
        <v>282473.92</v>
      </c>
      <c r="C115" s="43">
        <v>198371.33</v>
      </c>
      <c r="D115" s="85">
        <v>7179.6</v>
      </c>
      <c r="E115" s="43">
        <v>48316.09</v>
      </c>
      <c r="F115" s="85">
        <v>25987.439999999999</v>
      </c>
      <c r="G115" s="43">
        <v>2304.27</v>
      </c>
      <c r="H115" s="43">
        <v>18.53</v>
      </c>
      <c r="I115" s="97">
        <v>296.66000000000003</v>
      </c>
      <c r="J115" s="13"/>
    </row>
    <row r="116" spans="1:10" s="12" customFormat="1" ht="13.5" customHeight="1">
      <c r="A116" s="60"/>
      <c r="B116" s="85"/>
      <c r="C116" s="43"/>
      <c r="D116" s="85"/>
      <c r="E116" s="43"/>
      <c r="F116" s="85"/>
      <c r="G116" s="43"/>
      <c r="H116" s="43"/>
      <c r="I116" s="97"/>
      <c r="J116" s="13"/>
    </row>
    <row r="117" spans="1:10" s="12" customFormat="1" ht="13.5" customHeight="1">
      <c r="A117" s="60">
        <v>10</v>
      </c>
      <c r="B117" s="85">
        <v>282959.8</v>
      </c>
      <c r="C117" s="43">
        <v>200867.17</v>
      </c>
      <c r="D117" s="85">
        <v>7229.46</v>
      </c>
      <c r="E117" s="43">
        <v>48518.36</v>
      </c>
      <c r="F117" s="85">
        <v>23759.19</v>
      </c>
      <c r="G117" s="43">
        <v>2283.3000000000002</v>
      </c>
      <c r="H117" s="43">
        <v>17.79</v>
      </c>
      <c r="I117" s="97">
        <v>284.52999999999997</v>
      </c>
      <c r="J117" s="13"/>
    </row>
    <row r="118" spans="1:10" s="12" customFormat="1" ht="13.5" customHeight="1">
      <c r="A118" s="60">
        <v>11</v>
      </c>
      <c r="B118" s="85">
        <v>269064.15000000002</v>
      </c>
      <c r="C118" s="43">
        <v>193067.43</v>
      </c>
      <c r="D118" s="85">
        <v>7353.91</v>
      </c>
      <c r="E118" s="43">
        <v>49152.37</v>
      </c>
      <c r="F118" s="85">
        <v>16992.34</v>
      </c>
      <c r="G118" s="43">
        <v>2202.65</v>
      </c>
      <c r="H118" s="43">
        <v>17.899999999999999</v>
      </c>
      <c r="I118" s="97">
        <v>277.55</v>
      </c>
      <c r="J118" s="13"/>
    </row>
    <row r="119" spans="1:10" s="12" customFormat="1" ht="13.5" customHeight="1">
      <c r="A119" s="60">
        <v>12</v>
      </c>
      <c r="B119" s="85">
        <v>262919.65999999997</v>
      </c>
      <c r="C119" s="43">
        <v>183254.96</v>
      </c>
      <c r="D119" s="85">
        <v>7424.94</v>
      </c>
      <c r="E119" s="43">
        <v>50027.74</v>
      </c>
      <c r="F119" s="85">
        <v>19816.34</v>
      </c>
      <c r="G119" s="43">
        <v>2116.2600000000002</v>
      </c>
      <c r="H119" s="43">
        <v>17.5</v>
      </c>
      <c r="I119" s="97">
        <v>261.92</v>
      </c>
      <c r="J119" s="13"/>
    </row>
    <row r="120" spans="1:10" s="12" customFormat="1" ht="13.5" customHeight="1">
      <c r="A120" s="60"/>
      <c r="B120" s="85"/>
      <c r="C120" s="43"/>
      <c r="D120" s="85"/>
      <c r="E120" s="43"/>
      <c r="F120" s="85"/>
      <c r="G120" s="43"/>
      <c r="H120" s="43"/>
      <c r="I120" s="97"/>
      <c r="J120" s="13"/>
    </row>
    <row r="121" spans="1:10" s="12" customFormat="1" ht="13.5" customHeight="1">
      <c r="A121" s="60">
        <v>2025.1</v>
      </c>
      <c r="B121" s="85">
        <v>257756.52</v>
      </c>
      <c r="C121" s="43">
        <v>180913.15</v>
      </c>
      <c r="D121" s="85">
        <v>7346.21</v>
      </c>
      <c r="E121" s="43">
        <v>49409.59</v>
      </c>
      <c r="F121" s="85">
        <v>17781.13</v>
      </c>
      <c r="G121" s="43">
        <v>2036.59</v>
      </c>
      <c r="H121" s="43">
        <v>17.37</v>
      </c>
      <c r="I121" s="97">
        <v>252.48</v>
      </c>
      <c r="J121" s="13"/>
    </row>
    <row r="122" spans="1:10" s="12" customFormat="1" ht="13.5" customHeight="1">
      <c r="A122" s="60">
        <v>2</v>
      </c>
      <c r="B122" s="85">
        <v>262412.89</v>
      </c>
      <c r="C122" s="43">
        <v>184491.86</v>
      </c>
      <c r="D122" s="85">
        <v>7462.13</v>
      </c>
      <c r="E122" s="43">
        <v>49481.64</v>
      </c>
      <c r="F122" s="85">
        <v>18727.52</v>
      </c>
      <c r="G122" s="43">
        <v>1987.75</v>
      </c>
      <c r="H122" s="43">
        <v>17.21</v>
      </c>
      <c r="I122" s="97">
        <v>244.78</v>
      </c>
      <c r="J122" s="13"/>
    </row>
    <row r="123" spans="1:10" s="12" customFormat="1" ht="13.5" customHeight="1">
      <c r="A123" s="60">
        <v>3</v>
      </c>
      <c r="B123" s="85">
        <v>264259.03000000003</v>
      </c>
      <c r="C123" s="43">
        <v>185774.37</v>
      </c>
      <c r="D123" s="85">
        <v>7613.75</v>
      </c>
      <c r="E123" s="43">
        <v>49806.25</v>
      </c>
      <c r="F123" s="85">
        <v>18874.599999999999</v>
      </c>
      <c r="G123" s="43">
        <v>1934.22</v>
      </c>
      <c r="H123" s="43">
        <v>17.03</v>
      </c>
      <c r="I123" s="97">
        <v>238.81</v>
      </c>
      <c r="J123" s="13"/>
    </row>
    <row r="124" spans="1:10" s="12" customFormat="1" ht="13.5" customHeight="1">
      <c r="A124" s="60"/>
      <c r="B124" s="85"/>
      <c r="C124" s="43"/>
      <c r="D124" s="85"/>
      <c r="E124" s="43"/>
      <c r="F124" s="85"/>
      <c r="G124" s="43"/>
      <c r="H124" s="43"/>
      <c r="I124" s="97"/>
      <c r="J124" s="13"/>
    </row>
    <row r="125" spans="1:10" s="12" customFormat="1" ht="13.5" customHeight="1">
      <c r="A125" s="60">
        <v>4</v>
      </c>
      <c r="B125" s="85">
        <v>254682.59</v>
      </c>
      <c r="C125" s="43">
        <v>177906.25</v>
      </c>
      <c r="D125" s="85">
        <v>7789.42</v>
      </c>
      <c r="E125" s="43">
        <v>49158.879999999997</v>
      </c>
      <c r="F125" s="85">
        <v>17631.419999999998</v>
      </c>
      <c r="G125" s="43">
        <v>1950.16</v>
      </c>
      <c r="H125" s="43">
        <v>16.93</v>
      </c>
      <c r="I125" s="97">
        <v>229.53</v>
      </c>
      <c r="J125" s="13"/>
    </row>
    <row r="126" spans="1:10" s="12" customFormat="1" ht="13.5" customHeight="1">
      <c r="A126" s="60">
        <v>5</v>
      </c>
      <c r="B126" s="85">
        <v>248909.27</v>
      </c>
      <c r="C126" s="43">
        <v>172375.6</v>
      </c>
      <c r="D126" s="85">
        <v>8072.9</v>
      </c>
      <c r="E126" s="43">
        <v>49068.23</v>
      </c>
      <c r="F126" s="85">
        <v>17173.66</v>
      </c>
      <c r="G126" s="43">
        <v>1978.94</v>
      </c>
      <c r="H126" s="43">
        <v>16.809999999999999</v>
      </c>
      <c r="I126" s="97">
        <v>223.13</v>
      </c>
      <c r="J126" s="13"/>
    </row>
    <row r="127" spans="1:10" s="12" customFormat="1" ht="13.5" customHeight="1">
      <c r="A127" s="60">
        <v>6</v>
      </c>
      <c r="B127" s="85">
        <v>256334.4</v>
      </c>
      <c r="C127" s="43">
        <v>174090.02</v>
      </c>
      <c r="D127" s="85">
        <v>8335.82</v>
      </c>
      <c r="E127" s="43">
        <v>49234.92</v>
      </c>
      <c r="F127" s="85">
        <v>22448.18</v>
      </c>
      <c r="G127" s="43">
        <v>1992.73</v>
      </c>
      <c r="H127" s="43">
        <v>16.68</v>
      </c>
      <c r="I127" s="97">
        <v>216.05</v>
      </c>
      <c r="J127" s="13"/>
    </row>
    <row r="128" spans="1:10" s="12" customFormat="1" ht="13.5" customHeight="1">
      <c r="A128" s="60"/>
      <c r="B128" s="85"/>
      <c r="C128" s="43"/>
      <c r="D128" s="85"/>
      <c r="E128" s="43"/>
      <c r="F128" s="85"/>
      <c r="G128" s="43"/>
      <c r="H128" s="43"/>
      <c r="I128" s="97"/>
      <c r="J128" s="13"/>
    </row>
    <row r="129" spans="1:10" s="12" customFormat="1" ht="13.5" customHeight="1">
      <c r="A129" s="60">
        <v>7</v>
      </c>
      <c r="B129" s="85">
        <v>256155.29</v>
      </c>
      <c r="C129" s="43">
        <v>174940.7</v>
      </c>
      <c r="D129" s="85">
        <v>8516.7000000000007</v>
      </c>
      <c r="E129" s="43">
        <v>50104.99</v>
      </c>
      <c r="F129" s="85">
        <v>20358.599999999999</v>
      </c>
      <c r="G129" s="43">
        <v>2013.55</v>
      </c>
      <c r="H129" s="43">
        <v>16.5</v>
      </c>
      <c r="I129" s="97">
        <v>204.25</v>
      </c>
      <c r="J129" s="13"/>
    </row>
    <row r="130" spans="1:10" s="12" customFormat="1" ht="13.5" customHeight="1">
      <c r="A130" s="60">
        <v>8</v>
      </c>
      <c r="B130" s="85">
        <v>265881.51</v>
      </c>
      <c r="C130" s="43">
        <v>181769.17</v>
      </c>
      <c r="D130" s="85">
        <v>8787.2000000000007</v>
      </c>
      <c r="E130" s="43">
        <v>50931.24</v>
      </c>
      <c r="F130" s="85">
        <v>22153.32</v>
      </c>
      <c r="G130" s="43">
        <v>2029.61</v>
      </c>
      <c r="H130" s="43">
        <v>16.149999999999999</v>
      </c>
      <c r="I130" s="97">
        <v>194.82</v>
      </c>
      <c r="J130" s="13"/>
    </row>
    <row r="131" spans="1:10" s="12" customFormat="1" ht="13.5" customHeight="1">
      <c r="A131" s="60">
        <v>9</v>
      </c>
      <c r="B131" s="85">
        <v>268564.09000000003</v>
      </c>
      <c r="C131" s="43">
        <v>183503.02</v>
      </c>
      <c r="D131" s="85">
        <v>9012.7800000000007</v>
      </c>
      <c r="E131" s="43">
        <v>51576.61</v>
      </c>
      <c r="F131" s="85">
        <v>22246.65</v>
      </c>
      <c r="G131" s="43">
        <v>2024.95</v>
      </c>
      <c r="H131" s="43">
        <v>15.93</v>
      </c>
      <c r="I131" s="97">
        <v>184.15</v>
      </c>
      <c r="J131" s="13"/>
    </row>
    <row r="132" spans="1:10" s="12" customFormat="1" ht="13.5" customHeight="1">
      <c r="A132" s="60"/>
      <c r="B132" s="85"/>
      <c r="C132" s="43"/>
      <c r="D132" s="85"/>
      <c r="E132" s="43"/>
      <c r="F132" s="85"/>
      <c r="G132" s="43"/>
      <c r="H132" s="43"/>
      <c r="I132" s="97"/>
      <c r="J132" s="13"/>
    </row>
    <row r="133" spans="1:10" s="12" customFormat="1" ht="13.5" customHeight="1">
      <c r="A133" s="60">
        <v>10</v>
      </c>
      <c r="B133" s="85">
        <v>266406.57</v>
      </c>
      <c r="C133" s="43">
        <v>184002.44</v>
      </c>
      <c r="D133" s="85">
        <v>8987.52</v>
      </c>
      <c r="E133" s="43">
        <v>51448.800000000003</v>
      </c>
      <c r="F133" s="85">
        <v>19810.21</v>
      </c>
      <c r="G133" s="43">
        <v>1974.28</v>
      </c>
      <c r="H133" s="43">
        <v>15.62</v>
      </c>
      <c r="I133" s="97">
        <v>167.7</v>
      </c>
      <c r="J133" s="13"/>
    </row>
    <row r="134" spans="1:10" s="12" customFormat="1" ht="13.5" customHeight="1">
      <c r="A134" s="60">
        <v>11</v>
      </c>
      <c r="B134" s="85">
        <v>264422.68</v>
      </c>
      <c r="C134" s="43">
        <v>183638.58</v>
      </c>
      <c r="D134" s="85">
        <v>9146.98</v>
      </c>
      <c r="E134" s="43">
        <v>51533.39</v>
      </c>
      <c r="F134" s="85">
        <v>18041.54</v>
      </c>
      <c r="G134" s="43">
        <v>1896.15</v>
      </c>
      <c r="H134" s="43">
        <v>15.28</v>
      </c>
      <c r="I134" s="97">
        <v>150.76</v>
      </c>
      <c r="J134" s="13"/>
    </row>
    <row r="135" spans="1:10" s="12" customFormat="1" ht="13.5" customHeight="1">
      <c r="A135" s="194" t="s">
        <v>213</v>
      </c>
      <c r="B135" s="203">
        <v>254545.44</v>
      </c>
      <c r="C135" s="203">
        <v>171856.98</v>
      </c>
      <c r="D135" s="203">
        <v>9205.44</v>
      </c>
      <c r="E135" s="203">
        <v>51972.52</v>
      </c>
      <c r="F135" s="203">
        <v>19633.490000000002</v>
      </c>
      <c r="G135" s="203">
        <v>1760.05</v>
      </c>
      <c r="H135" s="203">
        <v>14.74</v>
      </c>
      <c r="I135" s="204">
        <v>102.22</v>
      </c>
    </row>
    <row r="136" spans="1:10" ht="13.5" customHeight="1">
      <c r="A136" s="60"/>
      <c r="B136" s="85"/>
      <c r="C136" s="43"/>
      <c r="D136" s="85"/>
      <c r="E136" s="43"/>
      <c r="F136" s="85"/>
      <c r="G136" s="43"/>
      <c r="H136" s="43"/>
      <c r="I136" s="97"/>
    </row>
    <row r="137" spans="1:10">
      <c r="A137" s="194" t="s">
        <v>266</v>
      </c>
      <c r="B137" s="203">
        <v>252327.88</v>
      </c>
      <c r="C137" s="203">
        <v>172447.57</v>
      </c>
      <c r="D137" s="203">
        <v>9258.42</v>
      </c>
      <c r="E137" s="203">
        <v>51085.86</v>
      </c>
      <c r="F137" s="203">
        <v>17758.39</v>
      </c>
      <c r="G137" s="203">
        <v>1676.44</v>
      </c>
      <c r="H137" s="203">
        <v>14.4</v>
      </c>
      <c r="I137" s="204">
        <v>86.8</v>
      </c>
    </row>
    <row r="138" spans="1:10">
      <c r="A138" s="194" t="s">
        <v>215</v>
      </c>
      <c r="B138" s="203">
        <v>259009.57</v>
      </c>
      <c r="C138" s="203">
        <v>179758.71</v>
      </c>
      <c r="D138" s="203">
        <v>9288.14</v>
      </c>
      <c r="E138" s="203">
        <v>51862.13</v>
      </c>
      <c r="F138" s="203">
        <v>16387.939999999999</v>
      </c>
      <c r="G138" s="203">
        <v>1615.07</v>
      </c>
      <c r="H138" s="203">
        <v>14.15</v>
      </c>
      <c r="I138" s="204">
        <v>83.43</v>
      </c>
    </row>
    <row r="139" spans="1:10">
      <c r="A139" s="195" t="s">
        <v>265</v>
      </c>
      <c r="B139" s="198">
        <v>263071.28999999998</v>
      </c>
      <c r="C139" s="198">
        <v>182282.13</v>
      </c>
      <c r="D139" s="198">
        <v>9317.06</v>
      </c>
      <c r="E139" s="198">
        <v>51424.67</v>
      </c>
      <c r="F139" s="198">
        <v>18406.080000000002</v>
      </c>
      <c r="G139" s="198">
        <v>1545.97</v>
      </c>
      <c r="H139" s="198">
        <v>13.95</v>
      </c>
      <c r="I139" s="200">
        <v>81.430000000000007</v>
      </c>
    </row>
    <row r="140" spans="1:10">
      <c r="A140" s="52" t="s">
        <v>159</v>
      </c>
      <c r="I140" s="44"/>
    </row>
  </sheetData>
  <mergeCells count="2">
    <mergeCell ref="A6:A7"/>
    <mergeCell ref="B6:I6"/>
  </mergeCells>
  <phoneticPr fontId="9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4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T3877"/>
  <sheetViews>
    <sheetView zoomScale="85" zoomScaleNormal="85" zoomScaleSheetLayoutView="100" workbookViewId="0">
      <pane xSplit="1" ySplit="7" topLeftCell="B122" activePane="bottomRight" state="frozen"/>
      <selection activeCell="E91" sqref="E91"/>
      <selection pane="topRight" activeCell="E91" sqref="E91"/>
      <selection pane="bottomLeft" activeCell="E91" sqref="E91"/>
      <selection pane="bottomRight" activeCell="B141" sqref="B141"/>
    </sheetView>
  </sheetViews>
  <sheetFormatPr defaultColWidth="8.88671875" defaultRowHeight="13.5"/>
  <cols>
    <col min="1" max="1" width="10.77734375" style="12" customWidth="1"/>
    <col min="2" max="10" width="9.77734375" style="12" customWidth="1"/>
    <col min="11" max="16384" width="8.88671875" style="12"/>
  </cols>
  <sheetData>
    <row r="1" spans="1:10" s="1" customFormat="1" ht="12">
      <c r="A1" s="53"/>
      <c r="B1" s="53"/>
      <c r="C1" s="53"/>
      <c r="D1" s="53"/>
      <c r="E1" s="53"/>
      <c r="F1" s="53"/>
      <c r="G1" s="53"/>
      <c r="H1" s="48"/>
      <c r="J1" s="112"/>
    </row>
    <row r="2" spans="1:10" s="1" customFormat="1" ht="12">
      <c r="A2" s="55"/>
      <c r="B2" s="55"/>
      <c r="C2" s="55"/>
      <c r="D2" s="55"/>
      <c r="E2" s="55"/>
      <c r="F2" s="55"/>
      <c r="G2" s="55"/>
      <c r="H2" s="55"/>
      <c r="J2" s="112"/>
    </row>
    <row r="3" spans="1:10" s="1" customFormat="1" ht="12">
      <c r="A3" s="55"/>
      <c r="B3" s="55"/>
      <c r="C3" s="55"/>
      <c r="D3" s="55"/>
      <c r="E3" s="55"/>
      <c r="F3" s="55"/>
      <c r="G3" s="55"/>
      <c r="H3" s="55"/>
      <c r="J3" s="112"/>
    </row>
    <row r="4" spans="1:10" s="1" customFormat="1" ht="12">
      <c r="A4" s="125" t="s">
        <v>151</v>
      </c>
      <c r="B4" s="49"/>
      <c r="C4" s="49"/>
      <c r="D4" s="49"/>
      <c r="E4" s="49"/>
      <c r="F4" s="49"/>
      <c r="G4" s="4"/>
      <c r="H4" s="4"/>
      <c r="I4" s="4"/>
      <c r="J4" s="4" t="s">
        <v>99</v>
      </c>
    </row>
    <row r="5" spans="1:10" ht="17.25" customHeight="1">
      <c r="A5" s="276" t="s">
        <v>21</v>
      </c>
      <c r="B5" s="279" t="s">
        <v>23</v>
      </c>
      <c r="C5" s="271" t="s">
        <v>27</v>
      </c>
      <c r="D5" s="272"/>
      <c r="E5" s="272"/>
      <c r="F5" s="272"/>
      <c r="G5" s="272"/>
      <c r="H5" s="272"/>
      <c r="I5" s="272"/>
      <c r="J5" s="272"/>
    </row>
    <row r="6" spans="1:10" ht="12" customHeight="1">
      <c r="A6" s="282"/>
      <c r="B6" s="283"/>
      <c r="C6" s="284" t="s">
        <v>28</v>
      </c>
      <c r="D6" s="19"/>
      <c r="E6" s="19"/>
      <c r="F6" s="20"/>
      <c r="G6" s="284" t="s">
        <v>29</v>
      </c>
      <c r="H6" s="21"/>
      <c r="I6" s="19"/>
      <c r="J6" s="18"/>
    </row>
    <row r="7" spans="1:10" ht="21.75" customHeight="1">
      <c r="A7" s="277"/>
      <c r="B7" s="280"/>
      <c r="C7" s="285"/>
      <c r="D7" s="7" t="s">
        <v>30</v>
      </c>
      <c r="E7" s="7" t="s">
        <v>31</v>
      </c>
      <c r="F7" s="7" t="s">
        <v>32</v>
      </c>
      <c r="G7" s="285"/>
      <c r="H7" s="7" t="s">
        <v>33</v>
      </c>
      <c r="I7" s="7" t="s">
        <v>34</v>
      </c>
      <c r="J7" s="46" t="s">
        <v>35</v>
      </c>
    </row>
    <row r="8" spans="1:10" s="31" customFormat="1" ht="13.5" customHeight="1">
      <c r="A8" s="67">
        <v>2012</v>
      </c>
      <c r="B8" s="33">
        <v>131623.15</v>
      </c>
      <c r="C8" s="33">
        <v>74450.149999999994</v>
      </c>
      <c r="D8" s="33">
        <v>36652.21</v>
      </c>
      <c r="E8" s="33">
        <v>24066.1</v>
      </c>
      <c r="F8" s="33">
        <v>4367.59</v>
      </c>
      <c r="G8" s="33">
        <v>57173</v>
      </c>
      <c r="H8" s="33">
        <v>18301.25</v>
      </c>
      <c r="I8" s="33">
        <v>6817.67</v>
      </c>
      <c r="J8" s="74">
        <v>6828.44</v>
      </c>
    </row>
    <row r="9" spans="1:10" s="31" customFormat="1" ht="13.5" customHeight="1">
      <c r="A9" s="67">
        <v>2013</v>
      </c>
      <c r="B9" s="33">
        <v>137184.57</v>
      </c>
      <c r="C9" s="33">
        <v>77773.98</v>
      </c>
      <c r="D9" s="33">
        <v>38624.75</v>
      </c>
      <c r="E9" s="33">
        <v>24454.080000000002</v>
      </c>
      <c r="F9" s="33">
        <v>4759.8500000000004</v>
      </c>
      <c r="G9" s="33">
        <v>59410.59</v>
      </c>
      <c r="H9" s="33">
        <v>18451.47</v>
      </c>
      <c r="I9" s="33">
        <v>7152.14</v>
      </c>
      <c r="J9" s="74">
        <v>6786.97</v>
      </c>
    </row>
    <row r="10" spans="1:10" s="31" customFormat="1" ht="13.5" customHeight="1">
      <c r="A10" s="67">
        <v>2014</v>
      </c>
      <c r="B10" s="33">
        <v>148087.47</v>
      </c>
      <c r="C10" s="33">
        <v>83610.679999999993</v>
      </c>
      <c r="D10" s="33">
        <v>40962.76</v>
      </c>
      <c r="E10" s="33">
        <v>27411.49</v>
      </c>
      <c r="F10" s="33">
        <v>4837.12</v>
      </c>
      <c r="G10" s="33">
        <v>64476.79</v>
      </c>
      <c r="H10" s="33">
        <v>20007.63</v>
      </c>
      <c r="I10" s="33">
        <v>7599.91</v>
      </c>
      <c r="J10" s="74">
        <v>7035.07</v>
      </c>
    </row>
    <row r="11" spans="1:10" s="31" customFormat="1" ht="13.5" customHeight="1">
      <c r="A11" s="67">
        <v>2015</v>
      </c>
      <c r="B11" s="33">
        <v>156641.41</v>
      </c>
      <c r="C11" s="33">
        <v>92717.86</v>
      </c>
      <c r="D11" s="33">
        <v>44152.51</v>
      </c>
      <c r="E11" s="33">
        <v>32379.63</v>
      </c>
      <c r="F11" s="33">
        <v>5017.07</v>
      </c>
      <c r="G11" s="33">
        <v>63923.55</v>
      </c>
      <c r="H11" s="33">
        <v>20640.14</v>
      </c>
      <c r="I11" s="33">
        <v>7971.03</v>
      </c>
      <c r="J11" s="74">
        <v>7571.64</v>
      </c>
    </row>
    <row r="12" spans="1:10" s="31" customFormat="1" ht="13.5" customHeight="1">
      <c r="A12" s="94"/>
      <c r="B12" s="33"/>
      <c r="C12" s="33"/>
      <c r="D12" s="33"/>
      <c r="E12" s="33"/>
      <c r="F12" s="33"/>
      <c r="G12" s="33"/>
      <c r="H12" s="33"/>
      <c r="I12" s="33"/>
      <c r="J12" s="74"/>
    </row>
    <row r="13" spans="1:10" s="31" customFormat="1" ht="13.5" customHeight="1">
      <c r="A13" s="73" t="s">
        <v>134</v>
      </c>
      <c r="B13" s="33">
        <v>226698.6</v>
      </c>
      <c r="C13" s="33">
        <v>154503.29999999999</v>
      </c>
      <c r="D13" s="33">
        <v>47349.58</v>
      </c>
      <c r="E13" s="33">
        <v>89291.23</v>
      </c>
      <c r="F13" s="33">
        <v>5258.44</v>
      </c>
      <c r="G13" s="33">
        <v>72195.3</v>
      </c>
      <c r="H13" s="33">
        <v>22346.5</v>
      </c>
      <c r="I13" s="33">
        <v>8914.2199999999993</v>
      </c>
      <c r="J13" s="74">
        <v>8145.57</v>
      </c>
    </row>
    <row r="14" spans="1:10" s="31" customFormat="1" ht="13.5" customHeight="1">
      <c r="A14" s="73" t="s">
        <v>142</v>
      </c>
      <c r="B14" s="33">
        <v>237752.7</v>
      </c>
      <c r="C14" s="33">
        <v>161199.43</v>
      </c>
      <c r="D14" s="33">
        <v>51238.79</v>
      </c>
      <c r="E14" s="33">
        <v>89345.94</v>
      </c>
      <c r="F14" s="33">
        <v>5972.85</v>
      </c>
      <c r="G14" s="33">
        <v>76553.27</v>
      </c>
      <c r="H14" s="33">
        <v>24022.31</v>
      </c>
      <c r="I14" s="33">
        <v>9590.8700000000008</v>
      </c>
      <c r="J14" s="74">
        <v>9094.51</v>
      </c>
    </row>
    <row r="15" spans="1:10" s="31" customFormat="1" ht="13.5" customHeight="1">
      <c r="A15" s="73">
        <v>2018</v>
      </c>
      <c r="B15" s="33">
        <v>236803.62</v>
      </c>
      <c r="C15" s="33">
        <v>160173.82</v>
      </c>
      <c r="D15" s="33">
        <v>53539.87</v>
      </c>
      <c r="E15" s="33">
        <v>84591.46</v>
      </c>
      <c r="F15" s="33">
        <v>6305.41</v>
      </c>
      <c r="G15" s="33">
        <v>76629.8</v>
      </c>
      <c r="H15" s="33">
        <v>24980.45</v>
      </c>
      <c r="I15" s="33">
        <v>10045.77</v>
      </c>
      <c r="J15" s="74">
        <v>9016.23</v>
      </c>
    </row>
    <row r="16" spans="1:10" s="31" customFormat="1" ht="13.5" customHeight="1">
      <c r="A16" s="73">
        <v>2019</v>
      </c>
      <c r="B16" s="33">
        <v>255012.99</v>
      </c>
      <c r="C16" s="33">
        <v>169306.76</v>
      </c>
      <c r="D16" s="33">
        <v>59751.7</v>
      </c>
      <c r="E16" s="33">
        <v>84867.33</v>
      </c>
      <c r="F16" s="33">
        <v>7221.52</v>
      </c>
      <c r="G16" s="33">
        <v>85706.23</v>
      </c>
      <c r="H16" s="33">
        <v>28205.25</v>
      </c>
      <c r="I16" s="33">
        <v>11150.86</v>
      </c>
      <c r="J16" s="74">
        <v>10485.02</v>
      </c>
    </row>
    <row r="17" spans="1:20" s="31" customFormat="1" ht="13.5" customHeight="1">
      <c r="A17" s="92" t="s">
        <v>154</v>
      </c>
      <c r="B17" s="33">
        <v>249394.51</v>
      </c>
      <c r="C17" s="33">
        <v>161956.07</v>
      </c>
      <c r="D17" s="33">
        <v>62257.06</v>
      </c>
      <c r="E17" s="33">
        <v>73690.679999999993</v>
      </c>
      <c r="F17" s="33">
        <v>7427.74</v>
      </c>
      <c r="G17" s="33">
        <v>87438.44</v>
      </c>
      <c r="H17" s="33">
        <v>29299.37</v>
      </c>
      <c r="I17" s="33">
        <v>11298.47</v>
      </c>
      <c r="J17" s="74">
        <v>11523.09</v>
      </c>
    </row>
    <row r="18" spans="1:20" ht="13.5" customHeight="1">
      <c r="A18" s="60"/>
      <c r="B18" s="33"/>
      <c r="C18" s="33"/>
      <c r="D18" s="33"/>
      <c r="E18" s="33"/>
      <c r="F18" s="33"/>
      <c r="G18" s="33"/>
      <c r="H18" s="33"/>
      <c r="I18" s="33"/>
      <c r="J18" s="74"/>
      <c r="K18" s="13"/>
    </row>
    <row r="19" spans="1:20" ht="13.5" customHeight="1">
      <c r="A19" s="197">
        <v>2021</v>
      </c>
      <c r="B19" s="203">
        <v>280547.75</v>
      </c>
      <c r="C19" s="203">
        <v>188553.2</v>
      </c>
      <c r="D19" s="203">
        <v>64491.42</v>
      </c>
      <c r="E19" s="203">
        <v>97085.67</v>
      </c>
      <c r="F19" s="203">
        <v>8435</v>
      </c>
      <c r="G19" s="203">
        <v>91994.55</v>
      </c>
      <c r="H19" s="203">
        <v>31622.61</v>
      </c>
      <c r="I19" s="203">
        <v>12212.43</v>
      </c>
      <c r="J19" s="204">
        <v>12489.54</v>
      </c>
      <c r="K19" s="13"/>
    </row>
    <row r="20" spans="1:20" ht="13.5" customHeight="1">
      <c r="A20" s="197">
        <v>2022</v>
      </c>
      <c r="B20" s="203">
        <v>310304.46000000002</v>
      </c>
      <c r="C20" s="203">
        <v>205286.9</v>
      </c>
      <c r="D20" s="203">
        <v>82980.399999999994</v>
      </c>
      <c r="E20" s="203">
        <v>88526.58</v>
      </c>
      <c r="F20" s="203">
        <v>10293.39</v>
      </c>
      <c r="G20" s="203">
        <v>105017.56</v>
      </c>
      <c r="H20" s="203">
        <v>34228.9</v>
      </c>
      <c r="I20" s="203">
        <v>14581.41</v>
      </c>
      <c r="J20" s="204">
        <v>13173.31</v>
      </c>
      <c r="K20" s="13"/>
    </row>
    <row r="21" spans="1:20" ht="13.5" customHeight="1">
      <c r="A21" s="197">
        <v>2023</v>
      </c>
      <c r="B21" s="203">
        <v>325276.90999999997</v>
      </c>
      <c r="C21" s="203">
        <v>215956.09</v>
      </c>
      <c r="D21" s="203">
        <v>88258.51</v>
      </c>
      <c r="E21" s="203">
        <v>92485.67</v>
      </c>
      <c r="F21" s="203">
        <v>10790.67</v>
      </c>
      <c r="G21" s="203">
        <v>109320.82</v>
      </c>
      <c r="H21" s="203">
        <v>36199.019999999997</v>
      </c>
      <c r="I21" s="203">
        <v>14979.52</v>
      </c>
      <c r="J21" s="204">
        <v>13603.16</v>
      </c>
      <c r="K21" s="13"/>
    </row>
    <row r="22" spans="1:20" ht="13.5" customHeight="1">
      <c r="A22" s="197">
        <v>2024</v>
      </c>
      <c r="B22" s="203">
        <f>B119</f>
        <v>334927.86</v>
      </c>
      <c r="C22" s="203">
        <f t="shared" ref="C22:J22" si="0">C119</f>
        <v>221299.56</v>
      </c>
      <c r="D22" s="203">
        <f t="shared" si="0"/>
        <v>82802.61</v>
      </c>
      <c r="E22" s="203">
        <f t="shared" si="0"/>
        <v>103267.35</v>
      </c>
      <c r="F22" s="203">
        <f t="shared" si="0"/>
        <v>10951.03</v>
      </c>
      <c r="G22" s="203">
        <f t="shared" si="0"/>
        <v>113628.3</v>
      </c>
      <c r="H22" s="203">
        <f t="shared" si="0"/>
        <v>36704.33</v>
      </c>
      <c r="I22" s="203">
        <f t="shared" si="0"/>
        <v>15202.08</v>
      </c>
      <c r="J22" s="204">
        <f t="shared" si="0"/>
        <v>14074.66</v>
      </c>
      <c r="K22" s="13"/>
      <c r="L22" s="260"/>
      <c r="M22" s="260"/>
      <c r="N22" s="260"/>
      <c r="O22" s="260"/>
      <c r="P22" s="260"/>
      <c r="Q22" s="260"/>
      <c r="R22" s="260"/>
      <c r="S22" s="260"/>
      <c r="T22" s="260"/>
    </row>
    <row r="23" spans="1:20" ht="13.5" customHeight="1">
      <c r="A23" s="197">
        <v>2025</v>
      </c>
      <c r="B23" s="203">
        <v>325429.05</v>
      </c>
      <c r="C23" s="203">
        <v>213657.93</v>
      </c>
      <c r="D23" s="203">
        <v>78386.509999999995</v>
      </c>
      <c r="E23" s="203">
        <v>101975.86</v>
      </c>
      <c r="F23" s="203">
        <v>10423.43</v>
      </c>
      <c r="G23" s="203">
        <v>111771.12</v>
      </c>
      <c r="H23" s="203">
        <v>36311.33</v>
      </c>
      <c r="I23" s="203">
        <v>16015.41</v>
      </c>
      <c r="J23" s="204">
        <v>14510.44</v>
      </c>
      <c r="K23" s="13"/>
      <c r="L23" s="260"/>
      <c r="M23" s="260"/>
      <c r="N23" s="260"/>
      <c r="O23" s="260"/>
      <c r="P23" s="260"/>
      <c r="Q23" s="260"/>
      <c r="R23" s="260"/>
      <c r="S23" s="260"/>
      <c r="T23" s="260"/>
    </row>
    <row r="24" spans="1:20" ht="13.5" customHeight="1">
      <c r="A24" s="60"/>
      <c r="B24" s="33"/>
      <c r="C24" s="33"/>
      <c r="D24" s="33"/>
      <c r="E24" s="33"/>
      <c r="F24" s="33"/>
      <c r="G24" s="33"/>
      <c r="H24" s="33"/>
      <c r="I24" s="33"/>
      <c r="J24" s="74"/>
      <c r="K24" s="13"/>
    </row>
    <row r="25" spans="1:20" ht="13.5" customHeight="1">
      <c r="A25" s="60">
        <v>2019.1</v>
      </c>
      <c r="B25" s="33">
        <v>247871.71</v>
      </c>
      <c r="C25" s="33">
        <v>171301.71</v>
      </c>
      <c r="D25" s="33">
        <v>53512.01</v>
      </c>
      <c r="E25" s="33">
        <v>95001.57</v>
      </c>
      <c r="F25" s="33">
        <v>6545.84</v>
      </c>
      <c r="G25" s="33">
        <v>76570</v>
      </c>
      <c r="H25" s="33">
        <v>24548.13</v>
      </c>
      <c r="I25" s="33">
        <v>10098.49</v>
      </c>
      <c r="J25" s="74">
        <v>8962.19</v>
      </c>
      <c r="K25" s="13"/>
    </row>
    <row r="26" spans="1:20" ht="13.5" customHeight="1">
      <c r="A26" s="60">
        <v>2</v>
      </c>
      <c r="B26" s="33">
        <v>264096.99</v>
      </c>
      <c r="C26" s="33">
        <v>186692.46</v>
      </c>
      <c r="D26" s="33">
        <v>60111.1</v>
      </c>
      <c r="E26" s="33">
        <v>102406.85</v>
      </c>
      <c r="F26" s="33">
        <v>6872.53</v>
      </c>
      <c r="G26" s="33">
        <v>77404.53</v>
      </c>
      <c r="H26" s="33">
        <v>25139.32</v>
      </c>
      <c r="I26" s="33">
        <v>10134.69</v>
      </c>
      <c r="J26" s="74">
        <v>9021.27</v>
      </c>
      <c r="K26" s="13"/>
    </row>
    <row r="27" spans="1:20" ht="13.5" customHeight="1">
      <c r="A27" s="60">
        <v>3</v>
      </c>
      <c r="B27" s="33">
        <v>267316.63</v>
      </c>
      <c r="C27" s="33">
        <v>188068.23</v>
      </c>
      <c r="D27" s="33">
        <v>59513.97</v>
      </c>
      <c r="E27" s="33">
        <v>104162.19</v>
      </c>
      <c r="F27" s="33">
        <v>7083.78</v>
      </c>
      <c r="G27" s="33">
        <v>79248.399999999994</v>
      </c>
      <c r="H27" s="33">
        <v>25526.65</v>
      </c>
      <c r="I27" s="33">
        <v>10392.219999999999</v>
      </c>
      <c r="J27" s="74">
        <v>9215.15</v>
      </c>
      <c r="K27" s="13"/>
    </row>
    <row r="28" spans="1:20" ht="13.5" customHeight="1">
      <c r="A28" s="60"/>
      <c r="B28" s="33"/>
      <c r="C28" s="33"/>
      <c r="D28" s="33"/>
      <c r="E28" s="33"/>
      <c r="F28" s="33"/>
      <c r="G28" s="33"/>
      <c r="H28" s="33"/>
      <c r="I28" s="33"/>
      <c r="J28" s="74"/>
      <c r="K28" s="13"/>
    </row>
    <row r="29" spans="1:20" ht="13.5" customHeight="1">
      <c r="A29" s="60">
        <v>4</v>
      </c>
      <c r="B29" s="33">
        <v>279819.89</v>
      </c>
      <c r="C29" s="33">
        <v>198227.9</v>
      </c>
      <c r="D29" s="33">
        <v>62877.15</v>
      </c>
      <c r="E29" s="33">
        <v>108876</v>
      </c>
      <c r="F29" s="33">
        <v>7678.26</v>
      </c>
      <c r="G29" s="33">
        <v>81591.990000000005</v>
      </c>
      <c r="H29" s="33">
        <v>26132.799999999999</v>
      </c>
      <c r="I29" s="33">
        <v>10591.34</v>
      </c>
      <c r="J29" s="74">
        <v>9301.94</v>
      </c>
      <c r="K29" s="13"/>
    </row>
    <row r="30" spans="1:20" ht="13.5" customHeight="1">
      <c r="A30" s="60">
        <v>5</v>
      </c>
      <c r="B30" s="33">
        <v>290278.09000000003</v>
      </c>
      <c r="C30" s="33">
        <v>207444.03</v>
      </c>
      <c r="D30" s="33">
        <v>64875.25</v>
      </c>
      <c r="E30" s="33">
        <v>115196.13</v>
      </c>
      <c r="F30" s="33">
        <v>7838.99</v>
      </c>
      <c r="G30" s="33">
        <v>82834.06</v>
      </c>
      <c r="H30" s="33">
        <v>26397.94</v>
      </c>
      <c r="I30" s="33">
        <v>10658.64</v>
      </c>
      <c r="J30" s="74">
        <v>9604.56</v>
      </c>
      <c r="K30" s="13"/>
    </row>
    <row r="31" spans="1:20" ht="13.5" customHeight="1">
      <c r="A31" s="60">
        <v>6</v>
      </c>
      <c r="B31" s="33">
        <v>297857.84000000003</v>
      </c>
      <c r="C31" s="33">
        <v>212840.98</v>
      </c>
      <c r="D31" s="33">
        <v>64699.92</v>
      </c>
      <c r="E31" s="33">
        <v>120392.15</v>
      </c>
      <c r="F31" s="33">
        <v>8003.04</v>
      </c>
      <c r="G31" s="33">
        <v>85016.86</v>
      </c>
      <c r="H31" s="33">
        <v>27030.92</v>
      </c>
      <c r="I31" s="33">
        <v>10880.16</v>
      </c>
      <c r="J31" s="74">
        <v>10127.58</v>
      </c>
      <c r="K31" s="13"/>
    </row>
    <row r="32" spans="1:20" ht="13.5" customHeight="1">
      <c r="A32" s="60"/>
      <c r="B32" s="33"/>
      <c r="C32" s="33"/>
      <c r="D32" s="33"/>
      <c r="E32" s="33"/>
      <c r="F32" s="33"/>
      <c r="G32" s="33"/>
      <c r="H32" s="33"/>
      <c r="I32" s="33"/>
      <c r="J32" s="74"/>
      <c r="K32" s="13"/>
    </row>
    <row r="33" spans="1:11" ht="13.5" customHeight="1">
      <c r="A33" s="60">
        <v>7</v>
      </c>
      <c r="B33" s="33">
        <v>289821.90999999997</v>
      </c>
      <c r="C33" s="33">
        <v>205130.28</v>
      </c>
      <c r="D33" s="33">
        <v>64763.74</v>
      </c>
      <c r="E33" s="33">
        <v>112754</v>
      </c>
      <c r="F33" s="33">
        <v>7939.23</v>
      </c>
      <c r="G33" s="33">
        <v>84691.63</v>
      </c>
      <c r="H33" s="33">
        <v>26771.7</v>
      </c>
      <c r="I33" s="33">
        <v>10937.03</v>
      </c>
      <c r="J33" s="74">
        <v>9892.6299999999992</v>
      </c>
      <c r="K33" s="13"/>
    </row>
    <row r="34" spans="1:11" ht="13.5" customHeight="1">
      <c r="A34" s="60">
        <v>8</v>
      </c>
      <c r="B34" s="33">
        <v>286254.28999999998</v>
      </c>
      <c r="C34" s="33">
        <v>199997.44</v>
      </c>
      <c r="D34" s="33">
        <v>67583.929999999993</v>
      </c>
      <c r="E34" s="33">
        <v>104443.64</v>
      </c>
      <c r="F34" s="33">
        <v>7926.26</v>
      </c>
      <c r="G34" s="33">
        <v>86256.85</v>
      </c>
      <c r="H34" s="33">
        <v>27483.53</v>
      </c>
      <c r="I34" s="33">
        <v>11029.05</v>
      </c>
      <c r="J34" s="74">
        <v>10151.08</v>
      </c>
      <c r="K34" s="13"/>
    </row>
    <row r="35" spans="1:11" ht="13.5" customHeight="1">
      <c r="A35" s="60">
        <v>9</v>
      </c>
      <c r="B35" s="33">
        <v>283498.81</v>
      </c>
      <c r="C35" s="33">
        <v>195847.06</v>
      </c>
      <c r="D35" s="33">
        <v>66129.45</v>
      </c>
      <c r="E35" s="33">
        <v>101517.36</v>
      </c>
      <c r="F35" s="33">
        <v>8035.08</v>
      </c>
      <c r="G35" s="33">
        <v>87651.75</v>
      </c>
      <c r="H35" s="33">
        <v>27943.09</v>
      </c>
      <c r="I35" s="33">
        <v>11223.86</v>
      </c>
      <c r="J35" s="74">
        <v>10454.049999999999</v>
      </c>
      <c r="K35" s="13"/>
    </row>
    <row r="36" spans="1:11" ht="13.5" customHeight="1">
      <c r="A36" s="60"/>
      <c r="B36" s="33"/>
      <c r="C36" s="33"/>
      <c r="D36" s="33"/>
      <c r="E36" s="33"/>
      <c r="F36" s="33"/>
      <c r="G36" s="33"/>
      <c r="H36" s="33"/>
      <c r="I36" s="33"/>
      <c r="J36" s="74"/>
      <c r="K36" s="13"/>
    </row>
    <row r="37" spans="1:11" ht="13.5" customHeight="1">
      <c r="A37" s="60">
        <v>10</v>
      </c>
      <c r="B37" s="33">
        <v>280326.56</v>
      </c>
      <c r="C37" s="33">
        <v>192546.29</v>
      </c>
      <c r="D37" s="33">
        <v>65659.88</v>
      </c>
      <c r="E37" s="33">
        <v>98464.76</v>
      </c>
      <c r="F37" s="33">
        <v>8048.97</v>
      </c>
      <c r="G37" s="33">
        <v>87780.27</v>
      </c>
      <c r="H37" s="33">
        <v>27830.62</v>
      </c>
      <c r="I37" s="33">
        <v>11266.54</v>
      </c>
      <c r="J37" s="74">
        <v>10502.29</v>
      </c>
      <c r="K37" s="13"/>
    </row>
    <row r="38" spans="1:11" ht="13.5" customHeight="1">
      <c r="A38" s="60">
        <v>11</v>
      </c>
      <c r="B38" s="33">
        <v>271965.93</v>
      </c>
      <c r="C38" s="33">
        <v>184011.11</v>
      </c>
      <c r="D38" s="33">
        <v>64142.39</v>
      </c>
      <c r="E38" s="33">
        <v>92623.27</v>
      </c>
      <c r="F38" s="33">
        <v>7679.15</v>
      </c>
      <c r="G38" s="33">
        <v>87954.82</v>
      </c>
      <c r="H38" s="33">
        <v>28140.99</v>
      </c>
      <c r="I38" s="33">
        <v>11330.04</v>
      </c>
      <c r="J38" s="74">
        <v>10364.719999999999</v>
      </c>
      <c r="K38" s="13"/>
    </row>
    <row r="39" spans="1:11" ht="13.5" customHeight="1">
      <c r="A39" s="60">
        <v>12</v>
      </c>
      <c r="B39" s="33">
        <v>255012.99</v>
      </c>
      <c r="C39" s="33">
        <v>169306.76</v>
      </c>
      <c r="D39" s="33">
        <v>59751.7</v>
      </c>
      <c r="E39" s="33">
        <v>84867.33</v>
      </c>
      <c r="F39" s="33">
        <v>7221.52</v>
      </c>
      <c r="G39" s="33">
        <v>85706.23</v>
      </c>
      <c r="H39" s="33">
        <v>28205.25</v>
      </c>
      <c r="I39" s="33">
        <v>11150.86</v>
      </c>
      <c r="J39" s="74">
        <v>10485.02</v>
      </c>
      <c r="K39" s="13"/>
    </row>
    <row r="40" spans="1:11" ht="13.5" customHeight="1">
      <c r="A40" s="60"/>
      <c r="B40" s="33"/>
      <c r="C40" s="33"/>
      <c r="D40" s="33"/>
      <c r="E40" s="33"/>
      <c r="F40" s="33"/>
      <c r="G40" s="33"/>
      <c r="H40" s="33"/>
      <c r="I40" s="33"/>
      <c r="J40" s="74"/>
      <c r="K40" s="13"/>
    </row>
    <row r="41" spans="1:11" ht="13.5" customHeight="1">
      <c r="A41" s="60">
        <v>2020.1</v>
      </c>
      <c r="B41" s="33">
        <v>257160.88</v>
      </c>
      <c r="C41" s="33">
        <v>171124.46</v>
      </c>
      <c r="D41" s="33">
        <v>62622.05</v>
      </c>
      <c r="E41" s="33">
        <v>83382.28</v>
      </c>
      <c r="F41" s="33">
        <v>7295.07</v>
      </c>
      <c r="G41" s="33">
        <v>86036.42</v>
      </c>
      <c r="H41" s="33">
        <v>27859.18</v>
      </c>
      <c r="I41" s="33">
        <v>11498.96</v>
      </c>
      <c r="J41" s="74">
        <v>10453.290000000001</v>
      </c>
      <c r="K41" s="13"/>
    </row>
    <row r="42" spans="1:11" ht="13.5" customHeight="1">
      <c r="A42" s="60">
        <v>2</v>
      </c>
      <c r="B42" s="33">
        <v>274675.77</v>
      </c>
      <c r="C42" s="33">
        <v>184972.08</v>
      </c>
      <c r="D42" s="33">
        <v>67009.33</v>
      </c>
      <c r="E42" s="33">
        <v>91008.47</v>
      </c>
      <c r="F42" s="33">
        <v>7736.31</v>
      </c>
      <c r="G42" s="33">
        <v>89703.69</v>
      </c>
      <c r="H42" s="33">
        <v>29130.25</v>
      </c>
      <c r="I42" s="33">
        <v>11804.26</v>
      </c>
      <c r="J42" s="74">
        <v>10628.51</v>
      </c>
      <c r="K42" s="13"/>
    </row>
    <row r="43" spans="1:11" ht="13.5" customHeight="1">
      <c r="A43" s="60">
        <v>3</v>
      </c>
      <c r="B43" s="33">
        <v>273998.44</v>
      </c>
      <c r="C43" s="33">
        <v>182381.15</v>
      </c>
      <c r="D43" s="33">
        <v>62795.59</v>
      </c>
      <c r="E43" s="33">
        <v>92721.3</v>
      </c>
      <c r="F43" s="33">
        <v>7744.6</v>
      </c>
      <c r="G43" s="33">
        <v>91617.29</v>
      </c>
      <c r="H43" s="33">
        <v>29642.82</v>
      </c>
      <c r="I43" s="33">
        <v>12024.79</v>
      </c>
      <c r="J43" s="74">
        <v>10875.96</v>
      </c>
      <c r="K43" s="13"/>
    </row>
    <row r="44" spans="1:11" ht="13.5" customHeight="1">
      <c r="A44" s="83"/>
      <c r="B44" s="33"/>
      <c r="C44" s="33"/>
      <c r="D44" s="33"/>
      <c r="E44" s="33"/>
      <c r="F44" s="33"/>
      <c r="G44" s="33"/>
      <c r="H44" s="33"/>
      <c r="I44" s="33"/>
      <c r="J44" s="74"/>
      <c r="K44" s="13"/>
    </row>
    <row r="45" spans="1:11" ht="13.5" customHeight="1">
      <c r="A45" s="83">
        <v>4</v>
      </c>
      <c r="B45" s="33">
        <v>285497.01</v>
      </c>
      <c r="C45" s="33">
        <v>193619.84</v>
      </c>
      <c r="D45" s="33">
        <v>63435.199999999997</v>
      </c>
      <c r="E45" s="33">
        <v>103231.67</v>
      </c>
      <c r="F45" s="33">
        <v>7748.1</v>
      </c>
      <c r="G45" s="33">
        <v>91877.17</v>
      </c>
      <c r="H45" s="33">
        <v>29759.09</v>
      </c>
      <c r="I45" s="33">
        <v>12076.81</v>
      </c>
      <c r="J45" s="74">
        <v>11084.07</v>
      </c>
      <c r="K45" s="13"/>
    </row>
    <row r="46" spans="1:11" ht="13.5" customHeight="1">
      <c r="A46" s="83">
        <v>5</v>
      </c>
      <c r="B46" s="33">
        <v>275688.63</v>
      </c>
      <c r="C46" s="33">
        <v>183554.77</v>
      </c>
      <c r="D46" s="33">
        <v>66929.67</v>
      </c>
      <c r="E46" s="33">
        <v>89150.97</v>
      </c>
      <c r="F46" s="33">
        <v>7947.02</v>
      </c>
      <c r="G46" s="33">
        <v>92133.86</v>
      </c>
      <c r="H46" s="33">
        <v>29885.94</v>
      </c>
      <c r="I46" s="33">
        <v>11891.51</v>
      </c>
      <c r="J46" s="74">
        <v>11276.94</v>
      </c>
      <c r="K46" s="13"/>
    </row>
    <row r="47" spans="1:11" ht="13.5" customHeight="1">
      <c r="A47" s="83">
        <v>6</v>
      </c>
      <c r="B47" s="33">
        <v>280599.05</v>
      </c>
      <c r="C47" s="33">
        <v>187940.22</v>
      </c>
      <c r="D47" s="33">
        <v>65153.49</v>
      </c>
      <c r="E47" s="33">
        <v>94995.01</v>
      </c>
      <c r="F47" s="33">
        <v>7982.94</v>
      </c>
      <c r="G47" s="33">
        <v>92658.83</v>
      </c>
      <c r="H47" s="33">
        <v>30236</v>
      </c>
      <c r="I47" s="33">
        <v>11946.15</v>
      </c>
      <c r="J47" s="74">
        <v>11249.89</v>
      </c>
      <c r="K47" s="13"/>
    </row>
    <row r="48" spans="1:11" ht="13.5" customHeight="1">
      <c r="A48" s="83"/>
      <c r="B48" s="33"/>
      <c r="C48" s="33"/>
      <c r="D48" s="33"/>
      <c r="E48" s="33"/>
      <c r="F48" s="33"/>
      <c r="G48" s="33"/>
      <c r="H48" s="33"/>
      <c r="I48" s="33"/>
      <c r="J48" s="74"/>
      <c r="K48" s="13"/>
    </row>
    <row r="49" spans="1:11" ht="13.5" customHeight="1">
      <c r="A49" s="83">
        <v>7</v>
      </c>
      <c r="B49" s="33">
        <v>271712.03000000003</v>
      </c>
      <c r="C49" s="33">
        <v>180490.95</v>
      </c>
      <c r="D49" s="33">
        <v>63782.31</v>
      </c>
      <c r="E49" s="33">
        <v>89613.98</v>
      </c>
      <c r="F49" s="33">
        <v>7697.38</v>
      </c>
      <c r="G49" s="33">
        <v>91221.08</v>
      </c>
      <c r="H49" s="33">
        <v>29649.29</v>
      </c>
      <c r="I49" s="33">
        <v>11580.73</v>
      </c>
      <c r="J49" s="74">
        <v>11253.13</v>
      </c>
      <c r="K49" s="13"/>
    </row>
    <row r="50" spans="1:11" ht="13.5" customHeight="1">
      <c r="A50" s="83">
        <v>8</v>
      </c>
      <c r="B50" s="33">
        <v>265572.46999999997</v>
      </c>
      <c r="C50" s="33">
        <v>174362.38</v>
      </c>
      <c r="D50" s="33">
        <v>65418.77</v>
      </c>
      <c r="E50" s="33">
        <v>81852.490000000005</v>
      </c>
      <c r="F50" s="33">
        <v>7717.41</v>
      </c>
      <c r="G50" s="33">
        <v>91210.09</v>
      </c>
      <c r="H50" s="33">
        <v>29713.07</v>
      </c>
      <c r="I50" s="33">
        <v>11529.25</v>
      </c>
      <c r="J50" s="74">
        <v>11351.32</v>
      </c>
      <c r="K50" s="13"/>
    </row>
    <row r="51" spans="1:11" ht="13.5" customHeight="1">
      <c r="A51" s="83">
        <v>9</v>
      </c>
      <c r="B51" s="33">
        <v>261690.29</v>
      </c>
      <c r="C51" s="33">
        <v>170743.12</v>
      </c>
      <c r="D51" s="33">
        <v>65471.29</v>
      </c>
      <c r="E51" s="33">
        <v>78286.990000000005</v>
      </c>
      <c r="F51" s="33">
        <v>7778.71</v>
      </c>
      <c r="G51" s="33">
        <v>90947.17</v>
      </c>
      <c r="H51" s="33">
        <v>29959.62</v>
      </c>
      <c r="I51" s="33">
        <v>11593.52</v>
      </c>
      <c r="J51" s="74">
        <v>11266.49</v>
      </c>
      <c r="K51" s="13"/>
    </row>
    <row r="52" spans="1:11" ht="13.5" customHeight="1">
      <c r="A52" s="83"/>
      <c r="B52" s="33"/>
      <c r="C52" s="33"/>
      <c r="D52" s="33"/>
      <c r="E52" s="33"/>
      <c r="F52" s="33"/>
      <c r="G52" s="33"/>
      <c r="H52" s="33"/>
      <c r="I52" s="33"/>
      <c r="J52" s="74"/>
      <c r="K52" s="13"/>
    </row>
    <row r="53" spans="1:11" ht="13.5" customHeight="1">
      <c r="A53" s="83">
        <v>10</v>
      </c>
      <c r="B53" s="33">
        <v>260904.23</v>
      </c>
      <c r="C53" s="33">
        <v>170708.96</v>
      </c>
      <c r="D53" s="33">
        <v>65821.3</v>
      </c>
      <c r="E53" s="33">
        <v>77421.75</v>
      </c>
      <c r="F53" s="33">
        <v>7890.67</v>
      </c>
      <c r="G53" s="33">
        <v>90195.27</v>
      </c>
      <c r="H53" s="33">
        <v>29706.720000000001</v>
      </c>
      <c r="I53" s="33">
        <v>11391.54</v>
      </c>
      <c r="J53" s="74">
        <v>11291.25</v>
      </c>
      <c r="K53" s="13"/>
    </row>
    <row r="54" spans="1:11" ht="13.5" customHeight="1">
      <c r="A54" s="83">
        <v>11</v>
      </c>
      <c r="B54" s="33">
        <v>259529.04</v>
      </c>
      <c r="C54" s="33">
        <v>169256.81</v>
      </c>
      <c r="D54" s="33">
        <v>66883.199999999997</v>
      </c>
      <c r="E54" s="33">
        <v>75108.149999999994</v>
      </c>
      <c r="F54" s="33">
        <v>7769.39</v>
      </c>
      <c r="G54" s="33">
        <v>90272.23</v>
      </c>
      <c r="H54" s="33">
        <v>29485.58</v>
      </c>
      <c r="I54" s="33">
        <v>11295.33</v>
      </c>
      <c r="J54" s="74">
        <v>11626.48</v>
      </c>
      <c r="K54" s="13"/>
    </row>
    <row r="55" spans="1:11" ht="13.5" customHeight="1">
      <c r="A55" s="83">
        <v>12</v>
      </c>
      <c r="B55" s="33">
        <v>249394.51</v>
      </c>
      <c r="C55" s="33">
        <v>161956.07</v>
      </c>
      <c r="D55" s="33">
        <v>62257.06</v>
      </c>
      <c r="E55" s="33">
        <v>73690.679999999993</v>
      </c>
      <c r="F55" s="33">
        <v>7427.74</v>
      </c>
      <c r="G55" s="33">
        <v>87438.44</v>
      </c>
      <c r="H55" s="33">
        <v>29299.37</v>
      </c>
      <c r="I55" s="33">
        <v>11298.47</v>
      </c>
      <c r="J55" s="74">
        <v>11523.09</v>
      </c>
      <c r="K55" s="13"/>
    </row>
    <row r="56" spans="1:11" ht="13.5" customHeight="1">
      <c r="A56" s="83"/>
      <c r="B56" s="33"/>
      <c r="C56" s="33"/>
      <c r="D56" s="33"/>
      <c r="E56" s="33"/>
      <c r="F56" s="33"/>
      <c r="G56" s="33"/>
      <c r="H56" s="33"/>
      <c r="I56" s="33"/>
      <c r="J56" s="74"/>
      <c r="K56" s="13"/>
    </row>
    <row r="57" spans="1:11" ht="13.5" customHeight="1">
      <c r="A57" s="83">
        <v>2021.1</v>
      </c>
      <c r="B57" s="33">
        <v>257767.57</v>
      </c>
      <c r="C57" s="33">
        <v>171560.23</v>
      </c>
      <c r="D57" s="33">
        <v>63283.99</v>
      </c>
      <c r="E57" s="33">
        <v>82259.91</v>
      </c>
      <c r="F57" s="33">
        <v>7441.92</v>
      </c>
      <c r="G57" s="33">
        <v>86207.34</v>
      </c>
      <c r="H57" s="33">
        <v>28586.77</v>
      </c>
      <c r="I57" s="33">
        <v>11325.04</v>
      </c>
      <c r="J57" s="74">
        <v>11401.32</v>
      </c>
      <c r="K57" s="13"/>
    </row>
    <row r="58" spans="1:11" ht="13.5" customHeight="1">
      <c r="A58" s="83">
        <v>2</v>
      </c>
      <c r="B58" s="33">
        <v>270743.21999999997</v>
      </c>
      <c r="C58" s="33">
        <v>181632.25</v>
      </c>
      <c r="D58" s="33">
        <v>67069.47</v>
      </c>
      <c r="E58" s="33">
        <v>87294.37</v>
      </c>
      <c r="F58" s="33">
        <v>7819.74</v>
      </c>
      <c r="G58" s="33">
        <v>89110.97</v>
      </c>
      <c r="H58" s="33">
        <v>29642.45</v>
      </c>
      <c r="I58" s="33">
        <v>11545.58</v>
      </c>
      <c r="J58" s="74">
        <v>11851.38</v>
      </c>
      <c r="K58" s="13"/>
    </row>
    <row r="59" spans="1:11" ht="13.5" customHeight="1">
      <c r="A59" s="83">
        <v>3</v>
      </c>
      <c r="B59" s="33">
        <v>268025.39</v>
      </c>
      <c r="C59" s="33">
        <v>177438.75</v>
      </c>
      <c r="D59" s="33">
        <v>63993.96</v>
      </c>
      <c r="E59" s="33">
        <v>84783.4</v>
      </c>
      <c r="F59" s="33">
        <v>8121.3</v>
      </c>
      <c r="G59" s="33">
        <v>90586.64</v>
      </c>
      <c r="H59" s="33">
        <v>30286.74</v>
      </c>
      <c r="I59" s="33">
        <v>11748.72</v>
      </c>
      <c r="J59" s="74">
        <v>11899.18</v>
      </c>
      <c r="K59" s="13"/>
    </row>
    <row r="60" spans="1:11" ht="13.5" customHeight="1">
      <c r="A60" s="83"/>
      <c r="B60" s="33"/>
      <c r="C60" s="33"/>
      <c r="D60" s="33"/>
      <c r="E60" s="33"/>
      <c r="F60" s="33"/>
      <c r="G60" s="33"/>
      <c r="H60" s="33"/>
      <c r="I60" s="33"/>
      <c r="J60" s="74"/>
      <c r="K60" s="13"/>
    </row>
    <row r="61" spans="1:11" ht="13.5" customHeight="1">
      <c r="A61" s="83">
        <v>4</v>
      </c>
      <c r="B61" s="33">
        <v>270834.78999999998</v>
      </c>
      <c r="C61" s="33">
        <v>181097.79</v>
      </c>
      <c r="D61" s="33">
        <v>63268.61</v>
      </c>
      <c r="E61" s="33">
        <v>88964.78</v>
      </c>
      <c r="F61" s="33">
        <v>8187.99</v>
      </c>
      <c r="G61" s="33">
        <v>89737</v>
      </c>
      <c r="H61" s="33">
        <v>30365.61</v>
      </c>
      <c r="I61" s="33">
        <v>11377.35</v>
      </c>
      <c r="J61" s="74">
        <v>11789.67</v>
      </c>
      <c r="K61" s="13"/>
    </row>
    <row r="62" spans="1:11" ht="13.5" customHeight="1">
      <c r="A62" s="83">
        <v>5</v>
      </c>
      <c r="B62" s="33">
        <v>280521.84999999998</v>
      </c>
      <c r="C62" s="33">
        <v>189149.21</v>
      </c>
      <c r="D62" s="33">
        <v>66791.81</v>
      </c>
      <c r="E62" s="33">
        <v>93373.21</v>
      </c>
      <c r="F62" s="33">
        <v>8340.32</v>
      </c>
      <c r="G62" s="33">
        <v>91372.64</v>
      </c>
      <c r="H62" s="33">
        <v>30723.02</v>
      </c>
      <c r="I62" s="33">
        <v>11582.47</v>
      </c>
      <c r="J62" s="74">
        <v>11972.3</v>
      </c>
      <c r="K62" s="13"/>
    </row>
    <row r="63" spans="1:11" ht="13.5" customHeight="1">
      <c r="A63" s="83">
        <v>6</v>
      </c>
      <c r="B63" s="33">
        <v>292457.05</v>
      </c>
      <c r="C63" s="33">
        <v>199605.53</v>
      </c>
      <c r="D63" s="33">
        <v>66351.61</v>
      </c>
      <c r="E63" s="33">
        <v>103240.78</v>
      </c>
      <c r="F63" s="33">
        <v>8649.52</v>
      </c>
      <c r="G63" s="33">
        <v>92851.520000000004</v>
      </c>
      <c r="H63" s="33">
        <v>31233.95</v>
      </c>
      <c r="I63" s="33">
        <v>11761.47</v>
      </c>
      <c r="J63" s="74">
        <v>12134.47</v>
      </c>
      <c r="K63" s="13"/>
    </row>
    <row r="64" spans="1:11" ht="13.5" customHeight="1">
      <c r="A64" s="83"/>
      <c r="B64" s="33"/>
      <c r="C64" s="33"/>
      <c r="D64" s="33"/>
      <c r="E64" s="33"/>
      <c r="F64" s="33"/>
      <c r="G64" s="33"/>
      <c r="H64" s="33"/>
      <c r="I64" s="33"/>
      <c r="J64" s="74"/>
      <c r="K64" s="13"/>
    </row>
    <row r="65" spans="1:11" ht="13.5" customHeight="1">
      <c r="A65" s="83">
        <v>7</v>
      </c>
      <c r="B65" s="33">
        <v>282745.34000000003</v>
      </c>
      <c r="C65" s="33">
        <v>189043.22</v>
      </c>
      <c r="D65" s="33">
        <v>64445.25</v>
      </c>
      <c r="E65" s="33">
        <v>95343.14</v>
      </c>
      <c r="F65" s="33">
        <v>8519.4599999999991</v>
      </c>
      <c r="G65" s="33">
        <v>93702.12</v>
      </c>
      <c r="H65" s="33">
        <v>30951.91</v>
      </c>
      <c r="I65" s="33">
        <v>11766.21</v>
      </c>
      <c r="J65" s="74">
        <v>12134.3</v>
      </c>
      <c r="K65" s="13"/>
    </row>
    <row r="66" spans="1:11" ht="13.5" customHeight="1">
      <c r="A66" s="83">
        <v>8</v>
      </c>
      <c r="B66" s="33">
        <v>293382.7</v>
      </c>
      <c r="C66" s="33">
        <v>200156.42</v>
      </c>
      <c r="D66" s="33">
        <v>69409.86</v>
      </c>
      <c r="E66" s="33">
        <v>101509.91</v>
      </c>
      <c r="F66" s="33">
        <v>8560.11</v>
      </c>
      <c r="G66" s="33">
        <v>93226.28</v>
      </c>
      <c r="H66" s="33">
        <v>31413.05</v>
      </c>
      <c r="I66" s="33">
        <v>11779.96</v>
      </c>
      <c r="J66" s="74">
        <v>12135.25</v>
      </c>
      <c r="K66" s="13"/>
    </row>
    <row r="67" spans="1:11" ht="13.5" customHeight="1">
      <c r="A67" s="83">
        <v>9</v>
      </c>
      <c r="B67" s="33">
        <v>290642.58</v>
      </c>
      <c r="C67" s="33">
        <v>197274.43</v>
      </c>
      <c r="D67" s="33">
        <v>67450.539999999994</v>
      </c>
      <c r="E67" s="33">
        <v>100544.79</v>
      </c>
      <c r="F67" s="33">
        <v>8585.57</v>
      </c>
      <c r="G67" s="33">
        <v>93368.15</v>
      </c>
      <c r="H67" s="33">
        <v>31542.7</v>
      </c>
      <c r="I67" s="33">
        <v>11850.58</v>
      </c>
      <c r="J67" s="74">
        <v>12121.14</v>
      </c>
      <c r="K67" s="13"/>
    </row>
    <row r="68" spans="1:11" ht="13.5" customHeight="1">
      <c r="A68" s="83"/>
      <c r="B68" s="33"/>
      <c r="C68" s="33"/>
      <c r="D68" s="33"/>
      <c r="E68" s="33"/>
      <c r="F68" s="33"/>
      <c r="G68" s="33"/>
      <c r="H68" s="33"/>
      <c r="I68" s="33"/>
      <c r="J68" s="74"/>
      <c r="K68" s="13"/>
    </row>
    <row r="69" spans="1:11" ht="13.5" customHeight="1">
      <c r="A69" s="83">
        <v>10</v>
      </c>
      <c r="B69" s="33">
        <v>291362.12</v>
      </c>
      <c r="C69" s="33">
        <v>197116.11</v>
      </c>
      <c r="D69" s="33">
        <v>68045.11</v>
      </c>
      <c r="E69" s="33">
        <v>99480.68</v>
      </c>
      <c r="F69" s="33">
        <v>8731.98</v>
      </c>
      <c r="G69" s="33">
        <v>94246.01</v>
      </c>
      <c r="H69" s="33">
        <v>31537.48</v>
      </c>
      <c r="I69" s="33">
        <v>12359.01</v>
      </c>
      <c r="J69" s="74">
        <v>12371.58</v>
      </c>
      <c r="K69" s="13"/>
    </row>
    <row r="70" spans="1:11" ht="13.5" customHeight="1">
      <c r="A70" s="83">
        <v>11</v>
      </c>
      <c r="B70" s="33">
        <v>296216.67</v>
      </c>
      <c r="C70" s="33">
        <v>202987.37</v>
      </c>
      <c r="D70" s="33">
        <v>69573.66</v>
      </c>
      <c r="E70" s="33">
        <v>103815.07</v>
      </c>
      <c r="F70" s="33">
        <v>9135.65</v>
      </c>
      <c r="G70" s="33">
        <v>93229.3</v>
      </c>
      <c r="H70" s="33">
        <v>31659.78</v>
      </c>
      <c r="I70" s="33">
        <v>11888.42</v>
      </c>
      <c r="J70" s="74">
        <v>12318.77</v>
      </c>
      <c r="K70" s="13"/>
    </row>
    <row r="71" spans="1:11" ht="13.5" customHeight="1">
      <c r="A71" s="83">
        <v>12</v>
      </c>
      <c r="B71" s="33">
        <v>280547.75</v>
      </c>
      <c r="C71" s="33">
        <v>188553.2</v>
      </c>
      <c r="D71" s="33">
        <v>64491.42</v>
      </c>
      <c r="E71" s="33">
        <v>97085.67</v>
      </c>
      <c r="F71" s="33">
        <v>8435</v>
      </c>
      <c r="G71" s="33">
        <v>91994.55</v>
      </c>
      <c r="H71" s="33">
        <v>31622.61</v>
      </c>
      <c r="I71" s="33">
        <v>12212.43</v>
      </c>
      <c r="J71" s="74">
        <v>12489.54</v>
      </c>
      <c r="K71" s="13"/>
    </row>
    <row r="72" spans="1:11" ht="13.5" customHeight="1">
      <c r="A72" s="83"/>
      <c r="B72" s="33"/>
      <c r="C72" s="33"/>
      <c r="D72" s="33"/>
      <c r="E72" s="33"/>
      <c r="F72" s="33"/>
      <c r="G72" s="33"/>
      <c r="H72" s="33"/>
      <c r="I72" s="33"/>
      <c r="J72" s="74"/>
      <c r="K72" s="13"/>
    </row>
    <row r="73" spans="1:11" ht="13.5" customHeight="1">
      <c r="A73" s="83">
        <v>2022.1</v>
      </c>
      <c r="B73" s="33">
        <v>285878.49</v>
      </c>
      <c r="C73" s="33">
        <v>195121.79</v>
      </c>
      <c r="D73" s="33">
        <v>66134.92</v>
      </c>
      <c r="E73" s="33">
        <v>102286.66</v>
      </c>
      <c r="F73" s="33">
        <v>8407.7199999999993</v>
      </c>
      <c r="G73" s="33">
        <v>90756.7</v>
      </c>
      <c r="H73" s="33">
        <v>30387.8</v>
      </c>
      <c r="I73" s="33">
        <v>12344.18</v>
      </c>
      <c r="J73" s="74">
        <v>12385.29</v>
      </c>
      <c r="K73" s="13"/>
    </row>
    <row r="74" spans="1:11" ht="13.5" customHeight="1">
      <c r="A74" s="83">
        <v>2</v>
      </c>
      <c r="B74" s="33">
        <v>301399.21999999997</v>
      </c>
      <c r="C74" s="33">
        <v>209490.01</v>
      </c>
      <c r="D74" s="33">
        <v>74728.759999999995</v>
      </c>
      <c r="E74" s="33">
        <v>107361.19</v>
      </c>
      <c r="F74" s="33">
        <v>8589.49</v>
      </c>
      <c r="G74" s="33">
        <v>91909.21</v>
      </c>
      <c r="H74" s="33">
        <v>31906.93</v>
      </c>
      <c r="I74" s="33">
        <v>11988.57</v>
      </c>
      <c r="J74" s="74">
        <v>11983.07</v>
      </c>
      <c r="K74" s="13"/>
    </row>
    <row r="75" spans="1:11" ht="13.5" customHeight="1">
      <c r="A75" s="83">
        <v>3</v>
      </c>
      <c r="B75" s="33">
        <v>311480.25</v>
      </c>
      <c r="C75" s="33">
        <v>217551.38</v>
      </c>
      <c r="D75" s="33">
        <v>72385.490000000005</v>
      </c>
      <c r="E75" s="33">
        <v>116758.93</v>
      </c>
      <c r="F75" s="33">
        <v>8856.2800000000007</v>
      </c>
      <c r="G75" s="33">
        <v>93928.87</v>
      </c>
      <c r="H75" s="33">
        <v>31227.13</v>
      </c>
      <c r="I75" s="33">
        <v>13138.22</v>
      </c>
      <c r="J75" s="74">
        <v>12264.34</v>
      </c>
      <c r="K75" s="13"/>
    </row>
    <row r="76" spans="1:11" ht="13.5" customHeight="1">
      <c r="A76" s="83"/>
      <c r="B76" s="33"/>
      <c r="C76" s="33"/>
      <c r="D76" s="33"/>
      <c r="E76" s="33"/>
      <c r="F76" s="33"/>
      <c r="G76" s="33"/>
      <c r="H76" s="33"/>
      <c r="I76" s="33"/>
      <c r="J76" s="74"/>
      <c r="K76" s="13"/>
    </row>
    <row r="77" spans="1:11" ht="13.5" customHeight="1">
      <c r="A77" s="83">
        <v>4</v>
      </c>
      <c r="B77" s="33">
        <v>326060.67</v>
      </c>
      <c r="C77" s="33">
        <v>227636.23</v>
      </c>
      <c r="D77" s="33">
        <v>76686.64</v>
      </c>
      <c r="E77" s="33">
        <v>119700.77</v>
      </c>
      <c r="F77" s="33">
        <v>9426.24</v>
      </c>
      <c r="G77" s="33">
        <v>98424.44</v>
      </c>
      <c r="H77" s="33">
        <v>32279.94</v>
      </c>
      <c r="I77" s="33">
        <v>13153.27</v>
      </c>
      <c r="J77" s="74">
        <v>12457.37</v>
      </c>
      <c r="K77" s="13"/>
    </row>
    <row r="78" spans="1:11" ht="13.5" customHeight="1">
      <c r="A78" s="83">
        <v>5</v>
      </c>
      <c r="B78" s="33">
        <v>342665.89</v>
      </c>
      <c r="C78" s="33">
        <v>239216.05</v>
      </c>
      <c r="D78" s="33">
        <v>80851.839999999997</v>
      </c>
      <c r="E78" s="33">
        <v>125655.26</v>
      </c>
      <c r="F78" s="33">
        <v>9847.59</v>
      </c>
      <c r="G78" s="33">
        <v>103449.84</v>
      </c>
      <c r="H78" s="33">
        <v>33089.760000000002</v>
      </c>
      <c r="I78" s="33">
        <v>13605.69</v>
      </c>
      <c r="J78" s="74">
        <v>12901.12</v>
      </c>
      <c r="K78" s="13"/>
    </row>
    <row r="79" spans="1:11" ht="13.5" customHeight="1">
      <c r="A79" s="83">
        <v>6</v>
      </c>
      <c r="B79" s="33">
        <v>338795.31</v>
      </c>
      <c r="C79" s="33">
        <v>233153.75</v>
      </c>
      <c r="D79" s="33">
        <v>80177.25</v>
      </c>
      <c r="E79" s="33">
        <v>119106.03</v>
      </c>
      <c r="F79" s="33">
        <v>10168.450000000001</v>
      </c>
      <c r="G79" s="33">
        <v>105641.56</v>
      </c>
      <c r="H79" s="33">
        <v>33665.800000000003</v>
      </c>
      <c r="I79" s="33">
        <v>14043.68</v>
      </c>
      <c r="J79" s="74">
        <v>13250.12</v>
      </c>
      <c r="K79" s="13"/>
    </row>
    <row r="80" spans="1:11" ht="13.5" customHeight="1">
      <c r="A80" s="83"/>
      <c r="B80" s="33"/>
      <c r="C80" s="33"/>
      <c r="D80" s="33"/>
      <c r="E80" s="33"/>
      <c r="F80" s="33"/>
      <c r="G80" s="33"/>
      <c r="H80" s="33"/>
      <c r="I80" s="33"/>
      <c r="J80" s="74"/>
      <c r="K80" s="13"/>
    </row>
    <row r="81" spans="1:11" ht="13.5" customHeight="1">
      <c r="A81" s="83">
        <v>7</v>
      </c>
      <c r="B81" s="33">
        <v>332797.38</v>
      </c>
      <c r="C81" s="33">
        <v>227001.34</v>
      </c>
      <c r="D81" s="33">
        <v>80233.77</v>
      </c>
      <c r="E81" s="33">
        <v>112595.73</v>
      </c>
      <c r="F81" s="33">
        <v>10026.84</v>
      </c>
      <c r="G81" s="33">
        <v>105796.04</v>
      </c>
      <c r="H81" s="33">
        <v>33551.67</v>
      </c>
      <c r="I81" s="33">
        <v>14078.59</v>
      </c>
      <c r="J81" s="74">
        <v>13050.09</v>
      </c>
      <c r="K81" s="13"/>
    </row>
    <row r="82" spans="1:11" ht="13.5" customHeight="1">
      <c r="A82" s="83">
        <v>8</v>
      </c>
      <c r="B82" s="33">
        <v>334374.18</v>
      </c>
      <c r="C82" s="33">
        <v>228683.31</v>
      </c>
      <c r="D82" s="33">
        <v>82424.039999999994</v>
      </c>
      <c r="E82" s="33">
        <v>111069.77</v>
      </c>
      <c r="F82" s="33">
        <v>10364.280000000001</v>
      </c>
      <c r="G82" s="33">
        <v>105690.87</v>
      </c>
      <c r="H82" s="33">
        <v>33932.769999999997</v>
      </c>
      <c r="I82" s="33">
        <v>14660.92</v>
      </c>
      <c r="J82" s="74">
        <v>13112.78</v>
      </c>
      <c r="K82" s="13"/>
    </row>
    <row r="83" spans="1:11" ht="13.5" customHeight="1">
      <c r="A83" s="83">
        <v>9</v>
      </c>
      <c r="B83" s="33">
        <v>334014.65000000002</v>
      </c>
      <c r="C83" s="33">
        <v>227685.15</v>
      </c>
      <c r="D83" s="33">
        <v>83960.51</v>
      </c>
      <c r="E83" s="33">
        <v>107799.7</v>
      </c>
      <c r="F83" s="33">
        <v>11032.7</v>
      </c>
      <c r="G83" s="33">
        <v>106329.5</v>
      </c>
      <c r="H83" s="33">
        <v>34735.11</v>
      </c>
      <c r="I83" s="33">
        <v>14435.62</v>
      </c>
      <c r="J83" s="74">
        <v>13074.13</v>
      </c>
      <c r="K83" s="13"/>
    </row>
    <row r="84" spans="1:11" ht="13.5" customHeight="1">
      <c r="A84" s="83"/>
      <c r="B84" s="33"/>
      <c r="C84" s="33"/>
      <c r="D84" s="33"/>
      <c r="E84" s="33"/>
      <c r="F84" s="33"/>
      <c r="G84" s="33"/>
      <c r="H84" s="33"/>
      <c r="I84" s="33"/>
      <c r="J84" s="74"/>
      <c r="K84" s="13"/>
    </row>
    <row r="85" spans="1:11" ht="13.5" customHeight="1">
      <c r="A85" s="83">
        <v>10</v>
      </c>
      <c r="B85" s="33">
        <v>336435.16</v>
      </c>
      <c r="C85" s="33">
        <v>228659.55</v>
      </c>
      <c r="D85" s="33">
        <v>87918.55</v>
      </c>
      <c r="E85" s="33">
        <v>105171.7</v>
      </c>
      <c r="F85" s="33">
        <v>10871.98</v>
      </c>
      <c r="G85" s="33">
        <v>107775.61</v>
      </c>
      <c r="H85" s="33">
        <v>34890.74</v>
      </c>
      <c r="I85" s="33">
        <v>14678.27</v>
      </c>
      <c r="J85" s="74">
        <v>13268.64</v>
      </c>
      <c r="K85" s="13"/>
    </row>
    <row r="86" spans="1:11" ht="13.5" customHeight="1">
      <c r="A86" s="83">
        <v>11</v>
      </c>
      <c r="B86" s="33">
        <v>330174.90999999997</v>
      </c>
      <c r="C86" s="33">
        <v>221413.85</v>
      </c>
      <c r="D86" s="33">
        <v>89278.35</v>
      </c>
      <c r="E86" s="33">
        <v>96243.23</v>
      </c>
      <c r="F86" s="33">
        <v>10787.21</v>
      </c>
      <c r="G86" s="33">
        <v>108761.06</v>
      </c>
      <c r="H86" s="33">
        <v>35720</v>
      </c>
      <c r="I86" s="33">
        <v>14775.1</v>
      </c>
      <c r="J86" s="74">
        <v>13349.15</v>
      </c>
      <c r="K86" s="13"/>
    </row>
    <row r="87" spans="1:11" ht="13.5" customHeight="1">
      <c r="A87" s="83">
        <v>12</v>
      </c>
      <c r="B87" s="33">
        <v>310304.46000000002</v>
      </c>
      <c r="C87" s="33">
        <v>205286.9</v>
      </c>
      <c r="D87" s="33">
        <v>82980.399999999994</v>
      </c>
      <c r="E87" s="33">
        <v>88526.58</v>
      </c>
      <c r="F87" s="33">
        <v>10293.39</v>
      </c>
      <c r="G87" s="33">
        <v>105017.56</v>
      </c>
      <c r="H87" s="33">
        <v>34228.9</v>
      </c>
      <c r="I87" s="33">
        <v>14581.41</v>
      </c>
      <c r="J87" s="74">
        <v>13173.31</v>
      </c>
      <c r="K87" s="13"/>
    </row>
    <row r="88" spans="1:11" ht="13.5" customHeight="1">
      <c r="A88" s="83"/>
      <c r="B88" s="33"/>
      <c r="C88" s="33"/>
      <c r="D88" s="33"/>
      <c r="E88" s="33"/>
      <c r="F88" s="33"/>
      <c r="G88" s="33"/>
      <c r="H88" s="33"/>
      <c r="I88" s="33"/>
      <c r="J88" s="74"/>
      <c r="K88" s="13"/>
    </row>
    <row r="89" spans="1:11" ht="13.5" customHeight="1">
      <c r="A89" s="83">
        <v>2023.1</v>
      </c>
      <c r="B89" s="33">
        <v>311088.3</v>
      </c>
      <c r="C89" s="33">
        <v>207895.75</v>
      </c>
      <c r="D89" s="33">
        <v>82413.39</v>
      </c>
      <c r="E89" s="33">
        <v>91913.88</v>
      </c>
      <c r="F89" s="33">
        <v>10163.84</v>
      </c>
      <c r="G89" s="33">
        <v>103192.55</v>
      </c>
      <c r="H89" s="33">
        <v>33101.279999999999</v>
      </c>
      <c r="I89" s="33">
        <v>14030.31</v>
      </c>
      <c r="J89" s="74">
        <v>12798.93</v>
      </c>
      <c r="K89" s="13"/>
    </row>
    <row r="90" spans="1:11" ht="13.5" customHeight="1">
      <c r="A90" s="83">
        <v>2</v>
      </c>
      <c r="B90" s="33">
        <v>327004.13</v>
      </c>
      <c r="C90" s="33">
        <v>222349.61</v>
      </c>
      <c r="D90" s="33">
        <v>90305.46</v>
      </c>
      <c r="E90" s="33">
        <v>97073.97</v>
      </c>
      <c r="F90" s="33">
        <v>10487.93</v>
      </c>
      <c r="G90" s="33">
        <v>104654.52</v>
      </c>
      <c r="H90" s="33">
        <v>33774.160000000003</v>
      </c>
      <c r="I90" s="33">
        <v>13974.86</v>
      </c>
      <c r="J90" s="74">
        <v>12819.17</v>
      </c>
      <c r="K90" s="13"/>
    </row>
    <row r="91" spans="1:11" ht="13.5" customHeight="1">
      <c r="A91" s="83">
        <v>3</v>
      </c>
      <c r="B91" s="33">
        <v>332383.75</v>
      </c>
      <c r="C91" s="33">
        <v>225821.72</v>
      </c>
      <c r="D91" s="33">
        <v>87558.41</v>
      </c>
      <c r="E91" s="33">
        <v>102207.58</v>
      </c>
      <c r="F91" s="33">
        <v>10823.03</v>
      </c>
      <c r="G91" s="33">
        <v>106562.03</v>
      </c>
      <c r="H91" s="33">
        <v>34485.17</v>
      </c>
      <c r="I91" s="33">
        <v>13938.92</v>
      </c>
      <c r="J91" s="74">
        <v>13000.28</v>
      </c>
      <c r="K91" s="13"/>
    </row>
    <row r="92" spans="1:11" ht="13.5" customHeight="1">
      <c r="A92" s="83"/>
      <c r="B92" s="33"/>
      <c r="C92" s="33"/>
      <c r="D92" s="33"/>
      <c r="E92" s="33"/>
      <c r="F92" s="33"/>
      <c r="G92" s="33"/>
      <c r="H92" s="33"/>
      <c r="I92" s="33"/>
      <c r="J92" s="74"/>
      <c r="K92" s="13"/>
    </row>
    <row r="93" spans="1:11" ht="13.5" customHeight="1">
      <c r="A93" s="83">
        <v>4</v>
      </c>
      <c r="B93" s="33">
        <v>332986.31</v>
      </c>
      <c r="C93" s="33">
        <v>225518.11</v>
      </c>
      <c r="D93" s="33">
        <v>87338.41</v>
      </c>
      <c r="E93" s="33">
        <v>102051</v>
      </c>
      <c r="F93" s="33">
        <v>10792.69</v>
      </c>
      <c r="G93" s="33">
        <v>107468.2</v>
      </c>
      <c r="H93" s="33">
        <v>35102.49</v>
      </c>
      <c r="I93" s="33">
        <v>13982.94</v>
      </c>
      <c r="J93" s="74">
        <v>13184.4</v>
      </c>
      <c r="K93" s="13"/>
    </row>
    <row r="94" spans="1:11" ht="13.5" customHeight="1">
      <c r="A94" s="83">
        <v>5</v>
      </c>
      <c r="B94" s="33">
        <v>339591.85</v>
      </c>
      <c r="C94" s="33">
        <v>230409.35</v>
      </c>
      <c r="D94" s="33">
        <v>88518.88</v>
      </c>
      <c r="E94" s="33">
        <v>104709.8</v>
      </c>
      <c r="F94" s="33">
        <v>11022.99</v>
      </c>
      <c r="G94" s="33">
        <v>109182.5</v>
      </c>
      <c r="H94" s="33">
        <v>35615.18</v>
      </c>
      <c r="I94" s="33">
        <v>14428.77</v>
      </c>
      <c r="J94" s="74">
        <v>13021.01</v>
      </c>
      <c r="K94" s="13"/>
    </row>
    <row r="95" spans="1:11" ht="13.5" customHeight="1">
      <c r="A95" s="83">
        <v>6</v>
      </c>
      <c r="B95" s="33">
        <v>354142.82</v>
      </c>
      <c r="C95" s="33">
        <v>242498.54</v>
      </c>
      <c r="D95" s="33">
        <v>88901.11</v>
      </c>
      <c r="E95" s="33">
        <v>115613.65</v>
      </c>
      <c r="F95" s="33">
        <v>11257.02</v>
      </c>
      <c r="G95" s="33">
        <v>111644.28</v>
      </c>
      <c r="H95" s="33">
        <v>36510.65</v>
      </c>
      <c r="I95" s="33">
        <v>15542.83</v>
      </c>
      <c r="J95" s="74">
        <v>13987.99</v>
      </c>
      <c r="K95" s="13"/>
    </row>
    <row r="96" spans="1:11" ht="13.5" customHeight="1">
      <c r="A96" s="83"/>
      <c r="B96" s="33"/>
      <c r="C96" s="33"/>
      <c r="D96" s="33"/>
      <c r="E96" s="33"/>
      <c r="F96" s="33"/>
      <c r="G96" s="33"/>
      <c r="H96" s="33"/>
      <c r="I96" s="33"/>
      <c r="J96" s="74"/>
      <c r="K96" s="13"/>
    </row>
    <row r="97" spans="1:11" ht="13.5" customHeight="1">
      <c r="A97" s="83">
        <v>7</v>
      </c>
      <c r="B97" s="33">
        <v>351124.4</v>
      </c>
      <c r="C97" s="33">
        <v>238350.22</v>
      </c>
      <c r="D97" s="33">
        <v>86880.84</v>
      </c>
      <c r="E97" s="33">
        <v>112972.83</v>
      </c>
      <c r="F97" s="33">
        <v>11331.97</v>
      </c>
      <c r="G97" s="33">
        <v>112774.18</v>
      </c>
      <c r="H97" s="33">
        <v>36735.5</v>
      </c>
      <c r="I97" s="33">
        <v>15178.38</v>
      </c>
      <c r="J97" s="74">
        <v>14085.91</v>
      </c>
      <c r="K97" s="13"/>
    </row>
    <row r="98" spans="1:11" ht="13.5" customHeight="1">
      <c r="A98" s="83">
        <v>8</v>
      </c>
      <c r="B98" s="33">
        <v>356373.45</v>
      </c>
      <c r="C98" s="33">
        <v>242648.52</v>
      </c>
      <c r="D98" s="33">
        <v>90477.58</v>
      </c>
      <c r="E98" s="33">
        <v>113496.48</v>
      </c>
      <c r="F98" s="33">
        <v>11480.29</v>
      </c>
      <c r="G98" s="33">
        <v>113724.93</v>
      </c>
      <c r="H98" s="33">
        <v>37109.14</v>
      </c>
      <c r="I98" s="33">
        <v>15110.85</v>
      </c>
      <c r="J98" s="74">
        <v>13680.17</v>
      </c>
      <c r="K98" s="13"/>
    </row>
    <row r="99" spans="1:11" ht="13.5" customHeight="1">
      <c r="A99" s="83">
        <v>9</v>
      </c>
      <c r="B99" s="33">
        <v>351059.27</v>
      </c>
      <c r="C99" s="33">
        <v>238767.28</v>
      </c>
      <c r="D99" s="33">
        <v>90422.93</v>
      </c>
      <c r="E99" s="33">
        <v>110996.41</v>
      </c>
      <c r="F99" s="33">
        <v>11137.29</v>
      </c>
      <c r="G99" s="33">
        <v>112291.99</v>
      </c>
      <c r="H99" s="33">
        <v>36866.629999999997</v>
      </c>
      <c r="I99" s="33">
        <v>14981.86</v>
      </c>
      <c r="J99" s="74">
        <v>13771.85</v>
      </c>
      <c r="K99" s="13"/>
    </row>
    <row r="100" spans="1:11" ht="13.5" customHeight="1">
      <c r="A100" s="83"/>
      <c r="B100" s="33"/>
      <c r="C100" s="33"/>
      <c r="D100" s="33"/>
      <c r="E100" s="33"/>
      <c r="F100" s="33"/>
      <c r="G100" s="33"/>
      <c r="H100" s="33"/>
      <c r="I100" s="33"/>
      <c r="J100" s="74"/>
      <c r="K100" s="13"/>
    </row>
    <row r="101" spans="1:11" ht="13.5" customHeight="1">
      <c r="A101" s="83">
        <v>10</v>
      </c>
      <c r="B101" s="33">
        <v>337989.04</v>
      </c>
      <c r="C101" s="33">
        <v>226422.43</v>
      </c>
      <c r="D101" s="33">
        <v>88630.06</v>
      </c>
      <c r="E101" s="33">
        <v>101330.63</v>
      </c>
      <c r="F101" s="33">
        <v>10975.88</v>
      </c>
      <c r="G101" s="33">
        <v>111566.61</v>
      </c>
      <c r="H101" s="33">
        <v>37034.78</v>
      </c>
      <c r="I101" s="33">
        <v>14743.15</v>
      </c>
      <c r="J101" s="74">
        <v>13750.15</v>
      </c>
      <c r="K101" s="13"/>
    </row>
    <row r="102" spans="1:11" ht="13.5" customHeight="1">
      <c r="A102" s="83">
        <v>11</v>
      </c>
      <c r="B102" s="33">
        <v>344373.38</v>
      </c>
      <c r="C102" s="33">
        <v>232679.9</v>
      </c>
      <c r="D102" s="33">
        <v>93247.74</v>
      </c>
      <c r="E102" s="33">
        <v>102215.75</v>
      </c>
      <c r="F102" s="33">
        <v>11090.32</v>
      </c>
      <c r="G102" s="33">
        <v>111693.48</v>
      </c>
      <c r="H102" s="33">
        <v>37171.29</v>
      </c>
      <c r="I102" s="33">
        <v>14653.86</v>
      </c>
      <c r="J102" s="74">
        <v>13488.71</v>
      </c>
      <c r="K102" s="13"/>
    </row>
    <row r="103" spans="1:11" ht="13.5" customHeight="1">
      <c r="A103" s="83">
        <v>12</v>
      </c>
      <c r="B103" s="33">
        <v>325276.90999999997</v>
      </c>
      <c r="C103" s="33">
        <v>215956.09</v>
      </c>
      <c r="D103" s="33">
        <v>88258.51</v>
      </c>
      <c r="E103" s="33">
        <v>92485.67</v>
      </c>
      <c r="F103" s="33">
        <v>10790.67</v>
      </c>
      <c r="G103" s="33">
        <v>109320.82</v>
      </c>
      <c r="H103" s="33">
        <v>36199.019999999997</v>
      </c>
      <c r="I103" s="33">
        <v>14979.52</v>
      </c>
      <c r="J103" s="74">
        <v>13603.16</v>
      </c>
      <c r="K103" s="13"/>
    </row>
    <row r="104" spans="1:11" ht="13.5" customHeight="1">
      <c r="A104" s="83"/>
      <c r="B104" s="33"/>
      <c r="C104" s="33"/>
      <c r="D104" s="33"/>
      <c r="E104" s="33"/>
      <c r="F104" s="33"/>
      <c r="G104" s="33"/>
      <c r="H104" s="33"/>
      <c r="I104" s="33"/>
      <c r="J104" s="74"/>
      <c r="K104" s="13"/>
    </row>
    <row r="105" spans="1:11" ht="13.5" customHeight="1">
      <c r="A105" s="83">
        <v>2024.1</v>
      </c>
      <c r="B105" s="33">
        <v>340897.27</v>
      </c>
      <c r="C105" s="33">
        <v>233057.7</v>
      </c>
      <c r="D105" s="33">
        <v>86535.65</v>
      </c>
      <c r="E105" s="33">
        <v>111851.91</v>
      </c>
      <c r="F105" s="33">
        <v>10618.62</v>
      </c>
      <c r="G105" s="33">
        <v>107839.57</v>
      </c>
      <c r="H105" s="33">
        <v>35713.5</v>
      </c>
      <c r="I105" s="33">
        <v>15133.37</v>
      </c>
      <c r="J105" s="74">
        <v>13494.15</v>
      </c>
      <c r="K105" s="13"/>
    </row>
    <row r="106" spans="1:11" ht="13.5" customHeight="1">
      <c r="A106" s="83">
        <v>2</v>
      </c>
      <c r="B106" s="33">
        <v>355654.79</v>
      </c>
      <c r="C106" s="33">
        <v>246062.48</v>
      </c>
      <c r="D106" s="33">
        <v>93441.27</v>
      </c>
      <c r="E106" s="33">
        <v>116764.83</v>
      </c>
      <c r="F106" s="33">
        <v>10838.79</v>
      </c>
      <c r="G106" s="33">
        <v>109592.31</v>
      </c>
      <c r="H106" s="33">
        <v>35980.080000000002</v>
      </c>
      <c r="I106" s="33">
        <v>15133.23</v>
      </c>
      <c r="J106" s="74">
        <v>13830.83</v>
      </c>
      <c r="K106" s="13"/>
    </row>
    <row r="107" spans="1:11" ht="13.5" customHeight="1">
      <c r="A107" s="83">
        <v>3</v>
      </c>
      <c r="B107" s="33">
        <v>380926.93</v>
      </c>
      <c r="C107" s="33">
        <v>267465.07</v>
      </c>
      <c r="D107" s="33">
        <v>88501.759999999995</v>
      </c>
      <c r="E107" s="33">
        <v>141742.1</v>
      </c>
      <c r="F107" s="33">
        <v>11390.37</v>
      </c>
      <c r="G107" s="33">
        <v>113461.86</v>
      </c>
      <c r="H107" s="33">
        <v>36764.82</v>
      </c>
      <c r="I107" s="33">
        <v>15700.14</v>
      </c>
      <c r="J107" s="74">
        <v>14064.4</v>
      </c>
      <c r="K107" s="13"/>
    </row>
    <row r="108" spans="1:11" ht="13.5" customHeight="1">
      <c r="A108" s="83"/>
      <c r="B108" s="33"/>
      <c r="C108" s="33"/>
      <c r="D108" s="33"/>
      <c r="E108" s="33"/>
      <c r="F108" s="33"/>
      <c r="G108" s="33"/>
      <c r="H108" s="33"/>
      <c r="I108" s="33"/>
      <c r="J108" s="74"/>
      <c r="K108" s="13"/>
    </row>
    <row r="109" spans="1:11" ht="13.5" customHeight="1">
      <c r="A109" s="83">
        <v>4</v>
      </c>
      <c r="B109" s="33">
        <v>378640.49</v>
      </c>
      <c r="C109" s="33">
        <v>266053.48</v>
      </c>
      <c r="D109" s="33">
        <v>86224.87</v>
      </c>
      <c r="E109" s="33">
        <v>142812.65</v>
      </c>
      <c r="F109" s="33">
        <v>11239.15</v>
      </c>
      <c r="G109" s="33">
        <v>112587.01</v>
      </c>
      <c r="H109" s="33">
        <v>36280.28</v>
      </c>
      <c r="I109" s="33">
        <v>15307.43</v>
      </c>
      <c r="J109" s="74">
        <v>13685.9</v>
      </c>
      <c r="K109" s="13"/>
    </row>
    <row r="110" spans="1:11" ht="13.5" customHeight="1">
      <c r="A110" s="83">
        <v>5</v>
      </c>
      <c r="B110" s="33">
        <v>383756.54</v>
      </c>
      <c r="C110" s="33">
        <v>270861</v>
      </c>
      <c r="D110" s="33">
        <v>90452.61</v>
      </c>
      <c r="E110" s="33">
        <v>143118.81</v>
      </c>
      <c r="F110" s="33">
        <v>11435.33</v>
      </c>
      <c r="G110" s="33">
        <v>112895.54</v>
      </c>
      <c r="H110" s="33">
        <v>36871.33</v>
      </c>
      <c r="I110" s="33">
        <v>15366.97</v>
      </c>
      <c r="J110" s="74">
        <v>13776.53</v>
      </c>
      <c r="K110" s="13"/>
    </row>
    <row r="111" spans="1:11" ht="13.5" customHeight="1">
      <c r="A111" s="83">
        <v>6</v>
      </c>
      <c r="B111" s="33">
        <v>390011.19</v>
      </c>
      <c r="C111" s="33">
        <v>277631.59000000003</v>
      </c>
      <c r="D111" s="33">
        <v>89272.66</v>
      </c>
      <c r="E111" s="33">
        <v>151540.03</v>
      </c>
      <c r="F111" s="33">
        <v>11360.85</v>
      </c>
      <c r="G111" s="33">
        <v>112379.6</v>
      </c>
      <c r="H111" s="33">
        <v>37171.08</v>
      </c>
      <c r="I111" s="33">
        <v>15393.44</v>
      </c>
      <c r="J111" s="74">
        <v>14088.95</v>
      </c>
      <c r="K111" s="13"/>
    </row>
    <row r="112" spans="1:11" ht="13.5" customHeight="1">
      <c r="A112" s="83"/>
      <c r="B112" s="33"/>
      <c r="C112" s="33"/>
      <c r="D112" s="33"/>
      <c r="E112" s="33"/>
      <c r="F112" s="33"/>
      <c r="G112" s="33"/>
      <c r="H112" s="33"/>
      <c r="I112" s="33"/>
      <c r="J112" s="74"/>
      <c r="K112" s="13"/>
    </row>
    <row r="113" spans="1:11" ht="13.5" customHeight="1">
      <c r="A113" s="83">
        <v>7</v>
      </c>
      <c r="B113" s="33">
        <v>380166.91</v>
      </c>
      <c r="C113" s="33">
        <v>267925.01</v>
      </c>
      <c r="D113" s="33">
        <v>85425.58</v>
      </c>
      <c r="E113" s="33">
        <v>145964.49</v>
      </c>
      <c r="F113" s="33">
        <v>11204.87</v>
      </c>
      <c r="G113" s="33">
        <v>112241.9</v>
      </c>
      <c r="H113" s="33">
        <v>36462.35</v>
      </c>
      <c r="I113" s="33">
        <v>15847.15</v>
      </c>
      <c r="J113" s="74">
        <v>13918.78</v>
      </c>
      <c r="K113" s="13"/>
    </row>
    <row r="114" spans="1:11" ht="13.5" customHeight="1">
      <c r="A114" s="83">
        <v>8</v>
      </c>
      <c r="B114" s="33">
        <v>382909.1</v>
      </c>
      <c r="C114" s="33">
        <v>267978.53000000003</v>
      </c>
      <c r="D114" s="33">
        <v>89884.62</v>
      </c>
      <c r="E114" s="33">
        <v>141056.92000000001</v>
      </c>
      <c r="F114" s="33">
        <v>11415.15</v>
      </c>
      <c r="G114" s="33">
        <v>114930.57</v>
      </c>
      <c r="H114" s="33">
        <v>37245.33</v>
      </c>
      <c r="I114" s="33">
        <v>15846.8</v>
      </c>
      <c r="J114" s="74">
        <v>14233.07</v>
      </c>
      <c r="K114" s="13"/>
    </row>
    <row r="115" spans="1:11" ht="13.5" customHeight="1">
      <c r="A115" s="83">
        <v>9</v>
      </c>
      <c r="B115" s="33">
        <v>369764.64</v>
      </c>
      <c r="C115" s="33">
        <v>254397.1</v>
      </c>
      <c r="D115" s="33">
        <v>87193.81</v>
      </c>
      <c r="E115" s="33">
        <v>130263.44</v>
      </c>
      <c r="F115" s="33">
        <v>11362.93</v>
      </c>
      <c r="G115" s="33">
        <v>115367.54</v>
      </c>
      <c r="H115" s="33">
        <v>37410.379999999997</v>
      </c>
      <c r="I115" s="33">
        <v>15514.64</v>
      </c>
      <c r="J115" s="74">
        <v>14206.4</v>
      </c>
      <c r="K115" s="13"/>
    </row>
    <row r="116" spans="1:11" ht="13.5" customHeight="1">
      <c r="A116" s="83"/>
      <c r="B116" s="33"/>
      <c r="C116" s="33"/>
      <c r="D116" s="33"/>
      <c r="E116" s="33"/>
      <c r="F116" s="33"/>
      <c r="G116" s="33"/>
      <c r="H116" s="33"/>
      <c r="I116" s="33"/>
      <c r="J116" s="74"/>
      <c r="K116" s="13"/>
    </row>
    <row r="117" spans="1:11" ht="13.5" customHeight="1">
      <c r="A117" s="83">
        <v>10</v>
      </c>
      <c r="B117" s="33">
        <v>370556.51</v>
      </c>
      <c r="C117" s="33">
        <v>254700.1</v>
      </c>
      <c r="D117" s="33">
        <v>86472.47</v>
      </c>
      <c r="E117" s="33">
        <v>131168.23000000001</v>
      </c>
      <c r="F117" s="33">
        <v>11379.21</v>
      </c>
      <c r="G117" s="33">
        <v>115856.41</v>
      </c>
      <c r="H117" s="33">
        <v>37767.15</v>
      </c>
      <c r="I117" s="33">
        <v>15285.94</v>
      </c>
      <c r="J117" s="74">
        <v>14278.58</v>
      </c>
      <c r="K117" s="13"/>
    </row>
    <row r="118" spans="1:11" ht="13.5" customHeight="1">
      <c r="A118" s="83">
        <v>11</v>
      </c>
      <c r="B118" s="33">
        <v>351675.33</v>
      </c>
      <c r="C118" s="33">
        <v>234933.04</v>
      </c>
      <c r="D118" s="33">
        <v>88137.600000000006</v>
      </c>
      <c r="E118" s="33">
        <v>109124.99</v>
      </c>
      <c r="F118" s="33">
        <v>11633.47</v>
      </c>
      <c r="G118" s="33">
        <v>116742.29</v>
      </c>
      <c r="H118" s="33">
        <v>37810.74</v>
      </c>
      <c r="I118" s="33">
        <v>15352.13</v>
      </c>
      <c r="J118" s="74">
        <v>14167.84</v>
      </c>
      <c r="K118" s="13"/>
    </row>
    <row r="119" spans="1:11" ht="13.5" customHeight="1">
      <c r="A119" s="83">
        <v>12</v>
      </c>
      <c r="B119" s="33">
        <v>334927.86</v>
      </c>
      <c r="C119" s="33">
        <v>221299.56</v>
      </c>
      <c r="D119" s="33">
        <v>82802.61</v>
      </c>
      <c r="E119" s="33">
        <v>103267.35</v>
      </c>
      <c r="F119" s="33">
        <v>10951.03</v>
      </c>
      <c r="G119" s="33">
        <v>113628.3</v>
      </c>
      <c r="H119" s="33">
        <v>36704.33</v>
      </c>
      <c r="I119" s="33">
        <v>15202.08</v>
      </c>
      <c r="J119" s="74">
        <v>14074.66</v>
      </c>
      <c r="K119" s="13"/>
    </row>
    <row r="120" spans="1:11" ht="13.5" customHeight="1">
      <c r="A120" s="83"/>
      <c r="B120" s="33"/>
      <c r="C120" s="33"/>
      <c r="D120" s="33"/>
      <c r="E120" s="33"/>
      <c r="F120" s="33"/>
      <c r="G120" s="33"/>
      <c r="H120" s="33"/>
      <c r="I120" s="33"/>
      <c r="J120" s="74"/>
      <c r="K120" s="13"/>
    </row>
    <row r="121" spans="1:11" ht="13.5" customHeight="1">
      <c r="A121" s="83">
        <v>2025.1</v>
      </c>
      <c r="B121" s="33">
        <v>341449.8</v>
      </c>
      <c r="C121" s="33">
        <v>230093.04</v>
      </c>
      <c r="D121" s="33">
        <v>81519.44</v>
      </c>
      <c r="E121" s="33">
        <v>113757.06</v>
      </c>
      <c r="F121" s="33">
        <v>10851.52</v>
      </c>
      <c r="G121" s="33">
        <v>111356.76</v>
      </c>
      <c r="H121" s="33">
        <v>35664.67</v>
      </c>
      <c r="I121" s="33">
        <v>14770.22</v>
      </c>
      <c r="J121" s="74">
        <v>13718</v>
      </c>
      <c r="K121" s="13"/>
    </row>
    <row r="122" spans="1:11" ht="13.5" customHeight="1">
      <c r="A122" s="83">
        <v>2</v>
      </c>
      <c r="B122" s="33">
        <v>347654.89</v>
      </c>
      <c r="C122" s="33">
        <v>235158.07</v>
      </c>
      <c r="D122" s="33">
        <v>88726.21</v>
      </c>
      <c r="E122" s="33">
        <v>110915.09</v>
      </c>
      <c r="F122" s="33">
        <v>11100.72</v>
      </c>
      <c r="G122" s="33">
        <v>112496.82</v>
      </c>
      <c r="H122" s="33">
        <v>35912.870000000003</v>
      </c>
      <c r="I122" s="33">
        <v>15085.12</v>
      </c>
      <c r="J122" s="74">
        <v>14028.35</v>
      </c>
      <c r="K122" s="13"/>
    </row>
    <row r="123" spans="1:11" ht="13.5" customHeight="1">
      <c r="A123" s="83">
        <v>3</v>
      </c>
      <c r="B123" s="33">
        <v>367542.81</v>
      </c>
      <c r="C123" s="33">
        <v>251729.74</v>
      </c>
      <c r="D123" s="33">
        <v>84268.37</v>
      </c>
      <c r="E123" s="33">
        <v>130957.23</v>
      </c>
      <c r="F123" s="33">
        <v>11076.05</v>
      </c>
      <c r="G123" s="33">
        <v>115813.07</v>
      </c>
      <c r="H123" s="33">
        <v>36763.879999999997</v>
      </c>
      <c r="I123" s="33">
        <v>15453.06</v>
      </c>
      <c r="J123" s="74">
        <v>14160.8</v>
      </c>
      <c r="K123" s="13"/>
    </row>
    <row r="124" spans="1:11" ht="13.5" customHeight="1">
      <c r="A124" s="83"/>
      <c r="B124" s="33"/>
      <c r="C124" s="33"/>
      <c r="D124" s="33"/>
      <c r="E124" s="33"/>
      <c r="F124" s="33"/>
      <c r="G124" s="33"/>
      <c r="H124" s="33"/>
      <c r="I124" s="33"/>
      <c r="J124" s="74"/>
      <c r="K124" s="13"/>
    </row>
    <row r="125" spans="1:11" ht="13.5" customHeight="1">
      <c r="A125" s="83">
        <v>4</v>
      </c>
      <c r="B125" s="33">
        <v>355044.49</v>
      </c>
      <c r="C125" s="33">
        <v>241138.32</v>
      </c>
      <c r="D125" s="33">
        <v>80407.75</v>
      </c>
      <c r="E125" s="33">
        <v>124643.9</v>
      </c>
      <c r="F125" s="33">
        <v>11045.51</v>
      </c>
      <c r="G125" s="33">
        <v>113906.17</v>
      </c>
      <c r="H125" s="33">
        <v>36384.39</v>
      </c>
      <c r="I125" s="33">
        <v>15368.84</v>
      </c>
      <c r="J125" s="74">
        <v>13953.89</v>
      </c>
      <c r="K125" s="13"/>
    </row>
    <row r="126" spans="1:11" ht="13.5" customHeight="1">
      <c r="A126" s="83">
        <v>5</v>
      </c>
      <c r="B126" s="33">
        <v>348914.48</v>
      </c>
      <c r="C126" s="33">
        <v>234000.81</v>
      </c>
      <c r="D126" s="33">
        <v>84904.92</v>
      </c>
      <c r="E126" s="33">
        <v>113265.52</v>
      </c>
      <c r="F126" s="33">
        <v>10931.08</v>
      </c>
      <c r="G126" s="33">
        <v>114913.67</v>
      </c>
      <c r="H126" s="33">
        <v>36750.43</v>
      </c>
      <c r="I126" s="33">
        <v>15439.15</v>
      </c>
      <c r="J126" s="74">
        <v>14063.1</v>
      </c>
      <c r="K126" s="13"/>
    </row>
    <row r="127" spans="1:11" ht="13.5" customHeight="1">
      <c r="A127" s="83">
        <v>6</v>
      </c>
      <c r="B127" s="33">
        <v>357266.32</v>
      </c>
      <c r="C127" s="33">
        <v>242263.14</v>
      </c>
      <c r="D127" s="33">
        <v>84145.24</v>
      </c>
      <c r="E127" s="33">
        <v>122630.77</v>
      </c>
      <c r="F127" s="33">
        <v>10860.78</v>
      </c>
      <c r="G127" s="33">
        <v>115003.18</v>
      </c>
      <c r="H127" s="33">
        <v>37067.379999999997</v>
      </c>
      <c r="I127" s="33">
        <v>15765.66</v>
      </c>
      <c r="J127" s="74">
        <v>14282.1</v>
      </c>
      <c r="K127" s="13"/>
    </row>
    <row r="128" spans="1:11" ht="13.5" customHeight="1">
      <c r="A128" s="83"/>
      <c r="B128" s="33"/>
      <c r="C128" s="33"/>
      <c r="D128" s="33"/>
      <c r="E128" s="33"/>
      <c r="F128" s="33"/>
      <c r="G128" s="33"/>
      <c r="H128" s="33"/>
      <c r="I128" s="33"/>
      <c r="J128" s="74"/>
      <c r="K128" s="13"/>
    </row>
    <row r="129" spans="1:11" ht="13.5" customHeight="1">
      <c r="A129" s="83">
        <v>7</v>
      </c>
      <c r="B129" s="33">
        <v>348287.2</v>
      </c>
      <c r="C129" s="33">
        <v>232084.42</v>
      </c>
      <c r="D129" s="33">
        <v>81923.97</v>
      </c>
      <c r="E129" s="33">
        <v>113608.79</v>
      </c>
      <c r="F129" s="33">
        <v>11003.92</v>
      </c>
      <c r="G129" s="33">
        <v>116202.78</v>
      </c>
      <c r="H129" s="33">
        <v>37006.550000000003</v>
      </c>
      <c r="I129" s="33">
        <v>16128.98</v>
      </c>
      <c r="J129" s="74">
        <v>14497.65</v>
      </c>
      <c r="K129" s="13"/>
    </row>
    <row r="130" spans="1:11" ht="13.5" customHeight="1">
      <c r="A130" s="83">
        <v>8</v>
      </c>
      <c r="B130" s="33">
        <v>349669.23</v>
      </c>
      <c r="C130" s="33">
        <v>231237.57</v>
      </c>
      <c r="D130" s="33">
        <v>87554.78</v>
      </c>
      <c r="E130" s="33">
        <v>106407.08</v>
      </c>
      <c r="F130" s="33">
        <v>11167.36</v>
      </c>
      <c r="G130" s="33">
        <v>118431.66</v>
      </c>
      <c r="H130" s="33">
        <v>37310.82</v>
      </c>
      <c r="I130" s="33">
        <v>17073.419999999998</v>
      </c>
      <c r="J130" s="74">
        <v>14941.45</v>
      </c>
      <c r="K130" s="13"/>
    </row>
    <row r="131" spans="1:11" ht="13.5" customHeight="1">
      <c r="A131" s="83">
        <v>9</v>
      </c>
      <c r="B131" s="33">
        <v>356518.84</v>
      </c>
      <c r="C131" s="33">
        <v>238419.45</v>
      </c>
      <c r="D131" s="33">
        <v>85985.17</v>
      </c>
      <c r="E131" s="33">
        <v>115334.25</v>
      </c>
      <c r="F131" s="33">
        <v>11041.81</v>
      </c>
      <c r="G131" s="33">
        <v>118099.39</v>
      </c>
      <c r="H131" s="33">
        <v>37508.25</v>
      </c>
      <c r="I131" s="33">
        <v>16555.349999999999</v>
      </c>
      <c r="J131" s="74">
        <v>14961.53</v>
      </c>
      <c r="K131" s="13"/>
    </row>
    <row r="132" spans="1:11" ht="13.5" customHeight="1">
      <c r="A132" s="83"/>
      <c r="B132" s="33"/>
      <c r="C132" s="33"/>
      <c r="D132" s="33"/>
      <c r="E132" s="33"/>
      <c r="F132" s="33"/>
      <c r="G132" s="33"/>
      <c r="H132" s="33"/>
      <c r="I132" s="33"/>
      <c r="J132" s="74"/>
      <c r="K132" s="13"/>
    </row>
    <row r="133" spans="1:11" ht="13.5" customHeight="1">
      <c r="A133" s="83">
        <v>10</v>
      </c>
      <c r="B133" s="33">
        <v>346956.91</v>
      </c>
      <c r="C133" s="33">
        <v>230326.64</v>
      </c>
      <c r="D133" s="33">
        <v>84791.43</v>
      </c>
      <c r="E133" s="33">
        <v>108829.06</v>
      </c>
      <c r="F133" s="33">
        <v>11031.91</v>
      </c>
      <c r="G133" s="33">
        <v>116630.27</v>
      </c>
      <c r="H133" s="33">
        <v>36956.19</v>
      </c>
      <c r="I133" s="33">
        <v>16729.349999999999</v>
      </c>
      <c r="J133" s="74">
        <v>14994.06</v>
      </c>
      <c r="K133" s="13"/>
    </row>
    <row r="134" spans="1:11" s="13" customFormat="1" ht="13.5" customHeight="1">
      <c r="A134" s="83" t="s">
        <v>212</v>
      </c>
      <c r="B134" s="33">
        <v>345372.76</v>
      </c>
      <c r="C134" s="33">
        <v>229709.07</v>
      </c>
      <c r="D134" s="33">
        <v>87146.46</v>
      </c>
      <c r="E134" s="33">
        <v>105464.46</v>
      </c>
      <c r="F134" s="33">
        <v>11243.65</v>
      </c>
      <c r="G134" s="33">
        <v>115663.69</v>
      </c>
      <c r="H134" s="33">
        <v>36881.96</v>
      </c>
      <c r="I134" s="33">
        <v>15992.54</v>
      </c>
      <c r="J134" s="74">
        <v>14791.84</v>
      </c>
    </row>
    <row r="135" spans="1:11" ht="13.5" customHeight="1">
      <c r="A135" s="192" t="s">
        <v>213</v>
      </c>
      <c r="B135" s="203">
        <v>325429.05</v>
      </c>
      <c r="C135" s="203">
        <v>213657.93</v>
      </c>
      <c r="D135" s="203">
        <v>78386.509999999995</v>
      </c>
      <c r="E135" s="203">
        <v>101975.86</v>
      </c>
      <c r="F135" s="203">
        <v>10423.43</v>
      </c>
      <c r="G135" s="203">
        <v>111771.12</v>
      </c>
      <c r="H135" s="203">
        <v>36311.33</v>
      </c>
      <c r="I135" s="203">
        <v>16015.41</v>
      </c>
      <c r="J135" s="204">
        <v>14510.44</v>
      </c>
      <c r="K135" s="13"/>
    </row>
    <row r="136" spans="1:11" ht="13.5" customHeight="1">
      <c r="A136" s="83"/>
      <c r="B136" s="33"/>
      <c r="C136" s="33"/>
      <c r="D136" s="33"/>
      <c r="E136" s="33"/>
      <c r="F136" s="33"/>
      <c r="G136" s="33"/>
      <c r="H136" s="33"/>
      <c r="I136" s="33"/>
      <c r="J136" s="74"/>
    </row>
    <row r="137" spans="1:11" ht="13.5" customHeight="1">
      <c r="A137" s="192" t="s">
        <v>266</v>
      </c>
      <c r="B137" s="203">
        <v>334669.46999999997</v>
      </c>
      <c r="C137" s="203">
        <v>225604.63</v>
      </c>
      <c r="D137" s="203">
        <v>78290.84</v>
      </c>
      <c r="E137" s="203">
        <v>114777.11</v>
      </c>
      <c r="F137" s="203">
        <v>10156.89</v>
      </c>
      <c r="G137" s="203">
        <v>109064.84</v>
      </c>
      <c r="H137" s="203">
        <v>35811.870000000003</v>
      </c>
      <c r="I137" s="203">
        <v>15903.92</v>
      </c>
      <c r="J137" s="204">
        <v>14176.17</v>
      </c>
    </row>
    <row r="138" spans="1:11" s="27" customFormat="1" ht="13.5" customHeight="1">
      <c r="A138" s="192" t="s">
        <v>215</v>
      </c>
      <c r="B138" s="203">
        <v>347885.03</v>
      </c>
      <c r="C138" s="203">
        <v>236710.98</v>
      </c>
      <c r="D138" s="203">
        <v>86400.66</v>
      </c>
      <c r="E138" s="203">
        <v>116482.3</v>
      </c>
      <c r="F138" s="203">
        <v>10605.42</v>
      </c>
      <c r="G138" s="203">
        <v>111174.05</v>
      </c>
      <c r="H138" s="203">
        <v>36030.559999999998</v>
      </c>
      <c r="I138" s="203">
        <v>16206.77</v>
      </c>
      <c r="J138" s="204">
        <v>14343.51</v>
      </c>
    </row>
    <row r="139" spans="1:11" s="27" customFormat="1" ht="15.75" customHeight="1">
      <c r="A139" s="217" t="s">
        <v>265</v>
      </c>
      <c r="B139" s="198">
        <v>363449.82</v>
      </c>
      <c r="C139" s="198">
        <v>252030.93</v>
      </c>
      <c r="D139" s="198">
        <v>82985.73</v>
      </c>
      <c r="E139" s="198">
        <v>135103.49</v>
      </c>
      <c r="F139" s="198">
        <v>10440.24</v>
      </c>
      <c r="G139" s="198">
        <v>111418.89</v>
      </c>
      <c r="H139" s="198">
        <v>36160.71</v>
      </c>
      <c r="I139" s="198">
        <v>16273.36</v>
      </c>
      <c r="J139" s="200">
        <v>14364.12</v>
      </c>
    </row>
    <row r="140" spans="1:11">
      <c r="A140" s="36" t="s">
        <v>145</v>
      </c>
      <c r="B140" s="23"/>
      <c r="C140" s="27"/>
      <c r="D140" s="27"/>
      <c r="E140" s="27"/>
      <c r="F140" s="27"/>
      <c r="G140" s="27"/>
      <c r="H140" s="27"/>
      <c r="I140" s="27"/>
      <c r="J140" s="27"/>
    </row>
    <row r="141" spans="1:11">
      <c r="A141" s="35"/>
      <c r="B141" s="14"/>
      <c r="C141" s="14"/>
      <c r="D141" s="14"/>
      <c r="E141" s="14"/>
      <c r="F141" s="14"/>
      <c r="G141" s="14"/>
      <c r="H141" s="14"/>
      <c r="I141" s="14"/>
      <c r="J141" s="14"/>
    </row>
    <row r="142" spans="1:11">
      <c r="A142" s="35"/>
      <c r="B142" s="14"/>
      <c r="C142" s="14"/>
      <c r="D142" s="14"/>
      <c r="E142" s="14"/>
      <c r="F142" s="14"/>
      <c r="G142" s="14"/>
      <c r="H142" s="14"/>
      <c r="I142" s="14"/>
      <c r="J142" s="14"/>
    </row>
    <row r="143" spans="1:11">
      <c r="A143" s="35"/>
      <c r="B143" s="14"/>
      <c r="C143" s="14"/>
      <c r="D143" s="14"/>
      <c r="E143" s="14"/>
      <c r="F143" s="14"/>
      <c r="G143" s="14"/>
      <c r="H143" s="14"/>
      <c r="I143" s="14"/>
      <c r="J143" s="14"/>
    </row>
    <row r="144" spans="1:11">
      <c r="A144" s="35"/>
      <c r="B144" s="14"/>
      <c r="C144" s="14"/>
      <c r="D144" s="14"/>
      <c r="E144" s="14"/>
      <c r="F144" s="14"/>
      <c r="G144" s="14"/>
      <c r="H144" s="14"/>
      <c r="I144" s="14"/>
      <c r="J144" s="14"/>
    </row>
    <row r="145" spans="1:10">
      <c r="A145" s="35"/>
      <c r="B145" s="14"/>
      <c r="C145" s="14"/>
      <c r="D145" s="14"/>
      <c r="E145" s="14"/>
      <c r="F145" s="14"/>
      <c r="G145" s="14"/>
      <c r="H145" s="14"/>
      <c r="I145" s="14"/>
      <c r="J145" s="14"/>
    </row>
    <row r="146" spans="1:10">
      <c r="A146" s="35"/>
      <c r="B146" s="14"/>
      <c r="C146" s="14"/>
      <c r="D146" s="14"/>
      <c r="E146" s="14"/>
      <c r="F146" s="14"/>
      <c r="G146" s="14"/>
      <c r="H146" s="14"/>
      <c r="I146" s="14"/>
      <c r="J146" s="14"/>
    </row>
    <row r="147" spans="1:10">
      <c r="A147" s="35"/>
      <c r="B147" s="14"/>
      <c r="C147" s="14"/>
      <c r="D147" s="14"/>
      <c r="E147" s="14"/>
      <c r="F147" s="14"/>
      <c r="G147" s="14"/>
      <c r="H147" s="14"/>
      <c r="I147" s="14"/>
      <c r="J147" s="14"/>
    </row>
    <row r="148" spans="1:10">
      <c r="A148" s="35"/>
      <c r="B148" s="14"/>
      <c r="C148" s="14"/>
      <c r="D148" s="14"/>
      <c r="E148" s="14"/>
      <c r="F148" s="14"/>
      <c r="G148" s="14"/>
      <c r="H148" s="14"/>
      <c r="I148" s="14"/>
      <c r="J148" s="14"/>
    </row>
    <row r="149" spans="1:10">
      <c r="A149" s="35"/>
      <c r="B149" s="14"/>
      <c r="C149" s="14"/>
      <c r="D149" s="14"/>
      <c r="E149" s="14"/>
      <c r="F149" s="14"/>
      <c r="G149" s="14"/>
      <c r="H149" s="14"/>
      <c r="I149" s="14"/>
      <c r="J149" s="14"/>
    </row>
    <row r="150" spans="1:10">
      <c r="A150" s="35"/>
      <c r="B150" s="14"/>
      <c r="C150" s="14"/>
      <c r="D150" s="14"/>
      <c r="E150" s="14"/>
      <c r="F150" s="14"/>
      <c r="G150" s="14"/>
      <c r="H150" s="14"/>
      <c r="I150" s="14"/>
      <c r="J150" s="14"/>
    </row>
    <row r="151" spans="1:10">
      <c r="A151" s="35"/>
      <c r="B151" s="14"/>
      <c r="C151" s="14"/>
      <c r="D151" s="14"/>
      <c r="E151" s="14"/>
      <c r="F151" s="14"/>
      <c r="G151" s="14"/>
      <c r="H151" s="14"/>
      <c r="I151" s="14"/>
      <c r="J151" s="14"/>
    </row>
    <row r="152" spans="1:10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 spans="1:10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 spans="1:10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 spans="1:10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 spans="1:10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 spans="1:10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 spans="1:10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 spans="1:10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 spans="1:10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 spans="1:10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 spans="1:10">
      <c r="A162" s="14"/>
      <c r="B162" s="14"/>
      <c r="C162" s="14"/>
      <c r="D162" s="14"/>
      <c r="E162" s="14"/>
      <c r="F162" s="14"/>
      <c r="G162" s="14"/>
      <c r="H162" s="14"/>
      <c r="I162" s="14"/>
      <c r="J162" s="14"/>
    </row>
    <row r="163" spans="1:10">
      <c r="A163" s="14"/>
      <c r="B163" s="14"/>
      <c r="C163" s="14"/>
      <c r="D163" s="14"/>
      <c r="E163" s="14"/>
      <c r="F163" s="14"/>
      <c r="G163" s="14"/>
      <c r="H163" s="14"/>
      <c r="I163" s="14"/>
      <c r="J163" s="14"/>
    </row>
    <row r="164" spans="1:10">
      <c r="A164" s="26"/>
      <c r="B164" s="26"/>
      <c r="C164" s="26"/>
      <c r="D164" s="26"/>
      <c r="E164" s="26"/>
      <c r="F164" s="26"/>
      <c r="G164" s="26"/>
      <c r="H164" s="26"/>
      <c r="I164" s="26"/>
      <c r="J164" s="26"/>
    </row>
    <row r="165" spans="1:10">
      <c r="A165" s="26"/>
      <c r="B165" s="26"/>
      <c r="C165" s="26"/>
      <c r="D165" s="26"/>
      <c r="E165" s="26"/>
      <c r="F165" s="26"/>
      <c r="G165" s="26"/>
      <c r="H165" s="26"/>
      <c r="I165" s="26"/>
      <c r="J165" s="26"/>
    </row>
    <row r="166" spans="1:10">
      <c r="A166" s="26"/>
      <c r="B166" s="26"/>
      <c r="C166" s="26"/>
      <c r="D166" s="26"/>
      <c r="E166" s="26"/>
      <c r="F166" s="26"/>
      <c r="G166" s="26"/>
      <c r="H166" s="26"/>
      <c r="I166" s="26"/>
      <c r="J166" s="26"/>
    </row>
    <row r="167" spans="1:10" s="13" customForma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</row>
    <row r="168" spans="1:10" s="13" customForma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 spans="1:10" s="13" customForma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</row>
    <row r="170" spans="1:10" s="13" customForma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</row>
    <row r="171" spans="1:10" s="13" customForma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</row>
    <row r="172" spans="1:10" s="13" customForma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</row>
    <row r="173" spans="1:10" s="13" customForma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</row>
    <row r="174" spans="1:10" s="13" customForma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</row>
    <row r="175" spans="1:10" s="13" customForma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</row>
    <row r="176" spans="1:10" s="13" customForma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</row>
    <row r="177" spans="1:10" s="13" customForma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</row>
    <row r="178" spans="1:10" s="13" customForma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</row>
    <row r="179" spans="1:10" s="13" customForma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</row>
    <row r="180" spans="1:10" s="13" customForma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</row>
    <row r="181" spans="1:10" s="13" customForma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</row>
    <row r="182" spans="1:10" s="13" customForma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</row>
    <row r="183" spans="1:10" s="13" customForma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</row>
    <row r="184" spans="1:10" s="13" customForma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</row>
    <row r="185" spans="1:10" s="13" customForma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</row>
    <row r="186" spans="1:10" s="13" customForma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</row>
    <row r="187" spans="1:10" s="13" customForma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</row>
    <row r="188" spans="1:10" s="13" customForma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</row>
    <row r="189" spans="1:10" s="13" customForma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</row>
    <row r="190" spans="1:10" s="13" customForma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</row>
    <row r="191" spans="1:10" s="13" customForma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</row>
    <row r="192" spans="1:10" s="13" customForma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</row>
    <row r="193" spans="1:10" s="13" customForma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</row>
    <row r="194" spans="1:10" s="13" customForma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</row>
    <row r="195" spans="1:10" s="13" customForma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</row>
    <row r="196" spans="1:10" s="13" customForma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</row>
    <row r="197" spans="1:10" s="13" customForma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</row>
    <row r="198" spans="1:10" s="13" customForma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</row>
    <row r="199" spans="1:10" s="13" customForma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</row>
    <row r="200" spans="1:10" s="13" customForma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</row>
    <row r="201" spans="1:10" s="13" customForma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</row>
    <row r="202" spans="1:10" s="13" customForma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</row>
    <row r="203" spans="1:10" s="13" customForma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</row>
    <row r="204" spans="1:10" s="13" customForma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</row>
    <row r="205" spans="1:10" s="13" customForma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</row>
    <row r="206" spans="1:10" s="13" customForma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</row>
    <row r="207" spans="1:10" s="13" customForma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</row>
    <row r="208" spans="1:10" s="13" customForma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</row>
    <row r="209" spans="1:10" s="13" customForma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</row>
    <row r="210" spans="1:10" s="13" customForma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</row>
    <row r="211" spans="1:10" s="13" customForma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 spans="1:10" s="13" customForma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</row>
    <row r="213" spans="1:10" s="13" customForma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</row>
    <row r="214" spans="1:10" s="13" customForma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</row>
    <row r="215" spans="1:10" s="13" customForma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</row>
    <row r="216" spans="1:10" s="13" customForma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</row>
    <row r="217" spans="1:10" s="13" customForma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</row>
    <row r="218" spans="1:10" s="13" customForma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</row>
    <row r="219" spans="1:10" s="13" customForma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</row>
    <row r="220" spans="1:10" s="13" customForma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</row>
    <row r="221" spans="1:10" s="13" customForma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</row>
    <row r="222" spans="1:10" s="13" customForma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</row>
    <row r="223" spans="1:10" s="13" customForma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</row>
    <row r="224" spans="1:10" s="13" customForma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</row>
    <row r="225" spans="1:10" s="13" customForma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</row>
    <row r="226" spans="1:10" s="13" customForma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</row>
    <row r="227" spans="1:10" s="13" customForma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</row>
    <row r="228" spans="1:10" s="13" customForma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</row>
    <row r="229" spans="1:10" s="13" customForma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</row>
    <row r="230" spans="1:10" s="13" customForma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</row>
    <row r="231" spans="1:10" s="13" customForma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</row>
    <row r="232" spans="1:10" s="13" customForma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</row>
    <row r="233" spans="1:10" s="13" customForma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</row>
    <row r="234" spans="1:10" s="13" customForma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</row>
    <row r="235" spans="1:10" s="13" customForma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</row>
    <row r="236" spans="1:10" s="13" customForma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</row>
    <row r="237" spans="1:10" s="13" customForma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</row>
    <row r="238" spans="1:10" s="13" customForma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</row>
    <row r="239" spans="1:10" s="13" customForma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</row>
    <row r="240" spans="1:10" s="13" customForma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</row>
    <row r="241" spans="1:10" s="13" customForma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</row>
    <row r="242" spans="1:10" s="13" customForma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</row>
    <row r="243" spans="1:10" s="13" customForma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</row>
    <row r="244" spans="1:10" s="13" customForma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</row>
    <row r="245" spans="1:10" s="13" customForma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</row>
    <row r="246" spans="1:10" s="13" customForma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</row>
    <row r="247" spans="1:10" s="13" customForma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</row>
    <row r="248" spans="1:10" s="13" customForma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</row>
    <row r="249" spans="1:10" s="13" customForma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</row>
    <row r="250" spans="1:10" s="13" customForma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</row>
    <row r="251" spans="1:10" s="13" customForma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</row>
    <row r="252" spans="1:10" s="13" customForma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</row>
    <row r="253" spans="1:10" s="13" customForma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</row>
    <row r="254" spans="1:10" s="13" customForma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</row>
    <row r="255" spans="1:10" s="13" customForma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</row>
    <row r="256" spans="1:10" s="13" customForma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</row>
    <row r="257" spans="1:10" s="13" customForma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</row>
    <row r="258" spans="1:10" s="13" customForma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</row>
    <row r="259" spans="1:10" s="13" customForma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</row>
    <row r="260" spans="1:10" s="13" customForma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</row>
    <row r="261" spans="1:10" s="13" customForma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</row>
    <row r="262" spans="1:10" s="13" customForma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</row>
    <row r="263" spans="1:10" s="13" customForma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</row>
    <row r="264" spans="1:10" s="13" customForma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</row>
    <row r="265" spans="1:10" s="13" customForma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</row>
    <row r="266" spans="1:10" s="13" customForma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</row>
    <row r="267" spans="1:10" s="13" customForma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</row>
    <row r="268" spans="1:10" s="13" customForma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</row>
    <row r="269" spans="1:10" s="13" customForma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</row>
    <row r="270" spans="1:10" s="13" customForma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</row>
    <row r="271" spans="1:10" s="13" customForma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</row>
    <row r="272" spans="1:10" s="13" customForma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</row>
    <row r="273" spans="1:10" s="13" customForma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</row>
    <row r="274" spans="1:10" s="13" customForma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</row>
    <row r="275" spans="1:10" s="13" customForma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</row>
    <row r="276" spans="1:10" s="13" customForma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</row>
    <row r="277" spans="1:10" s="13" customForma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</row>
    <row r="278" spans="1:10" s="13" customForma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</row>
    <row r="279" spans="1:10" s="13" customForma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</row>
    <row r="280" spans="1:10" s="13" customForma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</row>
    <row r="281" spans="1:10" s="13" customForma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</row>
    <row r="282" spans="1:10" s="13" customForma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</row>
    <row r="283" spans="1:10" s="13" customForma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</row>
    <row r="284" spans="1:10" s="13" customForma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</row>
    <row r="285" spans="1:10" s="13" customForma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</row>
    <row r="286" spans="1:10" s="13" customForma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</row>
    <row r="287" spans="1:10" s="13" customForma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</row>
    <row r="288" spans="1:10" s="13" customForma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</row>
    <row r="289" spans="1:10" s="13" customForma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</row>
    <row r="290" spans="1:10" s="13" customForma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</row>
    <row r="291" spans="1:10" s="13" customForma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</row>
    <row r="292" spans="1:10" s="13" customForma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</row>
    <row r="293" spans="1:10" s="13" customForma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</row>
    <row r="294" spans="1:10" s="13" customForma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</row>
    <row r="295" spans="1:10" s="13" customForma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</row>
    <row r="296" spans="1:10" s="13" customForma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</row>
    <row r="297" spans="1:10" s="13" customForma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</row>
    <row r="298" spans="1:10" s="13" customForma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</row>
    <row r="299" spans="1:10" s="13" customForma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</row>
    <row r="300" spans="1:10" s="13" customForma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</row>
    <row r="301" spans="1:10" s="13" customForma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</row>
    <row r="302" spans="1:10" s="13" customForma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</row>
    <row r="303" spans="1:10" s="13" customForma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</row>
    <row r="304" spans="1:10" s="13" customForma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</row>
    <row r="305" spans="1:10" s="13" customForma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</row>
    <row r="306" spans="1:10" s="13" customForma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</row>
    <row r="307" spans="1:10" s="13" customForma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</row>
    <row r="308" spans="1:10" s="13" customForma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</row>
    <row r="309" spans="1:10" s="13" customForma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</row>
    <row r="310" spans="1:10" s="13" customForma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</row>
    <row r="311" spans="1:10" s="13" customForma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</row>
    <row r="312" spans="1:10" s="13" customForma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</row>
    <row r="313" spans="1:10" s="13" customForma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</row>
    <row r="314" spans="1:10" s="13" customForma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</row>
    <row r="315" spans="1:10" s="13" customForma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</row>
    <row r="316" spans="1:10" s="13" customForma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</row>
    <row r="317" spans="1:10" s="13" customForma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</row>
    <row r="318" spans="1:10" s="13" customForma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</row>
    <row r="319" spans="1:10" s="13" customForma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</row>
    <row r="320" spans="1:10" s="13" customForma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</row>
    <row r="321" spans="1:10" s="13" customForma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</row>
    <row r="322" spans="1:10" s="13" customForma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</row>
    <row r="323" spans="1:10" s="13" customForma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</row>
    <row r="324" spans="1:10" s="13" customForma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</row>
    <row r="325" spans="1:10" s="13" customForma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</row>
    <row r="326" spans="1:10" s="13" customForma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</row>
    <row r="327" spans="1:10" s="13" customForma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</row>
    <row r="328" spans="1:10" s="13" customForma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</row>
    <row r="329" spans="1:10" s="13" customForma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</row>
    <row r="330" spans="1:10" s="13" customForma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</row>
    <row r="331" spans="1:10" s="13" customForma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</row>
    <row r="332" spans="1:10" s="13" customForma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</row>
    <row r="333" spans="1:10" s="13" customForma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</row>
    <row r="334" spans="1:10" s="13" customForma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</row>
    <row r="335" spans="1:10" s="13" customForma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</row>
    <row r="336" spans="1:10" s="13" customForma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</row>
    <row r="337" spans="1:10" s="13" customForma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</row>
    <row r="338" spans="1:10" s="13" customForma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</row>
    <row r="339" spans="1:10" s="13" customForma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</row>
    <row r="340" spans="1:10" s="13" customForma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</row>
    <row r="341" spans="1:10" s="13" customForma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</row>
    <row r="342" spans="1:10" s="13" customForma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</row>
    <row r="343" spans="1:10" s="13" customForma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</row>
    <row r="344" spans="1:10" s="13" customForma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</row>
    <row r="345" spans="1:10" s="13" customForma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</row>
    <row r="346" spans="1:10" s="13" customForma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</row>
    <row r="347" spans="1:10" s="13" customForma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</row>
    <row r="348" spans="1:10" s="13" customForma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</row>
    <row r="349" spans="1:10" s="13" customForma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</row>
    <row r="350" spans="1:10" s="13" customForma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</row>
    <row r="351" spans="1:10" s="13" customForma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</row>
    <row r="352" spans="1:10" s="13" customForma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</row>
    <row r="353" spans="1:10" s="13" customForma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</row>
    <row r="354" spans="1:10" s="13" customForma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</row>
    <row r="355" spans="1:10" s="13" customForma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</row>
    <row r="356" spans="1:10" s="13" customForma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</row>
    <row r="357" spans="1:10" s="13" customForma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</row>
    <row r="358" spans="1:10" s="13" customForma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</row>
    <row r="359" spans="1:10" s="13" customForma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</row>
    <row r="360" spans="1:10" s="13" customForma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</row>
    <row r="361" spans="1:10" s="13" customForma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</row>
    <row r="362" spans="1:10" s="13" customForma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</row>
    <row r="363" spans="1:10" s="13" customForma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</row>
    <row r="364" spans="1:10" s="13" customForma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</row>
    <row r="365" spans="1:10" s="13" customForma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</row>
    <row r="366" spans="1:10" s="13" customForma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</row>
    <row r="367" spans="1:10" s="13" customForma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</row>
    <row r="368" spans="1:10" s="13" customForma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</row>
    <row r="369" spans="1:10" s="13" customForma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</row>
    <row r="370" spans="1:10" s="13" customForma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</row>
    <row r="371" spans="1:10" s="13" customForma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</row>
    <row r="372" spans="1:10" s="13" customForma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</row>
    <row r="373" spans="1:10" s="13" customForma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</row>
    <row r="374" spans="1:10" s="13" customForma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</row>
    <row r="375" spans="1:10" s="13" customForma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</row>
    <row r="376" spans="1:10" s="13" customForma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</row>
    <row r="377" spans="1:10" s="13" customForma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</row>
    <row r="378" spans="1:10" s="13" customForma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</row>
    <row r="379" spans="1:10" s="13" customForma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</row>
    <row r="380" spans="1:10" s="13" customForma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</row>
    <row r="381" spans="1:10" s="13" customForma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</row>
    <row r="382" spans="1:10" s="13" customForma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</row>
    <row r="383" spans="1:10" s="13" customForma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</row>
    <row r="384" spans="1:10" s="13" customForma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</row>
    <row r="385" spans="1:10" s="13" customForma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</row>
    <row r="386" spans="1:10" s="13" customForma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</row>
    <row r="387" spans="1:10" s="13" customForma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</row>
    <row r="388" spans="1:10" s="13" customForma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</row>
    <row r="389" spans="1:10" s="13" customForma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</row>
    <row r="390" spans="1:10" s="13" customForma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</row>
    <row r="391" spans="1:10" s="13" customForma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</row>
    <row r="392" spans="1:10" s="13" customForma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</row>
    <row r="393" spans="1:10" s="13" customForma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</row>
    <row r="394" spans="1:10" s="13" customForma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</row>
    <row r="395" spans="1:10" s="13" customForma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</row>
    <row r="396" spans="1:10" s="13" customForma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</row>
    <row r="397" spans="1:10" s="13" customForma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</row>
    <row r="398" spans="1:10" s="13" customForma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</row>
    <row r="399" spans="1:10" s="13" customForma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</row>
    <row r="400" spans="1:10" s="13" customForma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</row>
    <row r="401" spans="1:10" s="13" customForma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</row>
    <row r="402" spans="1:10" s="13" customForma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</row>
    <row r="403" spans="1:10" s="13" customForma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</row>
    <row r="404" spans="1:10" s="13" customForma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</row>
    <row r="405" spans="1:10" s="13" customForma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</row>
    <row r="406" spans="1:10" s="13" customForma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</row>
    <row r="407" spans="1:10" s="13" customForma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</row>
    <row r="408" spans="1:10" s="13" customForma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</row>
    <row r="409" spans="1:10" s="13" customForma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</row>
    <row r="410" spans="1:10" s="13" customForma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</row>
    <row r="411" spans="1:10" s="13" customForma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</row>
    <row r="412" spans="1:10" s="13" customForma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</row>
    <row r="413" spans="1:10" s="13" customForma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</row>
    <row r="414" spans="1:10" s="13" customForma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</row>
    <row r="415" spans="1:10" s="13" customForma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</row>
    <row r="416" spans="1:10" s="13" customForma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</row>
    <row r="417" spans="1:10" s="13" customForma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</row>
    <row r="418" spans="1:10" s="13" customForma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</row>
    <row r="419" spans="1:10" s="13" customForma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</row>
    <row r="420" spans="1:10" s="13" customForma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</row>
    <row r="421" spans="1:10" s="13" customForma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</row>
    <row r="422" spans="1:10" s="13" customForma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</row>
    <row r="423" spans="1:10" s="13" customForma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</row>
    <row r="424" spans="1:10" s="13" customForma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</row>
    <row r="425" spans="1:10" s="13" customForma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</row>
    <row r="426" spans="1:10" s="13" customForma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</row>
    <row r="427" spans="1:10" s="13" customForma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</row>
    <row r="428" spans="1:10" s="13" customForma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</row>
    <row r="429" spans="1:10" s="13" customForma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</row>
    <row r="430" spans="1:10" s="13" customForma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</row>
    <row r="431" spans="1:10" s="13" customForma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</row>
    <row r="432" spans="1:10" s="13" customForma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</row>
    <row r="433" spans="1:10" s="13" customForma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</row>
    <row r="434" spans="1:10" s="13" customForma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</row>
    <row r="435" spans="1:10" s="13" customForma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</row>
    <row r="436" spans="1:10" s="13" customForma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</row>
    <row r="437" spans="1:10" s="13" customForma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</row>
    <row r="438" spans="1:10" s="13" customForma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</row>
    <row r="439" spans="1:10" s="13" customForma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</row>
    <row r="440" spans="1:10" s="13" customForma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</row>
    <row r="441" spans="1:10" s="13" customForma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</row>
    <row r="442" spans="1:10" s="13" customForma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</row>
    <row r="443" spans="1:10" s="13" customForma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</row>
    <row r="444" spans="1:10" s="13" customForma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</row>
    <row r="445" spans="1:10" s="13" customForma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</row>
    <row r="446" spans="1:10" s="13" customForma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</row>
    <row r="447" spans="1:10" s="13" customForma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</row>
    <row r="448" spans="1:10" s="13" customForma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</row>
    <row r="449" spans="1:10" s="13" customForma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</row>
    <row r="450" spans="1:10" s="13" customForma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</row>
    <row r="451" spans="1:10" s="13" customForma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</row>
    <row r="452" spans="1:10" s="13" customForma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</row>
    <row r="453" spans="1:10" s="13" customForma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</row>
    <row r="454" spans="1:10" s="13" customForma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</row>
    <row r="455" spans="1:10" s="13" customForma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</row>
    <row r="456" spans="1:10" s="13" customForma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</row>
    <row r="457" spans="1:10" s="13" customForma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</row>
    <row r="458" spans="1:10" s="13" customForma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</row>
    <row r="459" spans="1:10" s="13" customForma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</row>
    <row r="460" spans="1:10" s="13" customForma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</row>
    <row r="461" spans="1:10" s="13" customForma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</row>
    <row r="462" spans="1:10" s="13" customForma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</row>
    <row r="463" spans="1:10" s="13" customForma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</row>
    <row r="464" spans="1:10" s="13" customForma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</row>
    <row r="465" spans="1:10" s="13" customForma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</row>
    <row r="466" spans="1:10" s="13" customForma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</row>
    <row r="467" spans="1:10" s="13" customForma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</row>
    <row r="468" spans="1:10" s="13" customForma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</row>
    <row r="469" spans="1:10" s="13" customForma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</row>
    <row r="470" spans="1:10" s="13" customForma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</row>
    <row r="471" spans="1:10" s="13" customForma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</row>
    <row r="472" spans="1:10" s="13" customForma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</row>
    <row r="473" spans="1:10" s="13" customForma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</row>
    <row r="474" spans="1:10" s="13" customForma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</row>
    <row r="475" spans="1:10" s="13" customForma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</row>
    <row r="476" spans="1:10" s="13" customForma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</row>
    <row r="477" spans="1:10" s="13" customForma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</row>
    <row r="478" spans="1:10" s="13" customForma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</row>
    <row r="479" spans="1:10" s="13" customForma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</row>
    <row r="480" spans="1:10" s="13" customForma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</row>
    <row r="481" spans="1:10" s="13" customForma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</row>
    <row r="482" spans="1:10" s="13" customForma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</row>
    <row r="483" spans="1:10" s="13" customForma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</row>
    <row r="484" spans="1:10" s="13" customForma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</row>
    <row r="485" spans="1:10" s="13" customForma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</row>
    <row r="486" spans="1:10" s="13" customForma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</row>
    <row r="487" spans="1:10" s="13" customForma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</row>
    <row r="488" spans="1:10" s="13" customForma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</row>
    <row r="489" spans="1:10" s="13" customForma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</row>
    <row r="490" spans="1:10" s="13" customForma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</row>
    <row r="491" spans="1:10" s="13" customForma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</row>
    <row r="492" spans="1:10" s="13" customForma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</row>
    <row r="493" spans="1:10" s="13" customForma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</row>
    <row r="494" spans="1:10" s="13" customForma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</row>
    <row r="495" spans="1:10" s="13" customForma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</row>
    <row r="496" spans="1:10" s="13" customForma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</row>
    <row r="497" spans="1:10" s="13" customForma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</row>
    <row r="498" spans="1:10" s="13" customForma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</row>
    <row r="499" spans="1:10" s="13" customForma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</row>
    <row r="500" spans="1:10" s="13" customForma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</row>
    <row r="501" spans="1:10" s="13" customForma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</row>
    <row r="502" spans="1:10" s="13" customForma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</row>
    <row r="503" spans="1:10" s="13" customForma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</row>
    <row r="504" spans="1:10" s="13" customForma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</row>
    <row r="505" spans="1:10" s="13" customForma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</row>
    <row r="506" spans="1:10" s="13" customForma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</row>
    <row r="507" spans="1:10" s="13" customForma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</row>
    <row r="508" spans="1:10" s="13" customForma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</row>
    <row r="509" spans="1:10" s="13" customForma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</row>
    <row r="510" spans="1:10" s="13" customForma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</row>
    <row r="511" spans="1:10" s="13" customForma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</row>
    <row r="512" spans="1:10" s="13" customForma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</row>
    <row r="513" spans="1:10" s="13" customForma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</row>
    <row r="514" spans="1:10" s="13" customForma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</row>
    <row r="515" spans="1:10" s="13" customForma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</row>
    <row r="516" spans="1:10" s="13" customForma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</row>
    <row r="517" spans="1:10" s="13" customForma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</row>
    <row r="518" spans="1:10" s="13" customForma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</row>
    <row r="519" spans="1:10" s="13" customForma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</row>
    <row r="520" spans="1:10" s="13" customForma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</row>
    <row r="521" spans="1:10" s="13" customForma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</row>
    <row r="522" spans="1:10" s="13" customForma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</row>
    <row r="523" spans="1:10" s="13" customForma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</row>
    <row r="524" spans="1:10" s="13" customForma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</row>
    <row r="525" spans="1:10" s="13" customForma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</row>
    <row r="526" spans="1:10" s="13" customForma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</row>
    <row r="527" spans="1:10" s="13" customForma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</row>
    <row r="528" spans="1:10" s="13" customForma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</row>
    <row r="529" spans="1:10" s="13" customForma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</row>
    <row r="530" spans="1:10" s="13" customForma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</row>
    <row r="531" spans="1:10" s="13" customForma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</row>
    <row r="532" spans="1:10" s="13" customForma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</row>
    <row r="533" spans="1:10" s="13" customForma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</row>
    <row r="534" spans="1:10" s="13" customForma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</row>
    <row r="535" spans="1:10" s="13" customForma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</row>
    <row r="536" spans="1:10" s="13" customForma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</row>
    <row r="537" spans="1:10" s="13" customForma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</row>
    <row r="538" spans="1:10" s="13" customForma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</row>
    <row r="539" spans="1:10" s="13" customForma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</row>
    <row r="540" spans="1:10" s="13" customForma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</row>
    <row r="541" spans="1:10" s="13" customForma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</row>
    <row r="542" spans="1:10" s="13" customForma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</row>
    <row r="543" spans="1:10" s="13" customForma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</row>
    <row r="544" spans="1:10" s="13" customForma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</row>
    <row r="545" spans="1:10" s="13" customForma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</row>
    <row r="546" spans="1:10" s="13" customForma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</row>
    <row r="547" spans="1:10" s="13" customForma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</row>
    <row r="548" spans="1:10" s="13" customForma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</row>
    <row r="549" spans="1:10" s="13" customForma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</row>
    <row r="550" spans="1:10" s="13" customForma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</row>
    <row r="551" spans="1:10" s="13" customForma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</row>
    <row r="552" spans="1:10" s="13" customForma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</row>
    <row r="553" spans="1:10" s="13" customForma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</row>
    <row r="554" spans="1:10" s="13" customForma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</row>
    <row r="555" spans="1:10" s="13" customForma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</row>
    <row r="556" spans="1:10" s="13" customForma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</row>
    <row r="557" spans="1:10" s="13" customForma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</row>
    <row r="558" spans="1:10" s="13" customForma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</row>
    <row r="559" spans="1:10" s="13" customForma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</row>
    <row r="560" spans="1:10" s="13" customForma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</row>
    <row r="561" spans="1:10" s="13" customForma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</row>
    <row r="562" spans="1:10" s="13" customForma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</row>
    <row r="563" spans="1:10" s="13" customForma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</row>
    <row r="564" spans="1:10" s="13" customForma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</row>
    <row r="565" spans="1:10" s="13" customForma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</row>
    <row r="566" spans="1:10" s="13" customForma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</row>
    <row r="567" spans="1:10" s="13" customForma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</row>
    <row r="568" spans="1:10" s="13" customForma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</row>
    <row r="569" spans="1:10" s="13" customForma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</row>
    <row r="570" spans="1:10" s="13" customForma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</row>
    <row r="571" spans="1:10" s="13" customForma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</row>
    <row r="572" spans="1:10" s="13" customForma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</row>
    <row r="573" spans="1:10" s="13" customForma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</row>
    <row r="574" spans="1:10" s="13" customForma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</row>
    <row r="575" spans="1:10" s="13" customForma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</row>
    <row r="576" spans="1:10" s="13" customForma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</row>
    <row r="577" spans="1:10" s="13" customForma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</row>
    <row r="578" spans="1:10" s="13" customForma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</row>
    <row r="579" spans="1:10" s="13" customForma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</row>
    <row r="580" spans="1:10" s="13" customForma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</row>
    <row r="581" spans="1:10" s="13" customForma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</row>
    <row r="582" spans="1:10" s="13" customForma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</row>
    <row r="583" spans="1:10" s="13" customForma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</row>
    <row r="584" spans="1:10" s="13" customForma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</row>
    <row r="585" spans="1:10" s="13" customForma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</row>
    <row r="586" spans="1:10" s="13" customForma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</row>
    <row r="587" spans="1:10" s="13" customForma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</row>
    <row r="588" spans="1:10" s="13" customForma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</row>
    <row r="589" spans="1:10" s="13" customForma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</row>
    <row r="590" spans="1:10" s="13" customForma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</row>
    <row r="591" spans="1:10" s="13" customForma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</row>
    <row r="592" spans="1:10" s="13" customForma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</row>
    <row r="593" spans="1:10" s="13" customForma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</row>
    <row r="594" spans="1:10" s="13" customForma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</row>
    <row r="595" spans="1:10" s="13" customForma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</row>
    <row r="596" spans="1:10" s="13" customForma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</row>
    <row r="597" spans="1:10" s="13" customForma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</row>
    <row r="598" spans="1:10" s="13" customForma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</row>
    <row r="599" spans="1:10" s="13" customForma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</row>
    <row r="600" spans="1:10" s="13" customForma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</row>
    <row r="601" spans="1:10" s="13" customForma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</row>
    <row r="602" spans="1:10" s="13" customForma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</row>
    <row r="603" spans="1:10" s="13" customForma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</row>
    <row r="604" spans="1:10" s="13" customForma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</row>
    <row r="605" spans="1:10" s="13" customForma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</row>
    <row r="606" spans="1:10" s="13" customForma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</row>
    <row r="607" spans="1:10" s="13" customForma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</row>
    <row r="608" spans="1:10" s="13" customForma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</row>
    <row r="609" spans="1:10" s="13" customForma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</row>
    <row r="610" spans="1:10" s="13" customForma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</row>
    <row r="611" spans="1:10" s="13" customForma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</row>
    <row r="612" spans="1:10" s="13" customForma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</row>
    <row r="613" spans="1:10" s="13" customForma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</row>
    <row r="614" spans="1:10" s="13" customForma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</row>
    <row r="615" spans="1:10" s="13" customForma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</row>
    <row r="616" spans="1:10" s="13" customForma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</row>
    <row r="617" spans="1:10" s="13" customForma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</row>
    <row r="618" spans="1:10" s="13" customForma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</row>
    <row r="619" spans="1:10" s="13" customForma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</row>
    <row r="620" spans="1:10" s="13" customForma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</row>
    <row r="621" spans="1:10" s="13" customForma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</row>
    <row r="622" spans="1:10" s="13" customForma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</row>
    <row r="623" spans="1:10" s="13" customForma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</row>
    <row r="624" spans="1:10" s="13" customForma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</row>
    <row r="625" spans="1:10" s="13" customForma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</row>
    <row r="626" spans="1:10" s="13" customForma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</row>
    <row r="627" spans="1:10" s="13" customForma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</row>
    <row r="628" spans="1:10" s="13" customForma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</row>
    <row r="629" spans="1:10" s="13" customForma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</row>
    <row r="630" spans="1:10" s="13" customForma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</row>
    <row r="631" spans="1:10" s="13" customForma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</row>
    <row r="632" spans="1:10" s="13" customForma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</row>
    <row r="633" spans="1:10" s="13" customForma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</row>
    <row r="634" spans="1:10" s="13" customForma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</row>
    <row r="635" spans="1:10" s="13" customForma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</row>
    <row r="636" spans="1:10" s="13" customForma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</row>
    <row r="637" spans="1:10" s="13" customForma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</row>
    <row r="638" spans="1:10" s="13" customForma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</row>
    <row r="639" spans="1:10" s="13" customForma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</row>
    <row r="640" spans="1:10" s="13" customForma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</row>
    <row r="641" spans="1:10" s="13" customForma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</row>
    <row r="642" spans="1:10" s="13" customForma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</row>
    <row r="643" spans="1:10" s="13" customForma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</row>
    <row r="644" spans="1:10" s="13" customForma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</row>
    <row r="645" spans="1:10" s="13" customForma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</row>
    <row r="646" spans="1:10" s="13" customForma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</row>
    <row r="647" spans="1:10" s="13" customForma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</row>
    <row r="648" spans="1:10" s="13" customForma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</row>
    <row r="649" spans="1:10" s="13" customForma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</row>
    <row r="650" spans="1:10" s="13" customForma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</row>
    <row r="651" spans="1:10" s="13" customForma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</row>
    <row r="652" spans="1:10" s="13" customForma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</row>
    <row r="653" spans="1:10" s="13" customForma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</row>
    <row r="654" spans="1:10" s="13" customForma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</row>
    <row r="655" spans="1:10" s="13" customForma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</row>
    <row r="656" spans="1:10" s="13" customForma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</row>
    <row r="657" spans="1:10" s="13" customForma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</row>
    <row r="658" spans="1:10" s="13" customForma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</row>
    <row r="659" spans="1:10" s="13" customForma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</row>
    <row r="660" spans="1:10" s="13" customForma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</row>
    <row r="661" spans="1:10" s="13" customForma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</row>
    <row r="662" spans="1:10" s="13" customForma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</row>
    <row r="663" spans="1:10" s="13" customForma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</row>
    <row r="664" spans="1:10" s="13" customForma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</row>
    <row r="665" spans="1:10" s="13" customForma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</row>
    <row r="666" spans="1:10" s="13" customForma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</row>
    <row r="667" spans="1:10" s="13" customForma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</row>
    <row r="668" spans="1:10" s="13" customForma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</row>
    <row r="669" spans="1:10" s="13" customForma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</row>
    <row r="670" spans="1:10" s="13" customForma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</row>
    <row r="671" spans="1:10" s="13" customForma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</row>
    <row r="672" spans="1:10" s="13" customForma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</row>
    <row r="673" spans="1:10" s="13" customForma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</row>
    <row r="674" spans="1:10" s="13" customForma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</row>
    <row r="675" spans="1:10" s="13" customForma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</row>
    <row r="676" spans="1:10" s="13" customForma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</row>
    <row r="677" spans="1:10" s="13" customForma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</row>
    <row r="678" spans="1:10" s="13" customForma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</row>
    <row r="679" spans="1:10" s="13" customForma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</row>
    <row r="680" spans="1:10" s="13" customForma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</row>
    <row r="681" spans="1:10" s="13" customForma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</row>
    <row r="682" spans="1:10" s="13" customForma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</row>
    <row r="683" spans="1:10" s="13" customForma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</row>
    <row r="684" spans="1:10" s="13" customForma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</row>
    <row r="685" spans="1:10" s="13" customForma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</row>
    <row r="686" spans="1:10" s="13" customForma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</row>
    <row r="687" spans="1:10" s="13" customForma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</row>
    <row r="688" spans="1:10" s="13" customForma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</row>
    <row r="689" spans="1:10" s="13" customForma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</row>
    <row r="690" spans="1:10" s="13" customForma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</row>
    <row r="691" spans="1:10" s="13" customForma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</row>
    <row r="692" spans="1:10" s="13" customForma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</row>
    <row r="693" spans="1:10" s="13" customForma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</row>
    <row r="694" spans="1:10" s="13" customForma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</row>
    <row r="695" spans="1:10" s="13" customForma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</row>
    <row r="696" spans="1:10" s="13" customForma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</row>
    <row r="697" spans="1:10" s="13" customForma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</row>
    <row r="698" spans="1:10" s="13" customForma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</row>
    <row r="699" spans="1:10" s="13" customForma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</row>
    <row r="700" spans="1:10" s="13" customForma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</row>
    <row r="701" spans="1:10" s="13" customForma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</row>
    <row r="702" spans="1:10" s="13" customForma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</row>
    <row r="703" spans="1:10" s="13" customForma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</row>
    <row r="704" spans="1:10" s="13" customForma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</row>
    <row r="705" spans="1:10" s="13" customForma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</row>
    <row r="706" spans="1:10" s="13" customForma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</row>
    <row r="707" spans="1:10" s="13" customForma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</row>
    <row r="708" spans="1:10" s="13" customForma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</row>
    <row r="709" spans="1:10" s="13" customForma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</row>
    <row r="710" spans="1:10" s="13" customForma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</row>
    <row r="711" spans="1:10" s="13" customForma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</row>
    <row r="712" spans="1:10" s="13" customForma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</row>
    <row r="713" spans="1:10" s="13" customForma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</row>
    <row r="714" spans="1:10" s="13" customForma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</row>
    <row r="715" spans="1:10" s="13" customForma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</row>
    <row r="716" spans="1:10" s="13" customForma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</row>
    <row r="717" spans="1:10" s="13" customForma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</row>
    <row r="718" spans="1:10" s="13" customForma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</row>
    <row r="719" spans="1:10" s="13" customForma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</row>
    <row r="720" spans="1:10" s="13" customForma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</row>
    <row r="721" spans="1:10" s="13" customForma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</row>
    <row r="722" spans="1:10" s="13" customForma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</row>
    <row r="723" spans="1:10" s="13" customForma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</row>
    <row r="724" spans="1:10" s="13" customForma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</row>
    <row r="725" spans="1:10" s="13" customForma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</row>
    <row r="726" spans="1:10" s="13" customForma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</row>
    <row r="727" spans="1:10" s="13" customForma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</row>
    <row r="728" spans="1:10" s="13" customForma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</row>
    <row r="729" spans="1:10" s="13" customForma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</row>
    <row r="730" spans="1:10" s="13" customForma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</row>
    <row r="731" spans="1:10" s="13" customForma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</row>
    <row r="732" spans="1:10" s="13" customForma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</row>
    <row r="733" spans="1:10" s="13" customForma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</row>
    <row r="734" spans="1:10" s="13" customForma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</row>
    <row r="735" spans="1:10" s="13" customForma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</row>
    <row r="736" spans="1:10" s="13" customForma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</row>
    <row r="737" spans="1:10" s="13" customForma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</row>
    <row r="738" spans="1:10" s="13" customForma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</row>
    <row r="739" spans="1:10" s="13" customForma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</row>
    <row r="740" spans="1:10" s="13" customForma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</row>
    <row r="741" spans="1:10" s="13" customForma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</row>
    <row r="742" spans="1:10" s="13" customForma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</row>
    <row r="743" spans="1:10" s="13" customForma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</row>
    <row r="744" spans="1:10" s="13" customForma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</row>
    <row r="745" spans="1:10" s="13" customForma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</row>
    <row r="746" spans="1:10" s="13" customForma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</row>
    <row r="747" spans="1:10" s="13" customForma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</row>
    <row r="748" spans="1:10" s="13" customForma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</row>
    <row r="749" spans="1:10" s="13" customForma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</row>
    <row r="750" spans="1:10" s="13" customForma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</row>
    <row r="751" spans="1:10" s="13" customForma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</row>
    <row r="752" spans="1:10" s="13" customForma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</row>
    <row r="753" spans="1:10" s="13" customForma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</row>
    <row r="754" spans="1:10" s="13" customForma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</row>
    <row r="755" spans="1:10" s="13" customForma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</row>
    <row r="756" spans="1:10" s="13" customForma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</row>
    <row r="757" spans="1:10" s="13" customForma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</row>
    <row r="758" spans="1:10" s="13" customForma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</row>
    <row r="759" spans="1:10" s="13" customForma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</row>
    <row r="760" spans="1:10" s="13" customForma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</row>
    <row r="761" spans="1:10" s="13" customForma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</row>
    <row r="762" spans="1:10" s="13" customForma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</row>
    <row r="763" spans="1:10" s="13" customForma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</row>
    <row r="764" spans="1:10" s="13" customForma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</row>
    <row r="765" spans="1:10" s="13" customForma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</row>
    <row r="766" spans="1:10" s="13" customForma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</row>
    <row r="767" spans="1:10" s="13" customForma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</row>
    <row r="768" spans="1:10" s="13" customForma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</row>
    <row r="769" spans="1:10" s="13" customForma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</row>
    <row r="770" spans="1:10" s="13" customForma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</row>
    <row r="771" spans="1:10" s="13" customForma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</row>
    <row r="772" spans="1:10" s="13" customForma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</row>
    <row r="773" spans="1:10" s="13" customForma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</row>
    <row r="774" spans="1:10" s="13" customForma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</row>
    <row r="775" spans="1:10" s="13" customForma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</row>
    <row r="776" spans="1:10" s="13" customForma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</row>
    <row r="777" spans="1:10" s="13" customForma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</row>
    <row r="778" spans="1:10" s="13" customForma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</row>
    <row r="779" spans="1:10" s="13" customForma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</row>
    <row r="780" spans="1:10" s="13" customForma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</row>
    <row r="781" spans="1:10" s="13" customForma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</row>
    <row r="782" spans="1:10" s="13" customForma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</row>
    <row r="783" spans="1:10" s="13" customForma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</row>
    <row r="784" spans="1:10" s="13" customForma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</row>
    <row r="785" spans="1:10" s="13" customForma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</row>
    <row r="786" spans="1:10" s="13" customForma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</row>
    <row r="787" spans="1:10" s="13" customForma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</row>
    <row r="788" spans="1:10" s="13" customForma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</row>
    <row r="789" spans="1:10" s="13" customForma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</row>
    <row r="790" spans="1:10" s="13" customForma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</row>
    <row r="791" spans="1:10" s="13" customForma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</row>
    <row r="792" spans="1:10" s="13" customForma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</row>
    <row r="793" spans="1:10" s="13" customForma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</row>
    <row r="794" spans="1:10" s="13" customForma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</row>
    <row r="795" spans="1:10" s="13" customForma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</row>
    <row r="796" spans="1:10" s="13" customForma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</row>
    <row r="797" spans="1:10" s="13" customForma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</row>
    <row r="798" spans="1:10" s="13" customForma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</row>
    <row r="799" spans="1:10" s="13" customForma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</row>
    <row r="800" spans="1:10" s="13" customForma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</row>
    <row r="801" spans="1:10" s="13" customForma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</row>
    <row r="802" spans="1:10" s="13" customForma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</row>
    <row r="803" spans="1:10" s="13" customForma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</row>
    <row r="804" spans="1:10" s="13" customForma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</row>
    <row r="805" spans="1:10" s="13" customForma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</row>
    <row r="806" spans="1:10" s="13" customForma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</row>
    <row r="807" spans="1:10" s="13" customForma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</row>
    <row r="808" spans="1:10" s="13" customForma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</row>
    <row r="809" spans="1:10" s="13" customForma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</row>
    <row r="810" spans="1:10" s="13" customForma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</row>
    <row r="811" spans="1:10" s="13" customForma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</row>
    <row r="812" spans="1:10" s="13" customForma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</row>
    <row r="813" spans="1:10" s="13" customForma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</row>
    <row r="814" spans="1:10" s="13" customForma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</row>
    <row r="815" spans="1:10" s="13" customForma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</row>
    <row r="816" spans="1:10" s="13" customForma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</row>
    <row r="817" spans="1:10" s="13" customForma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</row>
    <row r="818" spans="1:10" s="13" customForma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</row>
    <row r="819" spans="1:10" s="13" customForma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</row>
    <row r="820" spans="1:10" s="13" customForma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</row>
    <row r="821" spans="1:10" s="13" customForma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</row>
    <row r="822" spans="1:10" s="13" customForma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</row>
    <row r="823" spans="1:10" s="13" customForma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</row>
    <row r="824" spans="1:10" s="13" customForma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</row>
    <row r="825" spans="1:10" s="13" customForma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</row>
    <row r="826" spans="1:10" s="13" customForma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</row>
    <row r="827" spans="1:10" s="13" customForma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</row>
    <row r="828" spans="1:10" s="13" customForma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</row>
    <row r="829" spans="1:10" s="13" customForma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</row>
    <row r="830" spans="1:10" s="13" customForma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</row>
    <row r="831" spans="1:10" s="13" customForma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</row>
    <row r="832" spans="1:10" s="13" customForma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</row>
    <row r="833" spans="1:10" s="13" customForma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</row>
    <row r="834" spans="1:10" s="13" customForma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</row>
    <row r="835" spans="1:10" s="13" customForma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</row>
    <row r="836" spans="1:10" s="13" customForma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</row>
    <row r="837" spans="1:10" s="13" customForma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</row>
    <row r="838" spans="1:10" s="13" customForma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</row>
    <row r="839" spans="1:10" s="13" customForma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</row>
    <row r="840" spans="1:10" s="13" customForma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</row>
    <row r="841" spans="1:10" s="13" customForma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</row>
    <row r="842" spans="1:10" s="13" customForma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</row>
    <row r="843" spans="1:10" s="13" customForma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</row>
    <row r="844" spans="1:10" s="13" customForma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</row>
    <row r="845" spans="1:10" s="13" customForma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</row>
    <row r="846" spans="1:10" s="13" customForma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</row>
    <row r="847" spans="1:10" s="13" customForma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</row>
    <row r="848" spans="1:10" s="13" customForma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</row>
    <row r="849" spans="1:10" s="13" customForma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</row>
    <row r="850" spans="1:10" s="13" customForma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</row>
    <row r="851" spans="1:10" s="13" customForma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</row>
    <row r="852" spans="1:10" s="13" customForma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</row>
    <row r="853" spans="1:10" s="13" customForma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</row>
    <row r="854" spans="1:10" s="13" customForma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</row>
    <row r="855" spans="1:10" s="13" customForma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</row>
    <row r="856" spans="1:10" s="13" customForma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</row>
    <row r="857" spans="1:10" s="13" customForma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</row>
    <row r="858" spans="1:10" s="13" customForma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</row>
    <row r="859" spans="1:10" s="13" customForma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</row>
    <row r="860" spans="1:10" s="13" customForma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</row>
    <row r="861" spans="1:10" s="13" customForma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</row>
    <row r="862" spans="1:10" s="13" customForma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</row>
    <row r="863" spans="1:10" s="13" customForma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</row>
    <row r="864" spans="1:10" s="13" customForma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</row>
    <row r="865" spans="1:10" s="13" customForma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</row>
    <row r="866" spans="1:10" s="13" customForma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</row>
    <row r="867" spans="1:10" s="13" customForma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</row>
    <row r="868" spans="1:10" s="13" customForma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</row>
    <row r="869" spans="1:10" s="13" customForma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</row>
    <row r="870" spans="1:10" s="13" customForma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</row>
    <row r="871" spans="1:10" s="13" customForma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</row>
    <row r="872" spans="1:10" s="13" customForma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</row>
    <row r="873" spans="1:10" s="13" customForma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</row>
    <row r="874" spans="1:10" s="13" customForma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</row>
    <row r="875" spans="1:10" s="13" customForma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</row>
    <row r="876" spans="1:10" s="13" customForma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</row>
    <row r="877" spans="1:10" s="13" customForma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</row>
    <row r="878" spans="1:10" s="13" customForma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</row>
    <row r="879" spans="1:10" s="13" customForma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</row>
    <row r="880" spans="1:10" s="13" customForma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</row>
    <row r="881" spans="1:10" s="13" customForma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</row>
    <row r="882" spans="1:10" s="13" customForma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</row>
    <row r="883" spans="1:10" s="13" customForma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</row>
    <row r="884" spans="1:10" s="13" customForma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</row>
    <row r="885" spans="1:10" s="13" customForma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</row>
    <row r="886" spans="1:10" s="13" customForma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</row>
    <row r="887" spans="1:10" s="13" customForma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</row>
    <row r="888" spans="1:10" s="13" customForma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</row>
    <row r="889" spans="1:10" s="13" customForma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</row>
    <row r="890" spans="1:10" s="13" customForma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</row>
    <row r="891" spans="1:10" s="13" customForma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</row>
    <row r="892" spans="1:10" s="13" customForma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</row>
    <row r="893" spans="1:10" s="13" customForma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</row>
    <row r="894" spans="1:10" s="13" customForma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</row>
    <row r="895" spans="1:10" s="13" customForma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</row>
    <row r="896" spans="1:10" s="13" customForma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</row>
    <row r="897" spans="1:10" s="13" customForma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</row>
    <row r="898" spans="1:10" s="13" customForma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</row>
    <row r="899" spans="1:10" s="13" customForma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</row>
    <row r="900" spans="1:10" s="13" customForma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</row>
    <row r="901" spans="1:10" s="13" customForma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</row>
    <row r="902" spans="1:10" s="13" customForma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</row>
    <row r="903" spans="1:10" s="13" customForma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</row>
    <row r="904" spans="1:10" s="13" customForma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</row>
    <row r="905" spans="1:10" s="13" customForma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</row>
    <row r="906" spans="1:10" s="13" customForma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</row>
    <row r="907" spans="1:10" s="13" customForma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</row>
    <row r="908" spans="1:10" s="13" customForma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</row>
    <row r="909" spans="1:10" s="13" customForma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</row>
    <row r="910" spans="1:10" s="13" customForma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</row>
    <row r="911" spans="1:10" s="13" customForma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</row>
    <row r="912" spans="1:10" s="13" customForma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</row>
    <row r="913" spans="1:10" s="13" customForma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</row>
    <row r="914" spans="1:10" s="13" customForma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</row>
    <row r="915" spans="1:10" s="13" customForma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</row>
    <row r="916" spans="1:10" s="13" customForma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</row>
    <row r="917" spans="1:10" s="13" customForma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</row>
    <row r="918" spans="1:10" s="13" customForma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</row>
    <row r="919" spans="1:10" s="13" customForma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</row>
    <row r="920" spans="1:10" s="13" customForma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</row>
    <row r="921" spans="1:10" s="13" customForma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</row>
    <row r="922" spans="1:10" s="13" customForma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</row>
    <row r="923" spans="1:10" s="13" customForma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</row>
    <row r="924" spans="1:10" s="13" customForma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</row>
    <row r="925" spans="1:10" s="13" customForma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</row>
    <row r="926" spans="1:10" s="13" customForma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</row>
    <row r="927" spans="1:10" s="13" customForma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</row>
    <row r="928" spans="1:10" s="13" customForma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</row>
    <row r="929" spans="1:10" s="13" customForma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</row>
    <row r="930" spans="1:10" s="13" customForma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</row>
    <row r="931" spans="1:10" s="13" customForma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</row>
    <row r="932" spans="1:10" s="13" customForma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</row>
    <row r="933" spans="1:10" s="13" customForma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</row>
    <row r="934" spans="1:10" s="13" customForma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</row>
    <row r="935" spans="1:10" s="13" customForma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</row>
    <row r="936" spans="1:10" s="13" customForma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</row>
    <row r="937" spans="1:10" s="13" customForma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</row>
    <row r="938" spans="1:10" s="13" customForma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</row>
    <row r="939" spans="1:10" s="13" customForma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</row>
    <row r="940" spans="1:10" s="13" customForma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</row>
    <row r="941" spans="1:10" s="13" customForma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</row>
    <row r="942" spans="1:10" s="13" customForma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</row>
    <row r="943" spans="1:10" s="13" customForma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</row>
    <row r="944" spans="1:10" s="13" customForma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</row>
    <row r="945" spans="1:10" s="13" customForma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</row>
    <row r="946" spans="1:10" s="13" customForma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</row>
    <row r="947" spans="1:10" s="13" customForma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</row>
    <row r="948" spans="1:10" s="13" customForma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</row>
    <row r="949" spans="1:10" s="13" customForma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</row>
    <row r="950" spans="1:10" s="13" customForma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</row>
    <row r="951" spans="1:10" s="13" customForma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</row>
    <row r="952" spans="1:10" s="13" customForma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</row>
    <row r="953" spans="1:10" s="13" customForma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</row>
    <row r="954" spans="1:10" s="13" customForma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</row>
    <row r="955" spans="1:10" s="13" customForma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</row>
    <row r="956" spans="1:10" s="13" customForma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</row>
    <row r="957" spans="1:10" s="13" customForma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</row>
    <row r="958" spans="1:10" s="13" customForma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</row>
    <row r="959" spans="1:10" s="13" customForma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</row>
    <row r="960" spans="1:10" s="13" customForma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</row>
    <row r="961" spans="1:10" s="13" customForma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</row>
    <row r="962" spans="1:10" s="13" customForma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</row>
    <row r="963" spans="1:10" s="13" customForma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</row>
    <row r="964" spans="1:10" s="13" customForma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</row>
    <row r="965" spans="1:10" s="13" customForma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</row>
    <row r="966" spans="1:10" s="13" customForma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</row>
    <row r="967" spans="1:10" s="13" customForma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</row>
    <row r="968" spans="1:10" s="13" customForma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</row>
    <row r="969" spans="1:10" s="13" customForma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</row>
    <row r="970" spans="1:10" s="13" customForma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</row>
    <row r="971" spans="1:10" s="13" customForma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</row>
    <row r="972" spans="1:10" s="13" customForma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</row>
    <row r="973" spans="1:10" s="13" customForma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</row>
    <row r="974" spans="1:10" s="13" customForma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</row>
    <row r="975" spans="1:10" s="13" customForma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</row>
    <row r="976" spans="1:10" s="13" customForma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</row>
    <row r="977" spans="1:10" s="13" customForma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</row>
    <row r="978" spans="1:10" s="13" customForma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</row>
    <row r="979" spans="1:10" s="13" customForma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</row>
    <row r="980" spans="1:10" s="13" customForma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</row>
    <row r="981" spans="1:10" s="13" customForma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</row>
    <row r="982" spans="1:10" s="13" customForma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</row>
    <row r="983" spans="1:10" s="13" customForma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</row>
    <row r="984" spans="1:10" s="13" customForma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</row>
    <row r="985" spans="1:10" s="13" customForma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</row>
    <row r="986" spans="1:10" s="13" customForma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</row>
    <row r="987" spans="1:10" s="13" customForma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</row>
    <row r="988" spans="1:10" s="13" customForma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</row>
    <row r="989" spans="1:10" s="13" customForma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</row>
    <row r="990" spans="1:10" s="13" customForma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</row>
    <row r="991" spans="1:10" s="13" customForma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</row>
    <row r="992" spans="1:10" s="13" customForma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</row>
    <row r="993" spans="1:10" s="13" customForma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</row>
    <row r="994" spans="1:10" s="13" customForma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</row>
    <row r="995" spans="1:10" s="13" customForma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</row>
    <row r="996" spans="1:10" s="13" customForma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</row>
    <row r="997" spans="1:10" s="13" customForma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</row>
    <row r="998" spans="1:10" s="13" customForma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</row>
    <row r="999" spans="1:10" s="13" customForma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</row>
    <row r="1000" spans="1:10" s="13" customForma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</row>
    <row r="1001" spans="1:10" s="13" customFormat="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</row>
    <row r="1002" spans="1:10" s="13" customFormat="1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</row>
    <row r="1003" spans="1:10" s="13" customFormat="1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</row>
    <row r="1004" spans="1:10" s="13" customFormat="1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</row>
    <row r="1005" spans="1:10" s="13" customFormat="1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</row>
    <row r="1006" spans="1:10" s="13" customFormat="1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</row>
    <row r="1007" spans="1:10" s="13" customFormat="1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</row>
    <row r="1008" spans="1:10" s="13" customFormat="1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</row>
    <row r="1009" spans="1:10" s="13" customFormat="1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</row>
    <row r="1010" spans="1:10" s="13" customFormat="1">
      <c r="A1010" s="26"/>
      <c r="B1010" s="26"/>
      <c r="C1010" s="26"/>
      <c r="D1010" s="26"/>
      <c r="E1010" s="26"/>
      <c r="F1010" s="26"/>
      <c r="G1010" s="26"/>
      <c r="H1010" s="26"/>
      <c r="I1010" s="26"/>
      <c r="J1010" s="26"/>
    </row>
    <row r="1011" spans="1:10" s="13" customFormat="1">
      <c r="A1011" s="26"/>
      <c r="B1011" s="26"/>
      <c r="C1011" s="26"/>
      <c r="D1011" s="26"/>
      <c r="E1011" s="26"/>
      <c r="F1011" s="26"/>
      <c r="G1011" s="26"/>
      <c r="H1011" s="26"/>
      <c r="I1011" s="26"/>
      <c r="J1011" s="26"/>
    </row>
    <row r="1012" spans="1:10" s="13" customFormat="1">
      <c r="A1012" s="26"/>
      <c r="B1012" s="26"/>
      <c r="C1012" s="26"/>
      <c r="D1012" s="26"/>
      <c r="E1012" s="26"/>
      <c r="F1012" s="26"/>
      <c r="G1012" s="26"/>
      <c r="H1012" s="26"/>
      <c r="I1012" s="26"/>
      <c r="J1012" s="26"/>
    </row>
    <row r="1013" spans="1:10" s="13" customFormat="1">
      <c r="A1013" s="26"/>
      <c r="B1013" s="26"/>
      <c r="C1013" s="26"/>
      <c r="D1013" s="26"/>
      <c r="E1013" s="26"/>
      <c r="F1013" s="26"/>
      <c r="G1013" s="26"/>
      <c r="H1013" s="26"/>
      <c r="I1013" s="26"/>
      <c r="J1013" s="26"/>
    </row>
    <row r="1014" spans="1:10" s="13" customFormat="1">
      <c r="A1014" s="26"/>
      <c r="B1014" s="26"/>
      <c r="C1014" s="26"/>
      <c r="D1014" s="26"/>
      <c r="E1014" s="26"/>
      <c r="F1014" s="26"/>
      <c r="G1014" s="26"/>
      <c r="H1014" s="26"/>
      <c r="I1014" s="26"/>
      <c r="J1014" s="26"/>
    </row>
    <row r="1015" spans="1:10" s="13" customFormat="1">
      <c r="A1015" s="26"/>
      <c r="B1015" s="26"/>
      <c r="C1015" s="26"/>
      <c r="D1015" s="26"/>
      <c r="E1015" s="26"/>
      <c r="F1015" s="26"/>
      <c r="G1015" s="26"/>
      <c r="H1015" s="26"/>
      <c r="I1015" s="26"/>
      <c r="J1015" s="26"/>
    </row>
    <row r="1016" spans="1:10" s="13" customFormat="1">
      <c r="A1016" s="26"/>
      <c r="B1016" s="26"/>
      <c r="C1016" s="26"/>
      <c r="D1016" s="26"/>
      <c r="E1016" s="26"/>
      <c r="F1016" s="26"/>
      <c r="G1016" s="26"/>
      <c r="H1016" s="26"/>
      <c r="I1016" s="26"/>
      <c r="J1016" s="26"/>
    </row>
    <row r="1017" spans="1:10" s="13" customFormat="1">
      <c r="A1017" s="26"/>
      <c r="B1017" s="26"/>
      <c r="C1017" s="26"/>
      <c r="D1017" s="26"/>
      <c r="E1017" s="26"/>
      <c r="F1017" s="26"/>
      <c r="G1017" s="26"/>
      <c r="H1017" s="26"/>
      <c r="I1017" s="26"/>
      <c r="J1017" s="26"/>
    </row>
    <row r="1018" spans="1:10" s="13" customFormat="1">
      <c r="A1018" s="26"/>
      <c r="B1018" s="26"/>
      <c r="C1018" s="26"/>
      <c r="D1018" s="26"/>
      <c r="E1018" s="26"/>
      <c r="F1018" s="26"/>
      <c r="G1018" s="26"/>
      <c r="H1018" s="26"/>
      <c r="I1018" s="26"/>
      <c r="J1018" s="26"/>
    </row>
    <row r="1019" spans="1:10" s="13" customFormat="1">
      <c r="A1019" s="26"/>
      <c r="B1019" s="26"/>
      <c r="C1019" s="26"/>
      <c r="D1019" s="26"/>
      <c r="E1019" s="26"/>
      <c r="F1019" s="26"/>
      <c r="G1019" s="26"/>
      <c r="H1019" s="26"/>
      <c r="I1019" s="26"/>
      <c r="J1019" s="26"/>
    </row>
    <row r="1020" spans="1:10" s="13" customFormat="1">
      <c r="A1020" s="26"/>
      <c r="B1020" s="26"/>
      <c r="C1020" s="26"/>
      <c r="D1020" s="26"/>
      <c r="E1020" s="26"/>
      <c r="F1020" s="26"/>
      <c r="G1020" s="26"/>
      <c r="H1020" s="26"/>
      <c r="I1020" s="26"/>
      <c r="J1020" s="26"/>
    </row>
    <row r="1021" spans="1:10" s="13" customFormat="1">
      <c r="A1021" s="26"/>
      <c r="B1021" s="26"/>
      <c r="C1021" s="26"/>
      <c r="D1021" s="26"/>
      <c r="E1021" s="26"/>
      <c r="F1021" s="26"/>
      <c r="G1021" s="26"/>
      <c r="H1021" s="26"/>
      <c r="I1021" s="26"/>
      <c r="J1021" s="26"/>
    </row>
    <row r="1022" spans="1:10" s="13" customFormat="1">
      <c r="A1022" s="26"/>
      <c r="B1022" s="26"/>
      <c r="C1022" s="26"/>
      <c r="D1022" s="26"/>
      <c r="E1022" s="26"/>
      <c r="F1022" s="26"/>
      <c r="G1022" s="26"/>
      <c r="H1022" s="26"/>
      <c r="I1022" s="26"/>
      <c r="J1022" s="26"/>
    </row>
    <row r="1023" spans="1:10" s="13" customFormat="1">
      <c r="A1023" s="26"/>
      <c r="B1023" s="26"/>
      <c r="C1023" s="26"/>
      <c r="D1023" s="26"/>
      <c r="E1023" s="26"/>
      <c r="F1023" s="26"/>
      <c r="G1023" s="26"/>
      <c r="H1023" s="26"/>
      <c r="I1023" s="26"/>
      <c r="J1023" s="26"/>
    </row>
    <row r="1024" spans="1:10" s="13" customFormat="1">
      <c r="A1024" s="26"/>
      <c r="B1024" s="26"/>
      <c r="C1024" s="26"/>
      <c r="D1024" s="26"/>
      <c r="E1024" s="26"/>
      <c r="F1024" s="26"/>
      <c r="G1024" s="26"/>
      <c r="H1024" s="26"/>
      <c r="I1024" s="26"/>
      <c r="J1024" s="26"/>
    </row>
    <row r="1025" spans="1:10" s="13" customFormat="1">
      <c r="A1025" s="26"/>
      <c r="B1025" s="26"/>
      <c r="C1025" s="26"/>
      <c r="D1025" s="26"/>
      <c r="E1025" s="26"/>
      <c r="F1025" s="26"/>
      <c r="G1025" s="26"/>
      <c r="H1025" s="26"/>
      <c r="I1025" s="26"/>
      <c r="J1025" s="26"/>
    </row>
    <row r="1026" spans="1:10" s="13" customFormat="1">
      <c r="A1026" s="26"/>
      <c r="B1026" s="26"/>
      <c r="C1026" s="26"/>
      <c r="D1026" s="26"/>
      <c r="E1026" s="26"/>
      <c r="F1026" s="26"/>
      <c r="G1026" s="26"/>
      <c r="H1026" s="26"/>
      <c r="I1026" s="26"/>
      <c r="J1026" s="26"/>
    </row>
    <row r="1027" spans="1:10" s="13" customFormat="1">
      <c r="A1027" s="26"/>
      <c r="B1027" s="26"/>
      <c r="C1027" s="26"/>
      <c r="D1027" s="26"/>
      <c r="E1027" s="26"/>
      <c r="F1027" s="26"/>
      <c r="G1027" s="26"/>
      <c r="H1027" s="26"/>
      <c r="I1027" s="26"/>
      <c r="J1027" s="26"/>
    </row>
    <row r="1028" spans="1:10" s="13" customFormat="1">
      <c r="A1028" s="26"/>
      <c r="B1028" s="26"/>
      <c r="C1028" s="26"/>
      <c r="D1028" s="26"/>
      <c r="E1028" s="26"/>
      <c r="F1028" s="26"/>
      <c r="G1028" s="26"/>
      <c r="H1028" s="26"/>
      <c r="I1028" s="26"/>
      <c r="J1028" s="26"/>
    </row>
    <row r="1029" spans="1:10" s="13" customFormat="1">
      <c r="A1029" s="26"/>
      <c r="B1029" s="26"/>
      <c r="C1029" s="26"/>
      <c r="D1029" s="26"/>
      <c r="E1029" s="26"/>
      <c r="F1029" s="26"/>
      <c r="G1029" s="26"/>
      <c r="H1029" s="26"/>
      <c r="I1029" s="26"/>
      <c r="J1029" s="26"/>
    </row>
    <row r="1030" spans="1:10" s="13" customFormat="1">
      <c r="A1030" s="26"/>
      <c r="B1030" s="26"/>
      <c r="C1030" s="26"/>
      <c r="D1030" s="26"/>
      <c r="E1030" s="26"/>
      <c r="F1030" s="26"/>
      <c r="G1030" s="26"/>
      <c r="H1030" s="26"/>
      <c r="I1030" s="26"/>
      <c r="J1030" s="26"/>
    </row>
    <row r="1031" spans="1:10" s="13" customFormat="1">
      <c r="A1031" s="26"/>
      <c r="B1031" s="26"/>
      <c r="C1031" s="26"/>
      <c r="D1031" s="26"/>
      <c r="E1031" s="26"/>
      <c r="F1031" s="26"/>
      <c r="G1031" s="26"/>
      <c r="H1031" s="26"/>
      <c r="I1031" s="26"/>
      <c r="J1031" s="26"/>
    </row>
    <row r="1032" spans="1:10" s="13" customFormat="1">
      <c r="A1032" s="26"/>
      <c r="B1032" s="26"/>
      <c r="C1032" s="26"/>
      <c r="D1032" s="26"/>
      <c r="E1032" s="26"/>
      <c r="F1032" s="26"/>
      <c r="G1032" s="26"/>
      <c r="H1032" s="26"/>
      <c r="I1032" s="26"/>
      <c r="J1032" s="26"/>
    </row>
    <row r="1033" spans="1:10" s="13" customFormat="1">
      <c r="A1033" s="26"/>
      <c r="B1033" s="26"/>
      <c r="C1033" s="26"/>
      <c r="D1033" s="26"/>
      <c r="E1033" s="26"/>
      <c r="F1033" s="26"/>
      <c r="G1033" s="26"/>
      <c r="H1033" s="26"/>
      <c r="I1033" s="26"/>
      <c r="J1033" s="26"/>
    </row>
    <row r="1034" spans="1:10" s="13" customFormat="1">
      <c r="A1034" s="26"/>
      <c r="B1034" s="26"/>
      <c r="C1034" s="26"/>
      <c r="D1034" s="26"/>
      <c r="E1034" s="26"/>
      <c r="F1034" s="26"/>
      <c r="G1034" s="26"/>
      <c r="H1034" s="26"/>
      <c r="I1034" s="26"/>
      <c r="J1034" s="26"/>
    </row>
    <row r="1035" spans="1:10" s="13" customFormat="1">
      <c r="A1035" s="26"/>
      <c r="B1035" s="26"/>
      <c r="C1035" s="26"/>
      <c r="D1035" s="26"/>
      <c r="E1035" s="26"/>
      <c r="F1035" s="26"/>
      <c r="G1035" s="26"/>
      <c r="H1035" s="26"/>
      <c r="I1035" s="26"/>
      <c r="J1035" s="26"/>
    </row>
    <row r="1036" spans="1:10" s="13" customFormat="1">
      <c r="A1036" s="26"/>
      <c r="B1036" s="26"/>
      <c r="C1036" s="26"/>
      <c r="D1036" s="26"/>
      <c r="E1036" s="26"/>
      <c r="F1036" s="26"/>
      <c r="G1036" s="26"/>
      <c r="H1036" s="26"/>
      <c r="I1036" s="26"/>
      <c r="J1036" s="26"/>
    </row>
    <row r="1037" spans="1:10" s="13" customFormat="1">
      <c r="A1037" s="26"/>
      <c r="B1037" s="26"/>
      <c r="C1037" s="26"/>
      <c r="D1037" s="26"/>
      <c r="E1037" s="26"/>
      <c r="F1037" s="26"/>
      <c r="G1037" s="26"/>
      <c r="H1037" s="26"/>
      <c r="I1037" s="26"/>
      <c r="J1037" s="26"/>
    </row>
    <row r="1038" spans="1:10" s="13" customFormat="1">
      <c r="A1038" s="26"/>
      <c r="B1038" s="26"/>
      <c r="C1038" s="26"/>
      <c r="D1038" s="26"/>
      <c r="E1038" s="26"/>
      <c r="F1038" s="26"/>
      <c r="G1038" s="26"/>
      <c r="H1038" s="26"/>
      <c r="I1038" s="26"/>
      <c r="J1038" s="26"/>
    </row>
    <row r="1039" spans="1:10" s="13" customFormat="1">
      <c r="A1039" s="26"/>
      <c r="B1039" s="26"/>
      <c r="C1039" s="26"/>
      <c r="D1039" s="26"/>
      <c r="E1039" s="26"/>
      <c r="F1039" s="26"/>
      <c r="G1039" s="26"/>
      <c r="H1039" s="26"/>
      <c r="I1039" s="26"/>
      <c r="J1039" s="26"/>
    </row>
    <row r="1040" spans="1:10" s="13" customFormat="1">
      <c r="A1040" s="26"/>
      <c r="B1040" s="26"/>
      <c r="C1040" s="26"/>
      <c r="D1040" s="26"/>
      <c r="E1040" s="26"/>
      <c r="F1040" s="26"/>
      <c r="G1040" s="26"/>
      <c r="H1040" s="26"/>
      <c r="I1040" s="26"/>
      <c r="J1040" s="26"/>
    </row>
    <row r="1041" spans="1:10" s="13" customFormat="1">
      <c r="A1041" s="26"/>
      <c r="B1041" s="26"/>
      <c r="C1041" s="26"/>
      <c r="D1041" s="26"/>
      <c r="E1041" s="26"/>
      <c r="F1041" s="26"/>
      <c r="G1041" s="26"/>
      <c r="H1041" s="26"/>
      <c r="I1041" s="26"/>
      <c r="J1041" s="26"/>
    </row>
    <row r="1042" spans="1:10" s="13" customFormat="1">
      <c r="A1042" s="26"/>
      <c r="B1042" s="26"/>
      <c r="C1042" s="26"/>
      <c r="D1042" s="26"/>
      <c r="E1042" s="26"/>
      <c r="F1042" s="26"/>
      <c r="G1042" s="26"/>
      <c r="H1042" s="26"/>
      <c r="I1042" s="26"/>
      <c r="J1042" s="26"/>
    </row>
    <row r="1043" spans="1:10" s="13" customFormat="1">
      <c r="A1043" s="26"/>
      <c r="B1043" s="26"/>
      <c r="C1043" s="26"/>
      <c r="D1043" s="26"/>
      <c r="E1043" s="26"/>
      <c r="F1043" s="26"/>
      <c r="G1043" s="26"/>
      <c r="H1043" s="26"/>
      <c r="I1043" s="26"/>
      <c r="J1043" s="26"/>
    </row>
    <row r="1044" spans="1:10" s="13" customFormat="1">
      <c r="A1044" s="26"/>
      <c r="B1044" s="26"/>
      <c r="C1044" s="26"/>
      <c r="D1044" s="26"/>
      <c r="E1044" s="26"/>
      <c r="F1044" s="26"/>
      <c r="G1044" s="26"/>
      <c r="H1044" s="26"/>
      <c r="I1044" s="26"/>
      <c r="J1044" s="26"/>
    </row>
    <row r="1045" spans="1:10" s="13" customFormat="1">
      <c r="A1045" s="26"/>
      <c r="B1045" s="26"/>
      <c r="C1045" s="26"/>
      <c r="D1045" s="26"/>
      <c r="E1045" s="26"/>
      <c r="F1045" s="26"/>
      <c r="G1045" s="26"/>
      <c r="H1045" s="26"/>
      <c r="I1045" s="26"/>
      <c r="J1045" s="26"/>
    </row>
    <row r="1046" spans="1:10" s="13" customFormat="1">
      <c r="A1046" s="26"/>
      <c r="B1046" s="26"/>
      <c r="C1046" s="26"/>
      <c r="D1046" s="26"/>
      <c r="E1046" s="26"/>
      <c r="F1046" s="26"/>
      <c r="G1046" s="26"/>
      <c r="H1046" s="26"/>
      <c r="I1046" s="26"/>
      <c r="J1046" s="26"/>
    </row>
    <row r="1047" spans="1:10" s="13" customFormat="1">
      <c r="A1047" s="26"/>
      <c r="B1047" s="26"/>
      <c r="C1047" s="26"/>
      <c r="D1047" s="26"/>
      <c r="E1047" s="26"/>
      <c r="F1047" s="26"/>
      <c r="G1047" s="26"/>
      <c r="H1047" s="26"/>
      <c r="I1047" s="26"/>
      <c r="J1047" s="26"/>
    </row>
    <row r="1048" spans="1:10" s="13" customFormat="1">
      <c r="A1048" s="26"/>
      <c r="B1048" s="26"/>
      <c r="C1048" s="26"/>
      <c r="D1048" s="26"/>
      <c r="E1048" s="26"/>
      <c r="F1048" s="26"/>
      <c r="G1048" s="26"/>
      <c r="H1048" s="26"/>
      <c r="I1048" s="26"/>
      <c r="J1048" s="26"/>
    </row>
    <row r="1049" spans="1:10" s="13" customFormat="1">
      <c r="A1049" s="26"/>
      <c r="B1049" s="26"/>
      <c r="C1049" s="26"/>
      <c r="D1049" s="26"/>
      <c r="E1049" s="26"/>
      <c r="F1049" s="26"/>
      <c r="G1049" s="26"/>
      <c r="H1049" s="26"/>
      <c r="I1049" s="26"/>
      <c r="J1049" s="26"/>
    </row>
    <row r="1050" spans="1:10" s="13" customFormat="1">
      <c r="A1050" s="26"/>
      <c r="B1050" s="26"/>
      <c r="C1050" s="26"/>
      <c r="D1050" s="26"/>
      <c r="E1050" s="26"/>
      <c r="F1050" s="26"/>
      <c r="G1050" s="26"/>
      <c r="H1050" s="26"/>
      <c r="I1050" s="26"/>
      <c r="J1050" s="26"/>
    </row>
    <row r="1051" spans="1:10" s="13" customFormat="1">
      <c r="A1051" s="26"/>
      <c r="B1051" s="26"/>
      <c r="C1051" s="26"/>
      <c r="D1051" s="26"/>
      <c r="E1051" s="26"/>
      <c r="F1051" s="26"/>
      <c r="G1051" s="26"/>
      <c r="H1051" s="26"/>
      <c r="I1051" s="26"/>
      <c r="J1051" s="26"/>
    </row>
    <row r="1052" spans="1:10" s="13" customFormat="1">
      <c r="A1052" s="26"/>
      <c r="B1052" s="26"/>
      <c r="C1052" s="26"/>
      <c r="D1052" s="26"/>
      <c r="E1052" s="26"/>
      <c r="F1052" s="26"/>
      <c r="G1052" s="26"/>
      <c r="H1052" s="26"/>
      <c r="I1052" s="26"/>
      <c r="J1052" s="26"/>
    </row>
    <row r="1053" spans="1:10" s="13" customFormat="1">
      <c r="A1053" s="26"/>
      <c r="B1053" s="26"/>
      <c r="C1053" s="26"/>
      <c r="D1053" s="26"/>
      <c r="E1053" s="26"/>
      <c r="F1053" s="26"/>
      <c r="G1053" s="26"/>
      <c r="H1053" s="26"/>
      <c r="I1053" s="26"/>
      <c r="J1053" s="26"/>
    </row>
    <row r="1054" spans="1:10" s="13" customFormat="1">
      <c r="A1054" s="26"/>
      <c r="B1054" s="26"/>
      <c r="C1054" s="26"/>
      <c r="D1054" s="26"/>
      <c r="E1054" s="26"/>
      <c r="F1054" s="26"/>
      <c r="G1054" s="26"/>
      <c r="H1054" s="26"/>
      <c r="I1054" s="26"/>
      <c r="J1054" s="26"/>
    </row>
    <row r="1055" spans="1:10" s="13" customFormat="1">
      <c r="A1055" s="26"/>
      <c r="B1055" s="26"/>
      <c r="C1055" s="26"/>
      <c r="D1055" s="26"/>
      <c r="E1055" s="26"/>
      <c r="F1055" s="26"/>
      <c r="G1055" s="26"/>
      <c r="H1055" s="26"/>
      <c r="I1055" s="26"/>
      <c r="J1055" s="26"/>
    </row>
    <row r="1056" spans="1:10" s="13" customFormat="1">
      <c r="A1056" s="26"/>
      <c r="B1056" s="26"/>
      <c r="C1056" s="26"/>
      <c r="D1056" s="26"/>
      <c r="E1056" s="26"/>
      <c r="F1056" s="26"/>
      <c r="G1056" s="26"/>
      <c r="H1056" s="26"/>
      <c r="I1056" s="26"/>
      <c r="J1056" s="26"/>
    </row>
    <row r="1057" spans="1:10" s="13" customFormat="1">
      <c r="A1057" s="26"/>
      <c r="B1057" s="26"/>
      <c r="C1057" s="26"/>
      <c r="D1057" s="26"/>
      <c r="E1057" s="26"/>
      <c r="F1057" s="26"/>
      <c r="G1057" s="26"/>
      <c r="H1057" s="26"/>
      <c r="I1057" s="26"/>
      <c r="J1057" s="26"/>
    </row>
    <row r="1058" spans="1:10" s="13" customFormat="1">
      <c r="A1058" s="26"/>
      <c r="B1058" s="26"/>
      <c r="C1058" s="26"/>
      <c r="D1058" s="26"/>
      <c r="E1058" s="26"/>
      <c r="F1058" s="26"/>
      <c r="G1058" s="26"/>
      <c r="H1058" s="26"/>
      <c r="I1058" s="26"/>
      <c r="J1058" s="26"/>
    </row>
    <row r="1059" spans="1:10" s="13" customFormat="1">
      <c r="A1059" s="26"/>
      <c r="B1059" s="26"/>
      <c r="C1059" s="26"/>
      <c r="D1059" s="26"/>
      <c r="E1059" s="26"/>
      <c r="F1059" s="26"/>
      <c r="G1059" s="26"/>
      <c r="H1059" s="26"/>
      <c r="I1059" s="26"/>
      <c r="J1059" s="26"/>
    </row>
    <row r="1060" spans="1:10" s="13" customFormat="1">
      <c r="A1060" s="26"/>
      <c r="B1060" s="26"/>
      <c r="C1060" s="26"/>
      <c r="D1060" s="26"/>
      <c r="E1060" s="26"/>
      <c r="F1060" s="26"/>
      <c r="G1060" s="26"/>
      <c r="H1060" s="26"/>
      <c r="I1060" s="26"/>
      <c r="J1060" s="26"/>
    </row>
    <row r="1061" spans="1:10" s="13" customFormat="1">
      <c r="A1061" s="26"/>
      <c r="B1061" s="26"/>
      <c r="C1061" s="26"/>
      <c r="D1061" s="26"/>
      <c r="E1061" s="26"/>
      <c r="F1061" s="26"/>
      <c r="G1061" s="26"/>
      <c r="H1061" s="26"/>
      <c r="I1061" s="26"/>
      <c r="J1061" s="26"/>
    </row>
    <row r="1062" spans="1:10" s="13" customFormat="1">
      <c r="A1062" s="26"/>
      <c r="B1062" s="26"/>
      <c r="C1062" s="26"/>
      <c r="D1062" s="26"/>
      <c r="E1062" s="26"/>
      <c r="F1062" s="26"/>
      <c r="G1062" s="26"/>
      <c r="H1062" s="26"/>
      <c r="I1062" s="26"/>
      <c r="J1062" s="26"/>
    </row>
    <row r="1063" spans="1:10" s="13" customFormat="1">
      <c r="A1063" s="26"/>
      <c r="B1063" s="26"/>
      <c r="C1063" s="26"/>
      <c r="D1063" s="26"/>
      <c r="E1063" s="26"/>
      <c r="F1063" s="26"/>
      <c r="G1063" s="26"/>
      <c r="H1063" s="26"/>
      <c r="I1063" s="26"/>
      <c r="J1063" s="26"/>
    </row>
    <row r="1064" spans="1:10" s="13" customFormat="1">
      <c r="A1064" s="26"/>
      <c r="B1064" s="26"/>
      <c r="C1064" s="26"/>
      <c r="D1064" s="26"/>
      <c r="E1064" s="26"/>
      <c r="F1064" s="26"/>
      <c r="G1064" s="26"/>
      <c r="H1064" s="26"/>
      <c r="I1064" s="26"/>
      <c r="J1064" s="26"/>
    </row>
    <row r="1065" spans="1:10" s="13" customFormat="1">
      <c r="A1065" s="26"/>
      <c r="B1065" s="26"/>
      <c r="C1065" s="26"/>
      <c r="D1065" s="26"/>
      <c r="E1065" s="26"/>
      <c r="F1065" s="26"/>
      <c r="G1065" s="26"/>
      <c r="H1065" s="26"/>
      <c r="I1065" s="26"/>
      <c r="J1065" s="26"/>
    </row>
    <row r="1066" spans="1:10" s="13" customFormat="1">
      <c r="A1066" s="26"/>
      <c r="B1066" s="26"/>
      <c r="C1066" s="26"/>
      <c r="D1066" s="26"/>
      <c r="E1066" s="26"/>
      <c r="F1066" s="26"/>
      <c r="G1066" s="26"/>
      <c r="H1066" s="26"/>
      <c r="I1066" s="26"/>
      <c r="J1066" s="26"/>
    </row>
    <row r="1067" spans="1:10" s="13" customFormat="1">
      <c r="A1067" s="26"/>
      <c r="B1067" s="26"/>
      <c r="C1067" s="26"/>
      <c r="D1067" s="26"/>
      <c r="E1067" s="26"/>
      <c r="F1067" s="26"/>
      <c r="G1067" s="26"/>
      <c r="H1067" s="26"/>
      <c r="I1067" s="26"/>
      <c r="J1067" s="26"/>
    </row>
    <row r="1068" spans="1:10" s="13" customFormat="1">
      <c r="A1068" s="26"/>
      <c r="B1068" s="26"/>
      <c r="C1068" s="26"/>
      <c r="D1068" s="26"/>
      <c r="E1068" s="26"/>
      <c r="F1068" s="26"/>
      <c r="G1068" s="26"/>
      <c r="H1068" s="26"/>
      <c r="I1068" s="26"/>
      <c r="J1068" s="26"/>
    </row>
    <row r="1069" spans="1:10" s="13" customFormat="1">
      <c r="A1069" s="26"/>
      <c r="B1069" s="26"/>
      <c r="C1069" s="26"/>
      <c r="D1069" s="26"/>
      <c r="E1069" s="26"/>
      <c r="F1069" s="26"/>
      <c r="G1069" s="26"/>
      <c r="H1069" s="26"/>
      <c r="I1069" s="26"/>
      <c r="J1069" s="26"/>
    </row>
    <row r="1070" spans="1:10" s="13" customFormat="1">
      <c r="A1070" s="26"/>
      <c r="B1070" s="26"/>
      <c r="C1070" s="26"/>
      <c r="D1070" s="26"/>
      <c r="E1070" s="26"/>
      <c r="F1070" s="26"/>
      <c r="G1070" s="26"/>
      <c r="H1070" s="26"/>
      <c r="I1070" s="26"/>
      <c r="J1070" s="26"/>
    </row>
    <row r="1071" spans="1:10" s="13" customFormat="1">
      <c r="A1071" s="26"/>
      <c r="B1071" s="26"/>
      <c r="C1071" s="26"/>
      <c r="D1071" s="26"/>
      <c r="E1071" s="26"/>
      <c r="F1071" s="26"/>
      <c r="G1071" s="26"/>
      <c r="H1071" s="26"/>
      <c r="I1071" s="26"/>
      <c r="J1071" s="26"/>
    </row>
    <row r="1072" spans="1:10" s="13" customFormat="1">
      <c r="A1072" s="26"/>
      <c r="B1072" s="26"/>
      <c r="C1072" s="26"/>
      <c r="D1072" s="26"/>
      <c r="E1072" s="26"/>
      <c r="F1072" s="26"/>
      <c r="G1072" s="26"/>
      <c r="H1072" s="26"/>
      <c r="I1072" s="26"/>
      <c r="J1072" s="26"/>
    </row>
    <row r="1073" spans="1:10" s="13" customFormat="1">
      <c r="A1073" s="26"/>
      <c r="B1073" s="26"/>
      <c r="C1073" s="26"/>
      <c r="D1073" s="26"/>
      <c r="E1073" s="26"/>
      <c r="F1073" s="26"/>
      <c r="G1073" s="26"/>
      <c r="H1073" s="26"/>
      <c r="I1073" s="26"/>
      <c r="J1073" s="26"/>
    </row>
    <row r="1074" spans="1:10" s="13" customFormat="1">
      <c r="A1074" s="26"/>
      <c r="B1074" s="26"/>
      <c r="C1074" s="26"/>
      <c r="D1074" s="26"/>
      <c r="E1074" s="26"/>
      <c r="F1074" s="26"/>
      <c r="G1074" s="26"/>
      <c r="H1074" s="26"/>
      <c r="I1074" s="26"/>
      <c r="J1074" s="26"/>
    </row>
    <row r="1075" spans="1:10" s="13" customFormat="1">
      <c r="A1075" s="26"/>
      <c r="B1075" s="26"/>
      <c r="C1075" s="26"/>
      <c r="D1075" s="26"/>
      <c r="E1075" s="26"/>
      <c r="F1075" s="26"/>
      <c r="G1075" s="26"/>
      <c r="H1075" s="26"/>
      <c r="I1075" s="26"/>
      <c r="J1075" s="26"/>
    </row>
    <row r="1076" spans="1:10" s="13" customFormat="1">
      <c r="A1076" s="26"/>
      <c r="B1076" s="26"/>
      <c r="C1076" s="26"/>
      <c r="D1076" s="26"/>
      <c r="E1076" s="26"/>
      <c r="F1076" s="26"/>
      <c r="G1076" s="26"/>
      <c r="H1076" s="26"/>
      <c r="I1076" s="26"/>
      <c r="J1076" s="26"/>
    </row>
    <row r="1077" spans="1:10" s="13" customFormat="1">
      <c r="A1077" s="26"/>
      <c r="B1077" s="26"/>
      <c r="C1077" s="26"/>
      <c r="D1077" s="26"/>
      <c r="E1077" s="26"/>
      <c r="F1077" s="26"/>
      <c r="G1077" s="26"/>
      <c r="H1077" s="26"/>
      <c r="I1077" s="26"/>
      <c r="J1077" s="26"/>
    </row>
    <row r="1078" spans="1:10" s="13" customFormat="1">
      <c r="A1078" s="26"/>
      <c r="B1078" s="26"/>
      <c r="C1078" s="26"/>
      <c r="D1078" s="26"/>
      <c r="E1078" s="26"/>
      <c r="F1078" s="26"/>
      <c r="G1078" s="26"/>
      <c r="H1078" s="26"/>
      <c r="I1078" s="26"/>
      <c r="J1078" s="26"/>
    </row>
    <row r="1079" spans="1:10" s="13" customFormat="1">
      <c r="A1079" s="26"/>
      <c r="B1079" s="26"/>
      <c r="C1079" s="26"/>
      <c r="D1079" s="26"/>
      <c r="E1079" s="26"/>
      <c r="F1079" s="26"/>
      <c r="G1079" s="26"/>
      <c r="H1079" s="26"/>
      <c r="I1079" s="26"/>
      <c r="J1079" s="26"/>
    </row>
    <row r="1080" spans="1:10" s="13" customFormat="1">
      <c r="A1080" s="26"/>
      <c r="B1080" s="26"/>
      <c r="C1080" s="26"/>
      <c r="D1080" s="26"/>
      <c r="E1080" s="26"/>
      <c r="F1080" s="26"/>
      <c r="G1080" s="26"/>
      <c r="H1080" s="26"/>
      <c r="I1080" s="26"/>
      <c r="J1080" s="26"/>
    </row>
    <row r="1081" spans="1:10" s="13" customFormat="1">
      <c r="A1081" s="26"/>
      <c r="B1081" s="26"/>
      <c r="C1081" s="26"/>
      <c r="D1081" s="26"/>
      <c r="E1081" s="26"/>
      <c r="F1081" s="26"/>
      <c r="G1081" s="26"/>
      <c r="H1081" s="26"/>
      <c r="I1081" s="26"/>
      <c r="J1081" s="26"/>
    </row>
    <row r="1082" spans="1:10" s="13" customFormat="1">
      <c r="A1082" s="26"/>
      <c r="B1082" s="26"/>
      <c r="C1082" s="26"/>
      <c r="D1082" s="26"/>
      <c r="E1082" s="26"/>
      <c r="F1082" s="26"/>
      <c r="G1082" s="26"/>
      <c r="H1082" s="26"/>
      <c r="I1082" s="26"/>
      <c r="J1082" s="26"/>
    </row>
    <row r="1083" spans="1:10" s="13" customFormat="1">
      <c r="A1083" s="26"/>
      <c r="B1083" s="26"/>
      <c r="C1083" s="26"/>
      <c r="D1083" s="26"/>
      <c r="E1083" s="26"/>
      <c r="F1083" s="26"/>
      <c r="G1083" s="26"/>
      <c r="H1083" s="26"/>
      <c r="I1083" s="26"/>
      <c r="J1083" s="26"/>
    </row>
    <row r="1084" spans="1:10" s="13" customFormat="1">
      <c r="A1084" s="26"/>
      <c r="B1084" s="26"/>
      <c r="C1084" s="26"/>
      <c r="D1084" s="26"/>
      <c r="E1084" s="26"/>
      <c r="F1084" s="26"/>
      <c r="G1084" s="26"/>
      <c r="H1084" s="26"/>
      <c r="I1084" s="26"/>
      <c r="J1084" s="26"/>
    </row>
    <row r="1085" spans="1:10" s="13" customFormat="1">
      <c r="A1085" s="26"/>
      <c r="B1085" s="26"/>
      <c r="C1085" s="26"/>
      <c r="D1085" s="26"/>
      <c r="E1085" s="26"/>
      <c r="F1085" s="26"/>
      <c r="G1085" s="26"/>
      <c r="H1085" s="26"/>
      <c r="I1085" s="26"/>
      <c r="J1085" s="26"/>
    </row>
    <row r="1086" spans="1:10" s="13" customFormat="1">
      <c r="A1086" s="26"/>
      <c r="B1086" s="26"/>
      <c r="C1086" s="26"/>
      <c r="D1086" s="26"/>
      <c r="E1086" s="26"/>
      <c r="F1086" s="26"/>
      <c r="G1086" s="26"/>
      <c r="H1086" s="26"/>
      <c r="I1086" s="26"/>
      <c r="J1086" s="26"/>
    </row>
    <row r="1087" spans="1:10" s="13" customFormat="1">
      <c r="A1087" s="26"/>
      <c r="B1087" s="26"/>
      <c r="C1087" s="26"/>
      <c r="D1087" s="26"/>
      <c r="E1087" s="26"/>
      <c r="F1087" s="26"/>
      <c r="G1087" s="26"/>
      <c r="H1087" s="26"/>
      <c r="I1087" s="26"/>
      <c r="J1087" s="26"/>
    </row>
    <row r="1088" spans="1:10" s="13" customFormat="1">
      <c r="A1088" s="26"/>
      <c r="B1088" s="26"/>
      <c r="C1088" s="26"/>
      <c r="D1088" s="26"/>
      <c r="E1088" s="26"/>
      <c r="F1088" s="26"/>
      <c r="G1088" s="26"/>
      <c r="H1088" s="26"/>
      <c r="I1088" s="26"/>
      <c r="J1088" s="26"/>
    </row>
    <row r="1089" spans="1:10" s="13" customFormat="1">
      <c r="A1089" s="26"/>
      <c r="B1089" s="26"/>
      <c r="C1089" s="26"/>
      <c r="D1089" s="26"/>
      <c r="E1089" s="26"/>
      <c r="F1089" s="26"/>
      <c r="G1089" s="26"/>
      <c r="H1089" s="26"/>
      <c r="I1089" s="26"/>
      <c r="J1089" s="26"/>
    </row>
    <row r="1090" spans="1:10" s="13" customFormat="1">
      <c r="A1090" s="26"/>
      <c r="B1090" s="26"/>
      <c r="C1090" s="26"/>
      <c r="D1090" s="26"/>
      <c r="E1090" s="26"/>
      <c r="F1090" s="26"/>
      <c r="G1090" s="26"/>
      <c r="H1090" s="26"/>
      <c r="I1090" s="26"/>
      <c r="J1090" s="26"/>
    </row>
    <row r="1091" spans="1:10" s="13" customFormat="1">
      <c r="A1091" s="26"/>
      <c r="B1091" s="26"/>
      <c r="C1091" s="26"/>
      <c r="D1091" s="26"/>
      <c r="E1091" s="26"/>
      <c r="F1091" s="26"/>
      <c r="G1091" s="26"/>
      <c r="H1091" s="26"/>
      <c r="I1091" s="26"/>
      <c r="J1091" s="26"/>
    </row>
    <row r="1092" spans="1:10" s="13" customFormat="1">
      <c r="A1092" s="26"/>
      <c r="B1092" s="26"/>
      <c r="C1092" s="26"/>
      <c r="D1092" s="26"/>
      <c r="E1092" s="26"/>
      <c r="F1092" s="26"/>
      <c r="G1092" s="26"/>
      <c r="H1092" s="26"/>
      <c r="I1092" s="26"/>
      <c r="J1092" s="26"/>
    </row>
    <row r="1093" spans="1:10" s="13" customFormat="1">
      <c r="A1093" s="26"/>
      <c r="B1093" s="26"/>
      <c r="C1093" s="26"/>
      <c r="D1093" s="26"/>
      <c r="E1093" s="26"/>
      <c r="F1093" s="26"/>
      <c r="G1093" s="26"/>
      <c r="H1093" s="26"/>
      <c r="I1093" s="26"/>
      <c r="J1093" s="26"/>
    </row>
    <row r="1094" spans="1:10" s="13" customFormat="1">
      <c r="A1094" s="26"/>
      <c r="B1094" s="26"/>
      <c r="C1094" s="26"/>
      <c r="D1094" s="26"/>
      <c r="E1094" s="26"/>
      <c r="F1094" s="26"/>
      <c r="G1094" s="26"/>
      <c r="H1094" s="26"/>
      <c r="I1094" s="26"/>
      <c r="J1094" s="26"/>
    </row>
    <row r="1095" spans="1:10" s="13" customFormat="1">
      <c r="A1095" s="26"/>
      <c r="B1095" s="26"/>
      <c r="C1095" s="26"/>
      <c r="D1095" s="26"/>
      <c r="E1095" s="26"/>
      <c r="F1095" s="26"/>
      <c r="G1095" s="26"/>
      <c r="H1095" s="26"/>
      <c r="I1095" s="26"/>
      <c r="J1095" s="26"/>
    </row>
    <row r="1096" spans="1:10" s="13" customFormat="1">
      <c r="A1096" s="26"/>
      <c r="B1096" s="26"/>
      <c r="C1096" s="26"/>
      <c r="D1096" s="26"/>
      <c r="E1096" s="26"/>
      <c r="F1096" s="26"/>
      <c r="G1096" s="26"/>
      <c r="H1096" s="26"/>
      <c r="I1096" s="26"/>
      <c r="J1096" s="26"/>
    </row>
    <row r="1097" spans="1:10" s="13" customFormat="1">
      <c r="A1097" s="26"/>
      <c r="B1097" s="26"/>
      <c r="C1097" s="26"/>
      <c r="D1097" s="26"/>
      <c r="E1097" s="26"/>
      <c r="F1097" s="26"/>
      <c r="G1097" s="26"/>
      <c r="H1097" s="26"/>
      <c r="I1097" s="26"/>
      <c r="J1097" s="26"/>
    </row>
    <row r="1098" spans="1:10" s="13" customFormat="1">
      <c r="A1098" s="26"/>
      <c r="B1098" s="26"/>
      <c r="C1098" s="26"/>
      <c r="D1098" s="26"/>
      <c r="E1098" s="26"/>
      <c r="F1098" s="26"/>
      <c r="G1098" s="26"/>
      <c r="H1098" s="26"/>
      <c r="I1098" s="26"/>
      <c r="J1098" s="26"/>
    </row>
    <row r="1099" spans="1:10" s="13" customFormat="1">
      <c r="A1099" s="26"/>
      <c r="B1099" s="26"/>
      <c r="C1099" s="26"/>
      <c r="D1099" s="26"/>
      <c r="E1099" s="26"/>
      <c r="F1099" s="26"/>
      <c r="G1099" s="26"/>
      <c r="H1099" s="26"/>
      <c r="I1099" s="26"/>
      <c r="J1099" s="26"/>
    </row>
    <row r="1100" spans="1:10" s="13" customFormat="1">
      <c r="A1100" s="26"/>
      <c r="B1100" s="26"/>
      <c r="C1100" s="26"/>
      <c r="D1100" s="26"/>
      <c r="E1100" s="26"/>
      <c r="F1100" s="26"/>
      <c r="G1100" s="26"/>
      <c r="H1100" s="26"/>
      <c r="I1100" s="26"/>
      <c r="J1100" s="26"/>
    </row>
    <row r="1101" spans="1:10" s="13" customFormat="1">
      <c r="A1101" s="26"/>
      <c r="B1101" s="26"/>
      <c r="C1101" s="26"/>
      <c r="D1101" s="26"/>
      <c r="E1101" s="26"/>
      <c r="F1101" s="26"/>
      <c r="G1101" s="26"/>
      <c r="H1101" s="26"/>
      <c r="I1101" s="26"/>
      <c r="J1101" s="26"/>
    </row>
    <row r="1102" spans="1:10" s="13" customFormat="1">
      <c r="A1102" s="26"/>
      <c r="B1102" s="26"/>
      <c r="C1102" s="26"/>
      <c r="D1102" s="26"/>
      <c r="E1102" s="26"/>
      <c r="F1102" s="26"/>
      <c r="G1102" s="26"/>
      <c r="H1102" s="26"/>
      <c r="I1102" s="26"/>
      <c r="J1102" s="26"/>
    </row>
    <row r="1103" spans="1:10" s="13" customFormat="1">
      <c r="A1103" s="26"/>
      <c r="B1103" s="26"/>
      <c r="C1103" s="26"/>
      <c r="D1103" s="26"/>
      <c r="E1103" s="26"/>
      <c r="F1103" s="26"/>
      <c r="G1103" s="26"/>
      <c r="H1103" s="26"/>
      <c r="I1103" s="26"/>
      <c r="J1103" s="26"/>
    </row>
    <row r="1104" spans="1:10" s="13" customFormat="1">
      <c r="A1104" s="26"/>
      <c r="B1104" s="26"/>
      <c r="C1104" s="26"/>
      <c r="D1104" s="26"/>
      <c r="E1104" s="26"/>
      <c r="F1104" s="26"/>
      <c r="G1104" s="26"/>
      <c r="H1104" s="26"/>
      <c r="I1104" s="26"/>
      <c r="J1104" s="26"/>
    </row>
    <row r="1105" spans="1:10" s="13" customFormat="1">
      <c r="A1105" s="26"/>
      <c r="B1105" s="26"/>
      <c r="C1105" s="26"/>
      <c r="D1105" s="26"/>
      <c r="E1105" s="26"/>
      <c r="F1105" s="26"/>
      <c r="G1105" s="26"/>
      <c r="H1105" s="26"/>
      <c r="I1105" s="26"/>
      <c r="J1105" s="26"/>
    </row>
    <row r="1106" spans="1:10" s="13" customFormat="1">
      <c r="A1106" s="26"/>
      <c r="B1106" s="26"/>
      <c r="C1106" s="26"/>
      <c r="D1106" s="26"/>
      <c r="E1106" s="26"/>
      <c r="F1106" s="26"/>
      <c r="G1106" s="26"/>
      <c r="H1106" s="26"/>
      <c r="I1106" s="26"/>
      <c r="J1106" s="26"/>
    </row>
    <row r="1107" spans="1:10" s="13" customFormat="1">
      <c r="A1107" s="26"/>
      <c r="B1107" s="26"/>
      <c r="C1107" s="26"/>
      <c r="D1107" s="26"/>
      <c r="E1107" s="26"/>
      <c r="F1107" s="26"/>
      <c r="G1107" s="26"/>
      <c r="H1107" s="26"/>
      <c r="I1107" s="26"/>
      <c r="J1107" s="26"/>
    </row>
    <row r="1108" spans="1:10" s="13" customFormat="1">
      <c r="A1108" s="26"/>
      <c r="B1108" s="26"/>
      <c r="C1108" s="26"/>
      <c r="D1108" s="26"/>
      <c r="E1108" s="26"/>
      <c r="F1108" s="26"/>
      <c r="G1108" s="26"/>
      <c r="H1108" s="26"/>
      <c r="I1108" s="26"/>
      <c r="J1108" s="26"/>
    </row>
    <row r="1109" spans="1:10" s="13" customFormat="1">
      <c r="A1109" s="26"/>
      <c r="B1109" s="26"/>
      <c r="C1109" s="26"/>
      <c r="D1109" s="26"/>
      <c r="E1109" s="26"/>
      <c r="F1109" s="26"/>
      <c r="G1109" s="26"/>
      <c r="H1109" s="26"/>
      <c r="I1109" s="26"/>
      <c r="J1109" s="26"/>
    </row>
    <row r="1110" spans="1:10" s="13" customFormat="1">
      <c r="A1110" s="26"/>
      <c r="B1110" s="26"/>
      <c r="C1110" s="26"/>
      <c r="D1110" s="26"/>
      <c r="E1110" s="26"/>
      <c r="F1110" s="26"/>
      <c r="G1110" s="26"/>
      <c r="H1110" s="26"/>
      <c r="I1110" s="26"/>
      <c r="J1110" s="26"/>
    </row>
    <row r="1111" spans="1:10" s="13" customFormat="1">
      <c r="A1111" s="26"/>
      <c r="B1111" s="26"/>
      <c r="C1111" s="26"/>
      <c r="D1111" s="26"/>
      <c r="E1111" s="26"/>
      <c r="F1111" s="26"/>
      <c r="G1111" s="26"/>
      <c r="H1111" s="26"/>
      <c r="I1111" s="26"/>
      <c r="J1111" s="26"/>
    </row>
    <row r="1112" spans="1:10" s="13" customFormat="1">
      <c r="A1112" s="26"/>
      <c r="B1112" s="26"/>
      <c r="C1112" s="26"/>
      <c r="D1112" s="26"/>
      <c r="E1112" s="26"/>
      <c r="F1112" s="26"/>
      <c r="G1112" s="26"/>
      <c r="H1112" s="26"/>
      <c r="I1112" s="26"/>
      <c r="J1112" s="26"/>
    </row>
    <row r="1113" spans="1:10" s="13" customFormat="1">
      <c r="A1113" s="26"/>
      <c r="B1113" s="26"/>
      <c r="C1113" s="26"/>
      <c r="D1113" s="26"/>
      <c r="E1113" s="26"/>
      <c r="F1113" s="26"/>
      <c r="G1113" s="26"/>
      <c r="H1113" s="26"/>
      <c r="I1113" s="26"/>
      <c r="J1113" s="26"/>
    </row>
    <row r="1114" spans="1:10" s="13" customFormat="1">
      <c r="A1114" s="26"/>
      <c r="B1114" s="26"/>
      <c r="C1114" s="26"/>
      <c r="D1114" s="26"/>
      <c r="E1114" s="26"/>
      <c r="F1114" s="26"/>
      <c r="G1114" s="26"/>
      <c r="H1114" s="26"/>
      <c r="I1114" s="26"/>
      <c r="J1114" s="26"/>
    </row>
    <row r="1115" spans="1:10" s="13" customFormat="1">
      <c r="A1115" s="26"/>
      <c r="B1115" s="26"/>
      <c r="C1115" s="26"/>
      <c r="D1115" s="26"/>
      <c r="E1115" s="26"/>
      <c r="F1115" s="26"/>
      <c r="G1115" s="26"/>
      <c r="H1115" s="26"/>
      <c r="I1115" s="26"/>
      <c r="J1115" s="26"/>
    </row>
    <row r="1116" spans="1:10" s="13" customFormat="1">
      <c r="A1116" s="26"/>
      <c r="B1116" s="26"/>
      <c r="C1116" s="26"/>
      <c r="D1116" s="26"/>
      <c r="E1116" s="26"/>
      <c r="F1116" s="26"/>
      <c r="G1116" s="26"/>
      <c r="H1116" s="26"/>
      <c r="I1116" s="26"/>
      <c r="J1116" s="26"/>
    </row>
    <row r="1117" spans="1:10" s="13" customFormat="1">
      <c r="A1117" s="26"/>
      <c r="B1117" s="26"/>
      <c r="C1117" s="26"/>
      <c r="D1117" s="26"/>
      <c r="E1117" s="26"/>
      <c r="F1117" s="26"/>
      <c r="G1117" s="26"/>
      <c r="H1117" s="26"/>
      <c r="I1117" s="26"/>
      <c r="J1117" s="26"/>
    </row>
    <row r="1118" spans="1:10" s="13" customFormat="1">
      <c r="A1118" s="26"/>
      <c r="B1118" s="26"/>
      <c r="C1118" s="26"/>
      <c r="D1118" s="26"/>
      <c r="E1118" s="26"/>
      <c r="F1118" s="26"/>
      <c r="G1118" s="26"/>
      <c r="H1118" s="26"/>
      <c r="I1118" s="26"/>
      <c r="J1118" s="26"/>
    </row>
    <row r="1119" spans="1:10" s="13" customFormat="1">
      <c r="A1119" s="26"/>
      <c r="B1119" s="26"/>
      <c r="C1119" s="26"/>
      <c r="D1119" s="26"/>
      <c r="E1119" s="26"/>
      <c r="F1119" s="26"/>
      <c r="G1119" s="26"/>
      <c r="H1119" s="26"/>
      <c r="I1119" s="26"/>
      <c r="J1119" s="26"/>
    </row>
    <row r="1120" spans="1:10" s="13" customFormat="1">
      <c r="A1120" s="26"/>
      <c r="B1120" s="26"/>
      <c r="C1120" s="26"/>
      <c r="D1120" s="26"/>
      <c r="E1120" s="26"/>
      <c r="F1120" s="26"/>
      <c r="G1120" s="26"/>
      <c r="H1120" s="26"/>
      <c r="I1120" s="26"/>
      <c r="J1120" s="26"/>
    </row>
    <row r="1121" spans="1:10" s="13" customFormat="1">
      <c r="A1121" s="26"/>
      <c r="B1121" s="26"/>
      <c r="C1121" s="26"/>
      <c r="D1121" s="26"/>
      <c r="E1121" s="26"/>
      <c r="F1121" s="26"/>
      <c r="G1121" s="26"/>
      <c r="H1121" s="26"/>
      <c r="I1121" s="26"/>
      <c r="J1121" s="26"/>
    </row>
    <row r="1122" spans="1:10" s="13" customFormat="1">
      <c r="A1122" s="26"/>
      <c r="B1122" s="26"/>
      <c r="C1122" s="26"/>
      <c r="D1122" s="26"/>
      <c r="E1122" s="26"/>
      <c r="F1122" s="26"/>
      <c r="G1122" s="26"/>
      <c r="H1122" s="26"/>
      <c r="I1122" s="26"/>
      <c r="J1122" s="26"/>
    </row>
    <row r="1123" spans="1:10" s="13" customFormat="1">
      <c r="A1123" s="26"/>
      <c r="B1123" s="26"/>
      <c r="C1123" s="26"/>
      <c r="D1123" s="26"/>
      <c r="E1123" s="26"/>
      <c r="F1123" s="26"/>
      <c r="G1123" s="26"/>
      <c r="H1123" s="26"/>
      <c r="I1123" s="26"/>
      <c r="J1123" s="26"/>
    </row>
    <row r="1124" spans="1:10" s="13" customFormat="1">
      <c r="A1124" s="26"/>
      <c r="B1124" s="26"/>
      <c r="C1124" s="26"/>
      <c r="D1124" s="26"/>
      <c r="E1124" s="26"/>
      <c r="F1124" s="26"/>
      <c r="G1124" s="26"/>
      <c r="H1124" s="26"/>
      <c r="I1124" s="26"/>
      <c r="J1124" s="26"/>
    </row>
    <row r="1125" spans="1:10" s="13" customFormat="1">
      <c r="A1125" s="26"/>
      <c r="B1125" s="26"/>
      <c r="C1125" s="26"/>
      <c r="D1125" s="26"/>
      <c r="E1125" s="26"/>
      <c r="F1125" s="26"/>
      <c r="G1125" s="26"/>
      <c r="H1125" s="26"/>
      <c r="I1125" s="26"/>
      <c r="J1125" s="26"/>
    </row>
    <row r="1126" spans="1:10" s="13" customFormat="1">
      <c r="A1126" s="26"/>
      <c r="B1126" s="26"/>
      <c r="C1126" s="26"/>
      <c r="D1126" s="26"/>
      <c r="E1126" s="26"/>
      <c r="F1126" s="26"/>
      <c r="G1126" s="26"/>
      <c r="H1126" s="26"/>
      <c r="I1126" s="26"/>
      <c r="J1126" s="26"/>
    </row>
    <row r="1127" spans="1:10" s="13" customFormat="1">
      <c r="A1127" s="26"/>
      <c r="B1127" s="26"/>
      <c r="C1127" s="26"/>
      <c r="D1127" s="26"/>
      <c r="E1127" s="26"/>
      <c r="F1127" s="26"/>
      <c r="G1127" s="26"/>
      <c r="H1127" s="26"/>
      <c r="I1127" s="26"/>
      <c r="J1127" s="26"/>
    </row>
    <row r="1128" spans="1:10" s="13" customFormat="1">
      <c r="A1128" s="26"/>
      <c r="B1128" s="26"/>
      <c r="C1128" s="26"/>
      <c r="D1128" s="26"/>
      <c r="E1128" s="26"/>
      <c r="F1128" s="26"/>
      <c r="G1128" s="26"/>
      <c r="H1128" s="26"/>
      <c r="I1128" s="26"/>
      <c r="J1128" s="26"/>
    </row>
    <row r="1129" spans="1:10" s="13" customFormat="1">
      <c r="A1129" s="26"/>
      <c r="B1129" s="26"/>
      <c r="C1129" s="26"/>
      <c r="D1129" s="26"/>
      <c r="E1129" s="26"/>
      <c r="F1129" s="26"/>
      <c r="G1129" s="26"/>
      <c r="H1129" s="26"/>
      <c r="I1129" s="26"/>
      <c r="J1129" s="26"/>
    </row>
    <row r="1130" spans="1:10" s="13" customFormat="1">
      <c r="A1130" s="26"/>
      <c r="B1130" s="26"/>
      <c r="C1130" s="26"/>
      <c r="D1130" s="26"/>
      <c r="E1130" s="26"/>
      <c r="F1130" s="26"/>
      <c r="G1130" s="26"/>
      <c r="H1130" s="26"/>
      <c r="I1130" s="26"/>
      <c r="J1130" s="26"/>
    </row>
    <row r="1131" spans="1:10" s="13" customFormat="1">
      <c r="A1131" s="26"/>
      <c r="B1131" s="26"/>
      <c r="C1131" s="26"/>
      <c r="D1131" s="26"/>
      <c r="E1131" s="26"/>
      <c r="F1131" s="26"/>
      <c r="G1131" s="26"/>
      <c r="H1131" s="26"/>
      <c r="I1131" s="26"/>
      <c r="J1131" s="26"/>
    </row>
    <row r="1132" spans="1:10" s="13" customFormat="1">
      <c r="A1132" s="26"/>
      <c r="B1132" s="26"/>
      <c r="C1132" s="26"/>
      <c r="D1132" s="26"/>
      <c r="E1132" s="26"/>
      <c r="F1132" s="26"/>
      <c r="G1132" s="26"/>
      <c r="H1132" s="26"/>
      <c r="I1132" s="26"/>
      <c r="J1132" s="26"/>
    </row>
    <row r="1133" spans="1:10" s="13" customFormat="1">
      <c r="A1133" s="26"/>
      <c r="B1133" s="26"/>
      <c r="C1133" s="26"/>
      <c r="D1133" s="26"/>
      <c r="E1133" s="26"/>
      <c r="F1133" s="26"/>
      <c r="G1133" s="26"/>
      <c r="H1133" s="26"/>
      <c r="I1133" s="26"/>
      <c r="J1133" s="26"/>
    </row>
    <row r="1134" spans="1:10" s="13" customFormat="1">
      <c r="A1134" s="26"/>
      <c r="B1134" s="26"/>
      <c r="C1134" s="26"/>
      <c r="D1134" s="26"/>
      <c r="E1134" s="26"/>
      <c r="F1134" s="26"/>
      <c r="G1134" s="26"/>
      <c r="H1134" s="26"/>
      <c r="I1134" s="26"/>
      <c r="J1134" s="26"/>
    </row>
    <row r="1135" spans="1:10" s="13" customFormat="1">
      <c r="A1135" s="26"/>
      <c r="B1135" s="26"/>
      <c r="C1135" s="26"/>
      <c r="D1135" s="26"/>
      <c r="E1135" s="26"/>
      <c r="F1135" s="26"/>
      <c r="G1135" s="26"/>
      <c r="H1135" s="26"/>
      <c r="I1135" s="26"/>
      <c r="J1135" s="26"/>
    </row>
    <row r="1136" spans="1:10" s="13" customFormat="1">
      <c r="A1136" s="26"/>
      <c r="B1136" s="26"/>
      <c r="C1136" s="26"/>
      <c r="D1136" s="26"/>
      <c r="E1136" s="26"/>
      <c r="F1136" s="26"/>
      <c r="G1136" s="26"/>
      <c r="H1136" s="26"/>
      <c r="I1136" s="26"/>
      <c r="J1136" s="26"/>
    </row>
    <row r="1137" spans="1:10" s="13" customFormat="1">
      <c r="A1137" s="26"/>
      <c r="B1137" s="26"/>
      <c r="C1137" s="26"/>
      <c r="D1137" s="26"/>
      <c r="E1137" s="26"/>
      <c r="F1137" s="26"/>
      <c r="G1137" s="26"/>
      <c r="H1137" s="26"/>
      <c r="I1137" s="26"/>
      <c r="J1137" s="26"/>
    </row>
    <row r="1138" spans="1:10" s="13" customFormat="1">
      <c r="A1138" s="26"/>
      <c r="B1138" s="26"/>
      <c r="C1138" s="26"/>
      <c r="D1138" s="26"/>
      <c r="E1138" s="26"/>
      <c r="F1138" s="26"/>
      <c r="G1138" s="26"/>
      <c r="H1138" s="26"/>
      <c r="I1138" s="26"/>
      <c r="J1138" s="26"/>
    </row>
    <row r="1139" spans="1:10" s="13" customFormat="1">
      <c r="A1139" s="26"/>
      <c r="B1139" s="26"/>
      <c r="C1139" s="26"/>
      <c r="D1139" s="26"/>
      <c r="E1139" s="26"/>
      <c r="F1139" s="26"/>
      <c r="G1139" s="26"/>
      <c r="H1139" s="26"/>
      <c r="I1139" s="26"/>
      <c r="J1139" s="26"/>
    </row>
    <row r="1140" spans="1:10" s="13" customFormat="1">
      <c r="A1140" s="26"/>
      <c r="B1140" s="26"/>
      <c r="C1140" s="26"/>
      <c r="D1140" s="26"/>
      <c r="E1140" s="26"/>
      <c r="F1140" s="26"/>
      <c r="G1140" s="26"/>
      <c r="H1140" s="26"/>
      <c r="I1140" s="26"/>
      <c r="J1140" s="26"/>
    </row>
    <row r="1141" spans="1:10" s="13" customFormat="1">
      <c r="A1141" s="26"/>
      <c r="B1141" s="26"/>
      <c r="C1141" s="26"/>
      <c r="D1141" s="26"/>
      <c r="E1141" s="26"/>
      <c r="F1141" s="26"/>
      <c r="G1141" s="26"/>
      <c r="H1141" s="26"/>
      <c r="I1141" s="26"/>
      <c r="J1141" s="26"/>
    </row>
    <row r="1142" spans="1:10" s="13" customFormat="1">
      <c r="A1142" s="26"/>
      <c r="B1142" s="26"/>
      <c r="C1142" s="26"/>
      <c r="D1142" s="26"/>
      <c r="E1142" s="26"/>
      <c r="F1142" s="26"/>
      <c r="G1142" s="26"/>
      <c r="H1142" s="26"/>
      <c r="I1142" s="26"/>
      <c r="J1142" s="26"/>
    </row>
    <row r="1143" spans="1:10" s="13" customFormat="1">
      <c r="A1143" s="26"/>
      <c r="B1143" s="26"/>
      <c r="C1143" s="26"/>
      <c r="D1143" s="26"/>
      <c r="E1143" s="26"/>
      <c r="F1143" s="26"/>
      <c r="G1143" s="26"/>
      <c r="H1143" s="26"/>
      <c r="I1143" s="26"/>
      <c r="J1143" s="26"/>
    </row>
    <row r="1144" spans="1:10" s="13" customFormat="1">
      <c r="A1144" s="26"/>
      <c r="B1144" s="26"/>
      <c r="C1144" s="26"/>
      <c r="D1144" s="26"/>
      <c r="E1144" s="26"/>
      <c r="F1144" s="26"/>
      <c r="G1144" s="26"/>
      <c r="H1144" s="26"/>
      <c r="I1144" s="26"/>
      <c r="J1144" s="26"/>
    </row>
    <row r="1145" spans="1:10" s="13" customFormat="1">
      <c r="A1145" s="26"/>
      <c r="B1145" s="26"/>
      <c r="C1145" s="26"/>
      <c r="D1145" s="26"/>
      <c r="E1145" s="26"/>
      <c r="F1145" s="26"/>
      <c r="G1145" s="26"/>
      <c r="H1145" s="26"/>
      <c r="I1145" s="26"/>
      <c r="J1145" s="26"/>
    </row>
    <row r="1146" spans="1:10" s="13" customFormat="1">
      <c r="A1146" s="26"/>
      <c r="B1146" s="26"/>
      <c r="C1146" s="26"/>
      <c r="D1146" s="26"/>
      <c r="E1146" s="26"/>
      <c r="F1146" s="26"/>
      <c r="G1146" s="26"/>
      <c r="H1146" s="26"/>
      <c r="I1146" s="26"/>
      <c r="J1146" s="26"/>
    </row>
    <row r="1147" spans="1:10" s="13" customFormat="1">
      <c r="A1147" s="26"/>
      <c r="B1147" s="26"/>
      <c r="C1147" s="26"/>
      <c r="D1147" s="26"/>
      <c r="E1147" s="26"/>
      <c r="F1147" s="26"/>
      <c r="G1147" s="26"/>
      <c r="H1147" s="26"/>
      <c r="I1147" s="26"/>
      <c r="J1147" s="26"/>
    </row>
    <row r="1148" spans="1:10" s="13" customFormat="1">
      <c r="A1148" s="26"/>
      <c r="B1148" s="26"/>
      <c r="C1148" s="26"/>
      <c r="D1148" s="26"/>
      <c r="E1148" s="26"/>
      <c r="F1148" s="26"/>
      <c r="G1148" s="26"/>
      <c r="H1148" s="26"/>
      <c r="I1148" s="26"/>
      <c r="J1148" s="26"/>
    </row>
    <row r="1149" spans="1:10" s="13" customFormat="1">
      <c r="A1149" s="26"/>
      <c r="B1149" s="26"/>
      <c r="C1149" s="26"/>
      <c r="D1149" s="26"/>
      <c r="E1149" s="26"/>
      <c r="F1149" s="26"/>
      <c r="G1149" s="26"/>
      <c r="H1149" s="26"/>
      <c r="I1149" s="26"/>
      <c r="J1149" s="26"/>
    </row>
    <row r="1150" spans="1:10" s="13" customFormat="1">
      <c r="A1150" s="26"/>
      <c r="B1150" s="26"/>
      <c r="C1150" s="26"/>
      <c r="D1150" s="26"/>
      <c r="E1150" s="26"/>
      <c r="F1150" s="26"/>
      <c r="G1150" s="26"/>
      <c r="H1150" s="26"/>
      <c r="I1150" s="26"/>
      <c r="J1150" s="26"/>
    </row>
    <row r="1151" spans="1:10" s="13" customFormat="1">
      <c r="A1151" s="26"/>
      <c r="B1151" s="26"/>
      <c r="C1151" s="26"/>
      <c r="D1151" s="26"/>
      <c r="E1151" s="26"/>
      <c r="F1151" s="26"/>
      <c r="G1151" s="26"/>
      <c r="H1151" s="26"/>
      <c r="I1151" s="26"/>
      <c r="J1151" s="26"/>
    </row>
    <row r="1152" spans="1:10" s="13" customFormat="1">
      <c r="A1152" s="26"/>
      <c r="B1152" s="26"/>
      <c r="C1152" s="26"/>
      <c r="D1152" s="26"/>
      <c r="E1152" s="26"/>
      <c r="F1152" s="26"/>
      <c r="G1152" s="26"/>
      <c r="H1152" s="26"/>
      <c r="I1152" s="26"/>
      <c r="J1152" s="26"/>
    </row>
    <row r="1153" spans="1:10" s="13" customFormat="1">
      <c r="A1153" s="26"/>
      <c r="B1153" s="26"/>
      <c r="C1153" s="26"/>
      <c r="D1153" s="26"/>
      <c r="E1153" s="26"/>
      <c r="F1153" s="26"/>
      <c r="G1153" s="26"/>
      <c r="H1153" s="26"/>
      <c r="I1153" s="26"/>
      <c r="J1153" s="26"/>
    </row>
    <row r="1154" spans="1:10" s="13" customFormat="1">
      <c r="A1154" s="26"/>
      <c r="B1154" s="26"/>
      <c r="C1154" s="26"/>
      <c r="D1154" s="26"/>
      <c r="E1154" s="26"/>
      <c r="F1154" s="26"/>
      <c r="G1154" s="26"/>
      <c r="H1154" s="26"/>
      <c r="I1154" s="26"/>
      <c r="J1154" s="26"/>
    </row>
    <row r="1155" spans="1:10" s="13" customFormat="1">
      <c r="A1155" s="26"/>
      <c r="B1155" s="26"/>
      <c r="C1155" s="26"/>
      <c r="D1155" s="26"/>
      <c r="E1155" s="26"/>
      <c r="F1155" s="26"/>
      <c r="G1155" s="26"/>
      <c r="H1155" s="26"/>
      <c r="I1155" s="26"/>
      <c r="J1155" s="26"/>
    </row>
    <row r="1156" spans="1:10" s="13" customFormat="1">
      <c r="A1156" s="26"/>
      <c r="B1156" s="26"/>
      <c r="C1156" s="26"/>
      <c r="D1156" s="26"/>
      <c r="E1156" s="26"/>
      <c r="F1156" s="26"/>
      <c r="G1156" s="26"/>
      <c r="H1156" s="26"/>
      <c r="I1156" s="26"/>
      <c r="J1156" s="26"/>
    </row>
    <row r="1157" spans="1:10" s="13" customFormat="1">
      <c r="A1157" s="26"/>
      <c r="B1157" s="26"/>
      <c r="C1157" s="26"/>
      <c r="D1157" s="26"/>
      <c r="E1157" s="26"/>
      <c r="F1157" s="26"/>
      <c r="G1157" s="26"/>
      <c r="H1157" s="26"/>
      <c r="I1157" s="26"/>
      <c r="J1157" s="26"/>
    </row>
    <row r="1158" spans="1:10" s="13" customFormat="1">
      <c r="A1158" s="26"/>
      <c r="B1158" s="26"/>
      <c r="C1158" s="26"/>
      <c r="D1158" s="26"/>
      <c r="E1158" s="26"/>
      <c r="F1158" s="26"/>
      <c r="G1158" s="26"/>
      <c r="H1158" s="26"/>
      <c r="I1158" s="26"/>
      <c r="J1158" s="26"/>
    </row>
    <row r="1159" spans="1:10" s="13" customFormat="1">
      <c r="A1159" s="26"/>
      <c r="B1159" s="26"/>
      <c r="C1159" s="26"/>
      <c r="D1159" s="26"/>
      <c r="E1159" s="26"/>
      <c r="F1159" s="26"/>
      <c r="G1159" s="26"/>
      <c r="H1159" s="26"/>
      <c r="I1159" s="26"/>
      <c r="J1159" s="26"/>
    </row>
    <row r="1160" spans="1:10" s="13" customFormat="1">
      <c r="A1160" s="26"/>
      <c r="B1160" s="26"/>
      <c r="C1160" s="26"/>
      <c r="D1160" s="26"/>
      <c r="E1160" s="26"/>
      <c r="F1160" s="26"/>
      <c r="G1160" s="26"/>
      <c r="H1160" s="26"/>
      <c r="I1160" s="26"/>
      <c r="J1160" s="26"/>
    </row>
    <row r="1161" spans="1:10" s="13" customFormat="1">
      <c r="A1161" s="26"/>
      <c r="B1161" s="26"/>
      <c r="C1161" s="26"/>
      <c r="D1161" s="26"/>
      <c r="E1161" s="26"/>
      <c r="F1161" s="26"/>
      <c r="G1161" s="26"/>
      <c r="H1161" s="26"/>
      <c r="I1161" s="26"/>
      <c r="J1161" s="26"/>
    </row>
    <row r="1162" spans="1:10" s="13" customFormat="1">
      <c r="A1162" s="26"/>
      <c r="B1162" s="26"/>
      <c r="C1162" s="26"/>
      <c r="D1162" s="26"/>
      <c r="E1162" s="26"/>
      <c r="F1162" s="26"/>
      <c r="G1162" s="26"/>
      <c r="H1162" s="26"/>
      <c r="I1162" s="26"/>
      <c r="J1162" s="26"/>
    </row>
    <row r="1163" spans="1:10" s="13" customFormat="1">
      <c r="A1163" s="26"/>
      <c r="B1163" s="26"/>
      <c r="C1163" s="26"/>
      <c r="D1163" s="26"/>
      <c r="E1163" s="26"/>
      <c r="F1163" s="26"/>
      <c r="G1163" s="26"/>
      <c r="H1163" s="26"/>
      <c r="I1163" s="26"/>
      <c r="J1163" s="26"/>
    </row>
    <row r="1164" spans="1:10" s="13" customFormat="1">
      <c r="A1164" s="26"/>
      <c r="B1164" s="26"/>
      <c r="C1164" s="26"/>
      <c r="D1164" s="26"/>
      <c r="E1164" s="26"/>
      <c r="F1164" s="26"/>
      <c r="G1164" s="26"/>
      <c r="H1164" s="26"/>
      <c r="I1164" s="26"/>
      <c r="J1164" s="26"/>
    </row>
    <row r="1165" spans="1:10" s="13" customFormat="1">
      <c r="A1165" s="26"/>
      <c r="B1165" s="26"/>
      <c r="C1165" s="26"/>
      <c r="D1165" s="26"/>
      <c r="E1165" s="26"/>
      <c r="F1165" s="26"/>
      <c r="G1165" s="26"/>
      <c r="H1165" s="26"/>
      <c r="I1165" s="26"/>
      <c r="J1165" s="26"/>
    </row>
    <row r="1166" spans="1:10" s="13" customFormat="1">
      <c r="A1166" s="26"/>
      <c r="B1166" s="26"/>
      <c r="C1166" s="26"/>
      <c r="D1166" s="26"/>
      <c r="E1166" s="26"/>
      <c r="F1166" s="26"/>
      <c r="G1166" s="26"/>
      <c r="H1166" s="26"/>
      <c r="I1166" s="26"/>
      <c r="J1166" s="26"/>
    </row>
    <row r="1167" spans="1:10" s="13" customFormat="1">
      <c r="A1167" s="26"/>
      <c r="B1167" s="26"/>
      <c r="C1167" s="26"/>
      <c r="D1167" s="26"/>
      <c r="E1167" s="26"/>
      <c r="F1167" s="26"/>
      <c r="G1167" s="26"/>
      <c r="H1167" s="26"/>
      <c r="I1167" s="26"/>
      <c r="J1167" s="26"/>
    </row>
    <row r="1168" spans="1:10" s="13" customFormat="1">
      <c r="A1168" s="26"/>
      <c r="B1168" s="26"/>
      <c r="C1168" s="26"/>
      <c r="D1168" s="26"/>
      <c r="E1168" s="26"/>
      <c r="F1168" s="26"/>
      <c r="G1168" s="26"/>
      <c r="H1168" s="26"/>
      <c r="I1168" s="26"/>
      <c r="J1168" s="26"/>
    </row>
    <row r="1169" spans="1:10" s="13" customFormat="1">
      <c r="A1169" s="26"/>
      <c r="B1169" s="26"/>
      <c r="C1169" s="26"/>
      <c r="D1169" s="26"/>
      <c r="E1169" s="26"/>
      <c r="F1169" s="26"/>
      <c r="G1169" s="26"/>
      <c r="H1169" s="26"/>
      <c r="I1169" s="26"/>
      <c r="J1169" s="26"/>
    </row>
    <row r="1170" spans="1:10" s="13" customFormat="1">
      <c r="A1170" s="26"/>
      <c r="B1170" s="26"/>
      <c r="C1170" s="26"/>
      <c r="D1170" s="26"/>
      <c r="E1170" s="26"/>
      <c r="F1170" s="26"/>
      <c r="G1170" s="26"/>
      <c r="H1170" s="26"/>
      <c r="I1170" s="26"/>
      <c r="J1170" s="26"/>
    </row>
    <row r="1171" spans="1:10" s="13" customFormat="1">
      <c r="A1171" s="26"/>
      <c r="B1171" s="26"/>
      <c r="C1171" s="26"/>
      <c r="D1171" s="26"/>
      <c r="E1171" s="26"/>
      <c r="F1171" s="26"/>
      <c r="G1171" s="26"/>
      <c r="H1171" s="26"/>
      <c r="I1171" s="26"/>
      <c r="J1171" s="26"/>
    </row>
    <row r="1172" spans="1:10" s="13" customFormat="1">
      <c r="A1172" s="26"/>
      <c r="B1172" s="26"/>
      <c r="C1172" s="26"/>
      <c r="D1172" s="26"/>
      <c r="E1172" s="26"/>
      <c r="F1172" s="26"/>
      <c r="G1172" s="26"/>
      <c r="H1172" s="26"/>
      <c r="I1172" s="26"/>
      <c r="J1172" s="26"/>
    </row>
    <row r="1173" spans="1:10" s="13" customFormat="1">
      <c r="A1173" s="26"/>
      <c r="B1173" s="26"/>
      <c r="C1173" s="26"/>
      <c r="D1173" s="26"/>
      <c r="E1173" s="26"/>
      <c r="F1173" s="26"/>
      <c r="G1173" s="26"/>
      <c r="H1173" s="26"/>
      <c r="I1173" s="26"/>
      <c r="J1173" s="26"/>
    </row>
    <row r="1174" spans="1:10" s="13" customFormat="1">
      <c r="A1174" s="26"/>
      <c r="B1174" s="26"/>
      <c r="C1174" s="26"/>
      <c r="D1174" s="26"/>
      <c r="E1174" s="26"/>
      <c r="F1174" s="26"/>
      <c r="G1174" s="26"/>
      <c r="H1174" s="26"/>
      <c r="I1174" s="26"/>
      <c r="J1174" s="26"/>
    </row>
    <row r="1175" spans="1:10" s="13" customFormat="1">
      <c r="A1175" s="26"/>
      <c r="B1175" s="26"/>
      <c r="C1175" s="26"/>
      <c r="D1175" s="26"/>
      <c r="E1175" s="26"/>
      <c r="F1175" s="26"/>
      <c r="G1175" s="26"/>
      <c r="H1175" s="26"/>
      <c r="I1175" s="26"/>
      <c r="J1175" s="26"/>
    </row>
    <row r="1176" spans="1:10" s="13" customFormat="1">
      <c r="A1176" s="26"/>
      <c r="B1176" s="26"/>
      <c r="C1176" s="26"/>
      <c r="D1176" s="26"/>
      <c r="E1176" s="26"/>
      <c r="F1176" s="26"/>
      <c r="G1176" s="26"/>
      <c r="H1176" s="26"/>
      <c r="I1176" s="26"/>
      <c r="J1176" s="26"/>
    </row>
    <row r="1177" spans="1:10" s="13" customFormat="1">
      <c r="A1177" s="26"/>
      <c r="B1177" s="26"/>
      <c r="C1177" s="26"/>
      <c r="D1177" s="26"/>
      <c r="E1177" s="26"/>
      <c r="F1177" s="26"/>
      <c r="G1177" s="26"/>
      <c r="H1177" s="26"/>
      <c r="I1177" s="26"/>
      <c r="J1177" s="26"/>
    </row>
    <row r="1178" spans="1:10" s="13" customFormat="1">
      <c r="A1178" s="26"/>
      <c r="B1178" s="26"/>
      <c r="C1178" s="26"/>
      <c r="D1178" s="26"/>
      <c r="E1178" s="26"/>
      <c r="F1178" s="26"/>
      <c r="G1178" s="26"/>
      <c r="H1178" s="26"/>
      <c r="I1178" s="26"/>
      <c r="J1178" s="26"/>
    </row>
    <row r="1179" spans="1:10" s="13" customFormat="1">
      <c r="A1179" s="26"/>
      <c r="B1179" s="26"/>
      <c r="C1179" s="26"/>
      <c r="D1179" s="26"/>
      <c r="E1179" s="26"/>
      <c r="F1179" s="26"/>
      <c r="G1179" s="26"/>
      <c r="H1179" s="26"/>
      <c r="I1179" s="26"/>
      <c r="J1179" s="26"/>
    </row>
    <row r="1180" spans="1:10" s="13" customFormat="1">
      <c r="A1180" s="26"/>
      <c r="B1180" s="26"/>
      <c r="C1180" s="26"/>
      <c r="D1180" s="26"/>
      <c r="E1180" s="26"/>
      <c r="F1180" s="26"/>
      <c r="G1180" s="26"/>
      <c r="H1180" s="26"/>
      <c r="I1180" s="26"/>
      <c r="J1180" s="26"/>
    </row>
    <row r="1181" spans="1:10" s="13" customFormat="1">
      <c r="A1181" s="26"/>
      <c r="B1181" s="26"/>
      <c r="C1181" s="26"/>
      <c r="D1181" s="26"/>
      <c r="E1181" s="26"/>
      <c r="F1181" s="26"/>
      <c r="G1181" s="26"/>
      <c r="H1181" s="26"/>
      <c r="I1181" s="26"/>
      <c r="J1181" s="26"/>
    </row>
    <row r="1182" spans="1:10" s="13" customFormat="1">
      <c r="A1182" s="26"/>
      <c r="B1182" s="26"/>
      <c r="C1182" s="26"/>
      <c r="D1182" s="26"/>
      <c r="E1182" s="26"/>
      <c r="F1182" s="26"/>
      <c r="G1182" s="26"/>
      <c r="H1182" s="26"/>
      <c r="I1182" s="26"/>
      <c r="J1182" s="26"/>
    </row>
    <row r="1183" spans="1:10" s="13" customFormat="1">
      <c r="A1183" s="26"/>
      <c r="B1183" s="26"/>
      <c r="C1183" s="26"/>
      <c r="D1183" s="26"/>
      <c r="E1183" s="26"/>
      <c r="F1183" s="26"/>
      <c r="G1183" s="26"/>
      <c r="H1183" s="26"/>
      <c r="I1183" s="26"/>
      <c r="J1183" s="26"/>
    </row>
    <row r="1184" spans="1:10" s="13" customFormat="1">
      <c r="A1184" s="26"/>
      <c r="B1184" s="26"/>
      <c r="C1184" s="26"/>
      <c r="D1184" s="26"/>
      <c r="E1184" s="26"/>
      <c r="F1184" s="26"/>
      <c r="G1184" s="26"/>
      <c r="H1184" s="26"/>
      <c r="I1184" s="26"/>
      <c r="J1184" s="26"/>
    </row>
    <row r="1185" spans="1:10" s="13" customFormat="1">
      <c r="A1185" s="26"/>
      <c r="B1185" s="26"/>
      <c r="C1185" s="26"/>
      <c r="D1185" s="26"/>
      <c r="E1185" s="26"/>
      <c r="F1185" s="26"/>
      <c r="G1185" s="26"/>
      <c r="H1185" s="26"/>
      <c r="I1185" s="26"/>
      <c r="J1185" s="26"/>
    </row>
    <row r="1186" spans="1:10" s="13" customFormat="1">
      <c r="A1186" s="26"/>
      <c r="B1186" s="26"/>
      <c r="C1186" s="26"/>
      <c r="D1186" s="26"/>
      <c r="E1186" s="26"/>
      <c r="F1186" s="26"/>
      <c r="G1186" s="26"/>
      <c r="H1186" s="26"/>
      <c r="I1186" s="26"/>
      <c r="J1186" s="26"/>
    </row>
    <row r="1187" spans="1:10" s="13" customFormat="1">
      <c r="A1187" s="26"/>
      <c r="B1187" s="26"/>
      <c r="C1187" s="26"/>
      <c r="D1187" s="26"/>
      <c r="E1187" s="26"/>
      <c r="F1187" s="26"/>
      <c r="G1187" s="26"/>
      <c r="H1187" s="26"/>
      <c r="I1187" s="26"/>
      <c r="J1187" s="26"/>
    </row>
    <row r="1188" spans="1:10" s="13" customFormat="1">
      <c r="A1188" s="26"/>
      <c r="B1188" s="26"/>
      <c r="C1188" s="26"/>
      <c r="D1188" s="26"/>
      <c r="E1188" s="26"/>
      <c r="F1188" s="26"/>
      <c r="G1188" s="26"/>
      <c r="H1188" s="26"/>
      <c r="I1188" s="26"/>
      <c r="J1188" s="26"/>
    </row>
    <row r="1189" spans="1:10" s="13" customFormat="1">
      <c r="A1189" s="26"/>
      <c r="B1189" s="26"/>
      <c r="C1189" s="26"/>
      <c r="D1189" s="26"/>
      <c r="E1189" s="26"/>
      <c r="F1189" s="26"/>
      <c r="G1189" s="26"/>
      <c r="H1189" s="26"/>
      <c r="I1189" s="26"/>
      <c r="J1189" s="26"/>
    </row>
    <row r="1190" spans="1:10" s="13" customFormat="1">
      <c r="A1190" s="26"/>
      <c r="B1190" s="26"/>
      <c r="C1190" s="26"/>
      <c r="D1190" s="26"/>
      <c r="E1190" s="26"/>
      <c r="F1190" s="26"/>
      <c r="G1190" s="26"/>
      <c r="H1190" s="26"/>
      <c r="I1190" s="26"/>
      <c r="J1190" s="26"/>
    </row>
    <row r="1191" spans="1:10" s="13" customFormat="1">
      <c r="A1191" s="26"/>
      <c r="B1191" s="26"/>
      <c r="C1191" s="26"/>
      <c r="D1191" s="26"/>
      <c r="E1191" s="26"/>
      <c r="F1191" s="26"/>
      <c r="G1191" s="26"/>
      <c r="H1191" s="26"/>
      <c r="I1191" s="26"/>
      <c r="J1191" s="26"/>
    </row>
    <row r="1192" spans="1:10" s="13" customFormat="1">
      <c r="A1192" s="26"/>
      <c r="B1192" s="26"/>
      <c r="C1192" s="26"/>
      <c r="D1192" s="26"/>
      <c r="E1192" s="26"/>
      <c r="F1192" s="26"/>
      <c r="G1192" s="26"/>
      <c r="H1192" s="26"/>
      <c r="I1192" s="26"/>
      <c r="J1192" s="26"/>
    </row>
    <row r="1193" spans="1:10" s="13" customFormat="1">
      <c r="A1193" s="26"/>
      <c r="B1193" s="26"/>
      <c r="C1193" s="26"/>
      <c r="D1193" s="26"/>
      <c r="E1193" s="26"/>
      <c r="F1193" s="26"/>
      <c r="G1193" s="26"/>
      <c r="H1193" s="26"/>
      <c r="I1193" s="26"/>
      <c r="J1193" s="26"/>
    </row>
    <row r="1194" spans="1:10" s="13" customFormat="1">
      <c r="A1194" s="26"/>
      <c r="B1194" s="26"/>
      <c r="C1194" s="26"/>
      <c r="D1194" s="26"/>
      <c r="E1194" s="26"/>
      <c r="F1194" s="26"/>
      <c r="G1194" s="26"/>
      <c r="H1194" s="26"/>
      <c r="I1194" s="26"/>
      <c r="J1194" s="26"/>
    </row>
    <row r="1195" spans="1:10" s="13" customFormat="1">
      <c r="A1195" s="26"/>
      <c r="B1195" s="26"/>
      <c r="C1195" s="26"/>
      <c r="D1195" s="26"/>
      <c r="E1195" s="26"/>
      <c r="F1195" s="26"/>
      <c r="G1195" s="26"/>
      <c r="H1195" s="26"/>
      <c r="I1195" s="26"/>
      <c r="J1195" s="26"/>
    </row>
    <row r="1196" spans="1:10" s="13" customFormat="1">
      <c r="A1196" s="26"/>
      <c r="B1196" s="26"/>
      <c r="C1196" s="26"/>
      <c r="D1196" s="26"/>
      <c r="E1196" s="26"/>
      <c r="F1196" s="26"/>
      <c r="G1196" s="26"/>
      <c r="H1196" s="26"/>
      <c r="I1196" s="26"/>
      <c r="J1196" s="26"/>
    </row>
    <row r="1197" spans="1:10" s="13" customFormat="1">
      <c r="A1197" s="26"/>
      <c r="B1197" s="26"/>
      <c r="C1197" s="26"/>
      <c r="D1197" s="26"/>
      <c r="E1197" s="26"/>
      <c r="F1197" s="26"/>
      <c r="G1197" s="26"/>
      <c r="H1197" s="26"/>
      <c r="I1197" s="26"/>
      <c r="J1197" s="26"/>
    </row>
    <row r="1198" spans="1:10" s="13" customFormat="1">
      <c r="A1198" s="26"/>
      <c r="B1198" s="26"/>
      <c r="C1198" s="26"/>
      <c r="D1198" s="26"/>
      <c r="E1198" s="26"/>
      <c r="F1198" s="26"/>
      <c r="G1198" s="26"/>
      <c r="H1198" s="26"/>
      <c r="I1198" s="26"/>
      <c r="J1198" s="26"/>
    </row>
    <row r="1199" spans="1:10" s="13" customFormat="1">
      <c r="A1199" s="26"/>
      <c r="B1199" s="26"/>
      <c r="C1199" s="26"/>
      <c r="D1199" s="26"/>
      <c r="E1199" s="26"/>
      <c r="F1199" s="26"/>
      <c r="G1199" s="26"/>
      <c r="H1199" s="26"/>
      <c r="I1199" s="26"/>
      <c r="J1199" s="26"/>
    </row>
    <row r="1200" spans="1:10" s="13" customFormat="1">
      <c r="A1200" s="26"/>
      <c r="B1200" s="26"/>
      <c r="C1200" s="26"/>
      <c r="D1200" s="26"/>
      <c r="E1200" s="26"/>
      <c r="F1200" s="26"/>
      <c r="G1200" s="26"/>
      <c r="H1200" s="26"/>
      <c r="I1200" s="26"/>
      <c r="J1200" s="26"/>
    </row>
    <row r="1201" spans="1:10" s="13" customFormat="1">
      <c r="A1201" s="26"/>
      <c r="B1201" s="26"/>
      <c r="C1201" s="26"/>
      <c r="D1201" s="26"/>
      <c r="E1201" s="26"/>
      <c r="F1201" s="26"/>
      <c r="G1201" s="26"/>
      <c r="H1201" s="26"/>
      <c r="I1201" s="26"/>
      <c r="J1201" s="26"/>
    </row>
    <row r="1202" spans="1:10" s="13" customFormat="1">
      <c r="A1202" s="26"/>
      <c r="B1202" s="26"/>
      <c r="C1202" s="26"/>
      <c r="D1202" s="26"/>
      <c r="E1202" s="26"/>
      <c r="F1202" s="26"/>
      <c r="G1202" s="26"/>
      <c r="H1202" s="26"/>
      <c r="I1202" s="26"/>
      <c r="J1202" s="26"/>
    </row>
    <row r="1203" spans="1:10" s="13" customFormat="1">
      <c r="A1203" s="26"/>
      <c r="B1203" s="26"/>
      <c r="C1203" s="26"/>
      <c r="D1203" s="26"/>
      <c r="E1203" s="26"/>
      <c r="F1203" s="26"/>
      <c r="G1203" s="26"/>
      <c r="H1203" s="26"/>
      <c r="I1203" s="26"/>
      <c r="J1203" s="26"/>
    </row>
    <row r="1204" spans="1:10" s="13" customFormat="1">
      <c r="A1204" s="26"/>
      <c r="B1204" s="26"/>
      <c r="C1204" s="26"/>
      <c r="D1204" s="26"/>
      <c r="E1204" s="26"/>
      <c r="F1204" s="26"/>
      <c r="G1204" s="26"/>
      <c r="H1204" s="26"/>
      <c r="I1204" s="26"/>
      <c r="J1204" s="26"/>
    </row>
    <row r="1205" spans="1:10" s="13" customFormat="1">
      <c r="A1205" s="26"/>
      <c r="B1205" s="26"/>
      <c r="C1205" s="26"/>
      <c r="D1205" s="26"/>
      <c r="E1205" s="26"/>
      <c r="F1205" s="26"/>
      <c r="G1205" s="26"/>
      <c r="H1205" s="26"/>
      <c r="I1205" s="26"/>
      <c r="J1205" s="26"/>
    </row>
    <row r="1206" spans="1:10" s="13" customFormat="1">
      <c r="A1206" s="26"/>
      <c r="B1206" s="26"/>
      <c r="C1206" s="26"/>
      <c r="D1206" s="26"/>
      <c r="E1206" s="26"/>
      <c r="F1206" s="26"/>
      <c r="G1206" s="26"/>
      <c r="H1206" s="26"/>
      <c r="I1206" s="26"/>
      <c r="J1206" s="26"/>
    </row>
    <row r="1207" spans="1:10" s="13" customFormat="1">
      <c r="A1207" s="26"/>
      <c r="B1207" s="26"/>
      <c r="C1207" s="26"/>
      <c r="D1207" s="26"/>
      <c r="E1207" s="26"/>
      <c r="F1207" s="26"/>
      <c r="G1207" s="26"/>
      <c r="H1207" s="26"/>
      <c r="I1207" s="26"/>
      <c r="J1207" s="26"/>
    </row>
    <row r="1208" spans="1:10" s="13" customFormat="1">
      <c r="A1208" s="26"/>
      <c r="B1208" s="26"/>
      <c r="C1208" s="26"/>
      <c r="D1208" s="26"/>
      <c r="E1208" s="26"/>
      <c r="F1208" s="26"/>
      <c r="G1208" s="26"/>
      <c r="H1208" s="26"/>
      <c r="I1208" s="26"/>
      <c r="J1208" s="26"/>
    </row>
    <row r="1209" spans="1:10" s="13" customFormat="1">
      <c r="A1209" s="26"/>
      <c r="B1209" s="26"/>
      <c r="C1209" s="26"/>
      <c r="D1209" s="26"/>
      <c r="E1209" s="26"/>
      <c r="F1209" s="26"/>
      <c r="G1209" s="26"/>
      <c r="H1209" s="26"/>
      <c r="I1209" s="26"/>
      <c r="J1209" s="26"/>
    </row>
    <row r="1210" spans="1:10" s="13" customFormat="1">
      <c r="A1210" s="26"/>
      <c r="B1210" s="26"/>
      <c r="C1210" s="26"/>
      <c r="D1210" s="26"/>
      <c r="E1210" s="26"/>
      <c r="F1210" s="26"/>
      <c r="G1210" s="26"/>
      <c r="H1210" s="26"/>
      <c r="I1210" s="26"/>
      <c r="J1210" s="26"/>
    </row>
    <row r="1211" spans="1:10" s="13" customFormat="1">
      <c r="A1211" s="26"/>
      <c r="B1211" s="26"/>
      <c r="C1211" s="26"/>
      <c r="D1211" s="26"/>
      <c r="E1211" s="26"/>
      <c r="F1211" s="26"/>
      <c r="G1211" s="26"/>
      <c r="H1211" s="26"/>
      <c r="I1211" s="26"/>
      <c r="J1211" s="26"/>
    </row>
    <row r="1212" spans="1:10" s="13" customFormat="1">
      <c r="A1212" s="26"/>
      <c r="B1212" s="26"/>
      <c r="C1212" s="26"/>
      <c r="D1212" s="26"/>
      <c r="E1212" s="26"/>
      <c r="F1212" s="26"/>
      <c r="G1212" s="26"/>
      <c r="H1212" s="26"/>
      <c r="I1212" s="26"/>
      <c r="J1212" s="26"/>
    </row>
    <row r="1213" spans="1:10" s="13" customFormat="1">
      <c r="A1213" s="26"/>
      <c r="B1213" s="26"/>
      <c r="C1213" s="26"/>
      <c r="D1213" s="26"/>
      <c r="E1213" s="26"/>
      <c r="F1213" s="26"/>
      <c r="G1213" s="26"/>
      <c r="H1213" s="26"/>
      <c r="I1213" s="26"/>
      <c r="J1213" s="26"/>
    </row>
    <row r="1214" spans="1:10" s="13" customFormat="1">
      <c r="A1214" s="26"/>
      <c r="B1214" s="26"/>
      <c r="C1214" s="26"/>
      <c r="D1214" s="26"/>
      <c r="E1214" s="26"/>
      <c r="F1214" s="26"/>
      <c r="G1214" s="26"/>
      <c r="H1214" s="26"/>
      <c r="I1214" s="26"/>
      <c r="J1214" s="26"/>
    </row>
    <row r="1215" spans="1:10" s="13" customFormat="1">
      <c r="A1215" s="26"/>
      <c r="B1215" s="26"/>
      <c r="C1215" s="26"/>
      <c r="D1215" s="26"/>
      <c r="E1215" s="26"/>
      <c r="F1215" s="26"/>
      <c r="G1215" s="26"/>
      <c r="H1215" s="26"/>
      <c r="I1215" s="26"/>
      <c r="J1215" s="26"/>
    </row>
    <row r="1216" spans="1:10" s="13" customFormat="1">
      <c r="A1216" s="26"/>
      <c r="B1216" s="26"/>
      <c r="C1216" s="26"/>
      <c r="D1216" s="26"/>
      <c r="E1216" s="26"/>
      <c r="F1216" s="26"/>
      <c r="G1216" s="26"/>
      <c r="H1216" s="26"/>
      <c r="I1216" s="26"/>
      <c r="J1216" s="26"/>
    </row>
    <row r="1217" spans="1:10" s="13" customFormat="1">
      <c r="A1217" s="26"/>
      <c r="B1217" s="26"/>
      <c r="C1217" s="26"/>
      <c r="D1217" s="26"/>
      <c r="E1217" s="26"/>
      <c r="F1217" s="26"/>
      <c r="G1217" s="26"/>
      <c r="H1217" s="26"/>
      <c r="I1217" s="26"/>
      <c r="J1217" s="26"/>
    </row>
    <row r="1218" spans="1:10" s="13" customFormat="1">
      <c r="A1218" s="26"/>
      <c r="B1218" s="26"/>
      <c r="C1218" s="26"/>
      <c r="D1218" s="26"/>
      <c r="E1218" s="26"/>
      <c r="F1218" s="26"/>
      <c r="G1218" s="26"/>
      <c r="H1218" s="26"/>
      <c r="I1218" s="26"/>
      <c r="J1218" s="26"/>
    </row>
    <row r="1219" spans="1:10" s="13" customFormat="1">
      <c r="A1219" s="26"/>
      <c r="B1219" s="26"/>
      <c r="C1219" s="26"/>
      <c r="D1219" s="26"/>
      <c r="E1219" s="26"/>
      <c r="F1219" s="26"/>
      <c r="G1219" s="26"/>
      <c r="H1219" s="26"/>
      <c r="I1219" s="26"/>
      <c r="J1219" s="26"/>
    </row>
    <row r="1220" spans="1:10" s="13" customFormat="1">
      <c r="A1220" s="26"/>
      <c r="B1220" s="26"/>
      <c r="C1220" s="26"/>
      <c r="D1220" s="26"/>
      <c r="E1220" s="26"/>
      <c r="F1220" s="26"/>
      <c r="G1220" s="26"/>
      <c r="H1220" s="26"/>
      <c r="I1220" s="26"/>
      <c r="J1220" s="26"/>
    </row>
    <row r="1221" spans="1:10" s="13" customFormat="1">
      <c r="A1221" s="26"/>
      <c r="B1221" s="26"/>
      <c r="C1221" s="26"/>
      <c r="D1221" s="26"/>
      <c r="E1221" s="26"/>
      <c r="F1221" s="26"/>
      <c r="G1221" s="26"/>
      <c r="H1221" s="26"/>
      <c r="I1221" s="26"/>
      <c r="J1221" s="26"/>
    </row>
    <row r="1222" spans="1:10" s="13" customFormat="1">
      <c r="A1222" s="26"/>
      <c r="B1222" s="26"/>
      <c r="C1222" s="26"/>
      <c r="D1222" s="26"/>
      <c r="E1222" s="26"/>
      <c r="F1222" s="26"/>
      <c r="G1222" s="26"/>
      <c r="H1222" s="26"/>
      <c r="I1222" s="26"/>
      <c r="J1222" s="26"/>
    </row>
    <row r="1223" spans="1:10" s="13" customFormat="1">
      <c r="A1223" s="26"/>
      <c r="B1223" s="26"/>
      <c r="C1223" s="26"/>
      <c r="D1223" s="26"/>
      <c r="E1223" s="26"/>
      <c r="F1223" s="26"/>
      <c r="G1223" s="26"/>
      <c r="H1223" s="26"/>
      <c r="I1223" s="26"/>
      <c r="J1223" s="26"/>
    </row>
    <row r="1224" spans="1:10" s="13" customFormat="1">
      <c r="A1224" s="26"/>
      <c r="B1224" s="26"/>
      <c r="C1224" s="26"/>
      <c r="D1224" s="26"/>
      <c r="E1224" s="26"/>
      <c r="F1224" s="26"/>
      <c r="G1224" s="26"/>
      <c r="H1224" s="26"/>
      <c r="I1224" s="26"/>
      <c r="J1224" s="26"/>
    </row>
    <row r="1225" spans="1:10" s="13" customFormat="1">
      <c r="A1225" s="26"/>
      <c r="B1225" s="26"/>
      <c r="C1225" s="26"/>
      <c r="D1225" s="26"/>
      <c r="E1225" s="26"/>
      <c r="F1225" s="26"/>
      <c r="G1225" s="26"/>
      <c r="H1225" s="26"/>
      <c r="I1225" s="26"/>
      <c r="J1225" s="26"/>
    </row>
    <row r="1226" spans="1:10" s="13" customFormat="1">
      <c r="A1226" s="26"/>
      <c r="B1226" s="26"/>
      <c r="C1226" s="26"/>
      <c r="D1226" s="26"/>
      <c r="E1226" s="26"/>
      <c r="F1226" s="26"/>
      <c r="G1226" s="26"/>
      <c r="H1226" s="26"/>
      <c r="I1226" s="26"/>
      <c r="J1226" s="26"/>
    </row>
    <row r="1227" spans="1:10" s="13" customFormat="1">
      <c r="A1227" s="26"/>
      <c r="B1227" s="26"/>
      <c r="C1227" s="26"/>
      <c r="D1227" s="26"/>
      <c r="E1227" s="26"/>
      <c r="F1227" s="26"/>
      <c r="G1227" s="26"/>
      <c r="H1227" s="26"/>
      <c r="I1227" s="26"/>
      <c r="J1227" s="26"/>
    </row>
    <row r="1228" spans="1:10" s="13" customFormat="1">
      <c r="A1228" s="26"/>
      <c r="B1228" s="26"/>
      <c r="C1228" s="26"/>
      <c r="D1228" s="26"/>
      <c r="E1228" s="26"/>
      <c r="F1228" s="26"/>
      <c r="G1228" s="26"/>
      <c r="H1228" s="26"/>
      <c r="I1228" s="26"/>
      <c r="J1228" s="26"/>
    </row>
    <row r="1229" spans="1:10" s="13" customFormat="1">
      <c r="A1229" s="26"/>
      <c r="B1229" s="26"/>
      <c r="C1229" s="26"/>
      <c r="D1229" s="26"/>
      <c r="E1229" s="26"/>
      <c r="F1229" s="26"/>
      <c r="G1229" s="26"/>
      <c r="H1229" s="26"/>
      <c r="I1229" s="26"/>
      <c r="J1229" s="26"/>
    </row>
    <row r="1230" spans="1:10" s="13" customFormat="1">
      <c r="A1230" s="26"/>
      <c r="B1230" s="26"/>
      <c r="C1230" s="26"/>
      <c r="D1230" s="26"/>
      <c r="E1230" s="26"/>
      <c r="F1230" s="26"/>
      <c r="G1230" s="26"/>
      <c r="H1230" s="26"/>
      <c r="I1230" s="26"/>
      <c r="J1230" s="26"/>
    </row>
    <row r="1231" spans="1:10" s="13" customFormat="1">
      <c r="A1231" s="26"/>
      <c r="B1231" s="26"/>
      <c r="C1231" s="26"/>
      <c r="D1231" s="26"/>
      <c r="E1231" s="26"/>
      <c r="F1231" s="26"/>
      <c r="G1231" s="26"/>
      <c r="H1231" s="26"/>
      <c r="I1231" s="26"/>
      <c r="J1231" s="26"/>
    </row>
    <row r="1232" spans="1:10" s="13" customFormat="1">
      <c r="A1232" s="26"/>
      <c r="B1232" s="26"/>
      <c r="C1232" s="26"/>
      <c r="D1232" s="26"/>
      <c r="E1232" s="26"/>
      <c r="F1232" s="26"/>
      <c r="G1232" s="26"/>
      <c r="H1232" s="26"/>
      <c r="I1232" s="26"/>
      <c r="J1232" s="26"/>
    </row>
    <row r="1233" spans="1:10" s="13" customFormat="1">
      <c r="A1233" s="26"/>
      <c r="B1233" s="26"/>
      <c r="C1233" s="26"/>
      <c r="D1233" s="26"/>
      <c r="E1233" s="26"/>
      <c r="F1233" s="26"/>
      <c r="G1233" s="26"/>
      <c r="H1233" s="26"/>
      <c r="I1233" s="26"/>
      <c r="J1233" s="26"/>
    </row>
    <row r="1234" spans="1:10" s="13" customFormat="1">
      <c r="A1234" s="26"/>
      <c r="B1234" s="26"/>
      <c r="C1234" s="26"/>
      <c r="D1234" s="26"/>
      <c r="E1234" s="26"/>
      <c r="F1234" s="26"/>
      <c r="G1234" s="26"/>
      <c r="H1234" s="26"/>
      <c r="I1234" s="26"/>
      <c r="J1234" s="26"/>
    </row>
    <row r="1235" spans="1:10" s="13" customFormat="1">
      <c r="A1235" s="26"/>
      <c r="B1235" s="26"/>
      <c r="C1235" s="26"/>
      <c r="D1235" s="26"/>
      <c r="E1235" s="26"/>
      <c r="F1235" s="26"/>
      <c r="G1235" s="26"/>
      <c r="H1235" s="26"/>
      <c r="I1235" s="26"/>
      <c r="J1235" s="26"/>
    </row>
    <row r="1236" spans="1:10" s="13" customFormat="1">
      <c r="A1236" s="26"/>
      <c r="B1236" s="26"/>
      <c r="C1236" s="26"/>
      <c r="D1236" s="26"/>
      <c r="E1236" s="26"/>
      <c r="F1236" s="26"/>
      <c r="G1236" s="26"/>
      <c r="H1236" s="26"/>
      <c r="I1236" s="26"/>
      <c r="J1236" s="26"/>
    </row>
    <row r="1237" spans="1:10" s="13" customFormat="1">
      <c r="A1237" s="26"/>
      <c r="B1237" s="26"/>
      <c r="C1237" s="26"/>
      <c r="D1237" s="26"/>
      <c r="E1237" s="26"/>
      <c r="F1237" s="26"/>
      <c r="G1237" s="26"/>
      <c r="H1237" s="26"/>
      <c r="I1237" s="26"/>
      <c r="J1237" s="26"/>
    </row>
    <row r="1238" spans="1:10" s="13" customFormat="1">
      <c r="A1238" s="26"/>
      <c r="B1238" s="26"/>
      <c r="C1238" s="26"/>
      <c r="D1238" s="26"/>
      <c r="E1238" s="26"/>
      <c r="F1238" s="26"/>
      <c r="G1238" s="26"/>
      <c r="H1238" s="26"/>
      <c r="I1238" s="26"/>
      <c r="J1238" s="26"/>
    </row>
    <row r="1239" spans="1:10" s="13" customFormat="1">
      <c r="A1239" s="26"/>
      <c r="B1239" s="26"/>
      <c r="C1239" s="26"/>
      <c r="D1239" s="26"/>
      <c r="E1239" s="26"/>
      <c r="F1239" s="26"/>
      <c r="G1239" s="26"/>
      <c r="H1239" s="26"/>
      <c r="I1239" s="26"/>
      <c r="J1239" s="26"/>
    </row>
    <row r="1240" spans="1:10" s="13" customFormat="1">
      <c r="A1240" s="26"/>
      <c r="B1240" s="26"/>
      <c r="C1240" s="26"/>
      <c r="D1240" s="26"/>
      <c r="E1240" s="26"/>
      <c r="F1240" s="26"/>
      <c r="G1240" s="26"/>
      <c r="H1240" s="26"/>
      <c r="I1240" s="26"/>
      <c r="J1240" s="26"/>
    </row>
    <row r="1241" spans="1:10" s="13" customFormat="1">
      <c r="A1241" s="26"/>
      <c r="B1241" s="26"/>
      <c r="C1241" s="26"/>
      <c r="D1241" s="26"/>
      <c r="E1241" s="26"/>
      <c r="F1241" s="26"/>
      <c r="G1241" s="26"/>
      <c r="H1241" s="26"/>
      <c r="I1241" s="26"/>
      <c r="J1241" s="26"/>
    </row>
    <row r="1242" spans="1:10" s="13" customFormat="1">
      <c r="A1242" s="26"/>
      <c r="B1242" s="26"/>
      <c r="C1242" s="26"/>
      <c r="D1242" s="26"/>
      <c r="E1242" s="26"/>
      <c r="F1242" s="26"/>
      <c r="G1242" s="26"/>
      <c r="H1242" s="26"/>
      <c r="I1242" s="26"/>
      <c r="J1242" s="26"/>
    </row>
    <row r="1243" spans="1:10" s="13" customFormat="1">
      <c r="A1243" s="26"/>
      <c r="B1243" s="26"/>
      <c r="C1243" s="26"/>
      <c r="D1243" s="26"/>
      <c r="E1243" s="26"/>
      <c r="F1243" s="26"/>
      <c r="G1243" s="26"/>
      <c r="H1243" s="26"/>
      <c r="I1243" s="26"/>
      <c r="J1243" s="26"/>
    </row>
    <row r="1244" spans="1:10" s="13" customFormat="1">
      <c r="A1244" s="26"/>
      <c r="B1244" s="26"/>
      <c r="C1244" s="26"/>
      <c r="D1244" s="26"/>
      <c r="E1244" s="26"/>
      <c r="F1244" s="26"/>
      <c r="G1244" s="26"/>
      <c r="H1244" s="26"/>
      <c r="I1244" s="26"/>
      <c r="J1244" s="26"/>
    </row>
    <row r="1245" spans="1:10" s="13" customFormat="1">
      <c r="A1245" s="26"/>
      <c r="B1245" s="26"/>
      <c r="C1245" s="26"/>
      <c r="D1245" s="26"/>
      <c r="E1245" s="26"/>
      <c r="F1245" s="26"/>
      <c r="G1245" s="26"/>
      <c r="H1245" s="26"/>
      <c r="I1245" s="26"/>
      <c r="J1245" s="26"/>
    </row>
    <row r="1246" spans="1:10" s="13" customFormat="1">
      <c r="A1246" s="26"/>
      <c r="B1246" s="26"/>
      <c r="C1246" s="26"/>
      <c r="D1246" s="26"/>
      <c r="E1246" s="26"/>
      <c r="F1246" s="26"/>
      <c r="G1246" s="26"/>
      <c r="H1246" s="26"/>
      <c r="I1246" s="26"/>
      <c r="J1246" s="26"/>
    </row>
    <row r="1247" spans="1:10" s="13" customFormat="1">
      <c r="A1247" s="26"/>
      <c r="B1247" s="26"/>
      <c r="C1247" s="26"/>
      <c r="D1247" s="26"/>
      <c r="E1247" s="26"/>
      <c r="F1247" s="26"/>
      <c r="G1247" s="26"/>
      <c r="H1247" s="26"/>
      <c r="I1247" s="26"/>
      <c r="J1247" s="26"/>
    </row>
    <row r="1248" spans="1:10" s="13" customFormat="1">
      <c r="A1248" s="26"/>
      <c r="B1248" s="26"/>
      <c r="C1248" s="26"/>
      <c r="D1248" s="26"/>
      <c r="E1248" s="26"/>
      <c r="F1248" s="26"/>
      <c r="G1248" s="26"/>
      <c r="H1248" s="26"/>
      <c r="I1248" s="26"/>
      <c r="J1248" s="26"/>
    </row>
    <row r="1249" spans="1:10" s="13" customFormat="1">
      <c r="A1249" s="26"/>
      <c r="B1249" s="26"/>
      <c r="C1249" s="26"/>
      <c r="D1249" s="26"/>
      <c r="E1249" s="26"/>
      <c r="F1249" s="26"/>
      <c r="G1249" s="26"/>
      <c r="H1249" s="26"/>
      <c r="I1249" s="26"/>
      <c r="J1249" s="26"/>
    </row>
    <row r="1250" spans="1:10" s="13" customFormat="1">
      <c r="A1250" s="26"/>
      <c r="B1250" s="26"/>
      <c r="C1250" s="26"/>
      <c r="D1250" s="26"/>
      <c r="E1250" s="26"/>
      <c r="F1250" s="26"/>
      <c r="G1250" s="26"/>
      <c r="H1250" s="26"/>
      <c r="I1250" s="26"/>
      <c r="J1250" s="26"/>
    </row>
    <row r="1251" spans="1:10" s="13" customFormat="1">
      <c r="A1251" s="26"/>
      <c r="B1251" s="26"/>
      <c r="C1251" s="26"/>
      <c r="D1251" s="26"/>
      <c r="E1251" s="26"/>
      <c r="F1251" s="26"/>
      <c r="G1251" s="26"/>
      <c r="H1251" s="26"/>
      <c r="I1251" s="26"/>
      <c r="J1251" s="26"/>
    </row>
    <row r="1252" spans="1:10" s="13" customFormat="1">
      <c r="A1252" s="26"/>
      <c r="B1252" s="26"/>
      <c r="C1252" s="26"/>
      <c r="D1252" s="26"/>
      <c r="E1252" s="26"/>
      <c r="F1252" s="26"/>
      <c r="G1252" s="26"/>
      <c r="H1252" s="26"/>
      <c r="I1252" s="26"/>
      <c r="J1252" s="26"/>
    </row>
    <row r="1253" spans="1:10" s="13" customFormat="1">
      <c r="A1253" s="26"/>
      <c r="B1253" s="26"/>
      <c r="C1253" s="26"/>
      <c r="D1253" s="26"/>
      <c r="E1253" s="26"/>
      <c r="F1253" s="26"/>
      <c r="G1253" s="26"/>
      <c r="H1253" s="26"/>
      <c r="I1253" s="26"/>
      <c r="J1253" s="26"/>
    </row>
    <row r="1254" spans="1:10" s="13" customFormat="1">
      <c r="A1254" s="26"/>
      <c r="B1254" s="26"/>
      <c r="C1254" s="26"/>
      <c r="D1254" s="26"/>
      <c r="E1254" s="26"/>
      <c r="F1254" s="26"/>
      <c r="G1254" s="26"/>
      <c r="H1254" s="26"/>
      <c r="I1254" s="26"/>
      <c r="J1254" s="26"/>
    </row>
    <row r="1255" spans="1:10" s="13" customFormat="1">
      <c r="A1255" s="26"/>
      <c r="B1255" s="26"/>
      <c r="C1255" s="26"/>
      <c r="D1255" s="26"/>
      <c r="E1255" s="26"/>
      <c r="F1255" s="26"/>
      <c r="G1255" s="26"/>
      <c r="H1255" s="26"/>
      <c r="I1255" s="26"/>
      <c r="J1255" s="26"/>
    </row>
    <row r="1256" spans="1:10" s="13" customFormat="1">
      <c r="A1256" s="26"/>
      <c r="B1256" s="26"/>
      <c r="C1256" s="26"/>
      <c r="D1256" s="26"/>
      <c r="E1256" s="26"/>
      <c r="F1256" s="26"/>
      <c r="G1256" s="26"/>
      <c r="H1256" s="26"/>
      <c r="I1256" s="26"/>
      <c r="J1256" s="26"/>
    </row>
    <row r="1257" spans="1:10" s="13" customFormat="1">
      <c r="A1257" s="26"/>
      <c r="B1257" s="26"/>
      <c r="C1257" s="26"/>
      <c r="D1257" s="26"/>
      <c r="E1257" s="26"/>
      <c r="F1257" s="26"/>
      <c r="G1257" s="26"/>
      <c r="H1257" s="26"/>
      <c r="I1257" s="26"/>
      <c r="J1257" s="26"/>
    </row>
    <row r="1258" spans="1:10" s="13" customFormat="1">
      <c r="A1258" s="26"/>
      <c r="B1258" s="26"/>
      <c r="C1258" s="26"/>
      <c r="D1258" s="26"/>
      <c r="E1258" s="26"/>
      <c r="F1258" s="26"/>
      <c r="G1258" s="26"/>
      <c r="H1258" s="26"/>
      <c r="I1258" s="26"/>
      <c r="J1258" s="26"/>
    </row>
    <row r="1259" spans="1:10" s="13" customFormat="1">
      <c r="A1259" s="26"/>
      <c r="B1259" s="26"/>
      <c r="C1259" s="26"/>
      <c r="D1259" s="26"/>
      <c r="E1259" s="26"/>
      <c r="F1259" s="26"/>
      <c r="G1259" s="26"/>
      <c r="H1259" s="26"/>
      <c r="I1259" s="26"/>
      <c r="J1259" s="26"/>
    </row>
    <row r="1260" spans="1:10" s="13" customFormat="1">
      <c r="A1260" s="26"/>
      <c r="B1260" s="26"/>
      <c r="C1260" s="26"/>
      <c r="D1260" s="26"/>
      <c r="E1260" s="26"/>
      <c r="F1260" s="26"/>
      <c r="G1260" s="26"/>
      <c r="H1260" s="26"/>
      <c r="I1260" s="26"/>
      <c r="J1260" s="26"/>
    </row>
    <row r="1261" spans="1:10" s="13" customFormat="1">
      <c r="A1261" s="26"/>
      <c r="B1261" s="26"/>
      <c r="C1261" s="26"/>
      <c r="D1261" s="26"/>
      <c r="E1261" s="26"/>
      <c r="F1261" s="26"/>
      <c r="G1261" s="26"/>
      <c r="H1261" s="26"/>
      <c r="I1261" s="26"/>
      <c r="J1261" s="26"/>
    </row>
    <row r="1262" spans="1:10" s="13" customFormat="1">
      <c r="A1262" s="26"/>
      <c r="B1262" s="26"/>
      <c r="C1262" s="26"/>
      <c r="D1262" s="26"/>
      <c r="E1262" s="26"/>
      <c r="F1262" s="26"/>
      <c r="G1262" s="26"/>
      <c r="H1262" s="26"/>
      <c r="I1262" s="26"/>
      <c r="J1262" s="26"/>
    </row>
    <row r="1263" spans="1:10" s="13" customFormat="1">
      <c r="A1263" s="26"/>
      <c r="B1263" s="26"/>
      <c r="C1263" s="26"/>
      <c r="D1263" s="26"/>
      <c r="E1263" s="26"/>
      <c r="F1263" s="26"/>
      <c r="G1263" s="26"/>
      <c r="H1263" s="26"/>
      <c r="I1263" s="26"/>
      <c r="J1263" s="26"/>
    </row>
    <row r="1264" spans="1:10" s="13" customFormat="1">
      <c r="A1264" s="26"/>
      <c r="B1264" s="26"/>
      <c r="C1264" s="26"/>
      <c r="D1264" s="26"/>
      <c r="E1264" s="26"/>
      <c r="F1264" s="26"/>
      <c r="G1264" s="26"/>
      <c r="H1264" s="26"/>
      <c r="I1264" s="26"/>
      <c r="J1264" s="26"/>
    </row>
    <row r="1265" spans="1:10" s="13" customFormat="1">
      <c r="A1265" s="26"/>
      <c r="B1265" s="26"/>
      <c r="C1265" s="26"/>
      <c r="D1265" s="26"/>
      <c r="E1265" s="26"/>
      <c r="F1265" s="26"/>
      <c r="G1265" s="26"/>
      <c r="H1265" s="26"/>
      <c r="I1265" s="26"/>
      <c r="J1265" s="26"/>
    </row>
    <row r="1266" spans="1:10" s="13" customFormat="1">
      <c r="A1266" s="26"/>
      <c r="B1266" s="26"/>
      <c r="C1266" s="26"/>
      <c r="D1266" s="26"/>
      <c r="E1266" s="26"/>
      <c r="F1266" s="26"/>
      <c r="G1266" s="26"/>
      <c r="H1266" s="26"/>
      <c r="I1266" s="26"/>
      <c r="J1266" s="26"/>
    </row>
    <row r="1267" spans="1:10" s="13" customFormat="1">
      <c r="A1267" s="26"/>
      <c r="B1267" s="26"/>
      <c r="C1267" s="26"/>
      <c r="D1267" s="26"/>
      <c r="E1267" s="26"/>
      <c r="F1267" s="26"/>
      <c r="G1267" s="26"/>
      <c r="H1267" s="26"/>
      <c r="I1267" s="26"/>
      <c r="J1267" s="26"/>
    </row>
    <row r="1268" spans="1:10" s="13" customFormat="1">
      <c r="A1268" s="26"/>
      <c r="B1268" s="26"/>
      <c r="C1268" s="26"/>
      <c r="D1268" s="26"/>
      <c r="E1268" s="26"/>
      <c r="F1268" s="26"/>
      <c r="G1268" s="26"/>
      <c r="H1268" s="26"/>
      <c r="I1268" s="26"/>
      <c r="J1268" s="26"/>
    </row>
    <row r="1269" spans="1:10" s="13" customFormat="1">
      <c r="A1269" s="26"/>
      <c r="B1269" s="26"/>
      <c r="C1269" s="26"/>
      <c r="D1269" s="26"/>
      <c r="E1269" s="26"/>
      <c r="F1269" s="26"/>
      <c r="G1269" s="26"/>
      <c r="H1269" s="26"/>
      <c r="I1269" s="26"/>
      <c r="J1269" s="26"/>
    </row>
    <row r="1270" spans="1:10" s="13" customFormat="1">
      <c r="A1270" s="26"/>
      <c r="B1270" s="26"/>
      <c r="C1270" s="26"/>
      <c r="D1270" s="26"/>
      <c r="E1270" s="26"/>
      <c r="F1270" s="26"/>
      <c r="G1270" s="26"/>
      <c r="H1270" s="26"/>
      <c r="I1270" s="26"/>
      <c r="J1270" s="26"/>
    </row>
    <row r="1271" spans="1:10" s="13" customFormat="1">
      <c r="A1271" s="26"/>
      <c r="B1271" s="26"/>
      <c r="C1271" s="26"/>
      <c r="D1271" s="26"/>
      <c r="E1271" s="26"/>
      <c r="F1271" s="26"/>
      <c r="G1271" s="26"/>
      <c r="H1271" s="26"/>
      <c r="I1271" s="26"/>
      <c r="J1271" s="26"/>
    </row>
    <row r="1272" spans="1:10" s="13" customFormat="1">
      <c r="A1272" s="26"/>
      <c r="B1272" s="26"/>
      <c r="C1272" s="26"/>
      <c r="D1272" s="26"/>
      <c r="E1272" s="26"/>
      <c r="F1272" s="26"/>
      <c r="G1272" s="26"/>
      <c r="H1272" s="26"/>
      <c r="I1272" s="26"/>
      <c r="J1272" s="26"/>
    </row>
    <row r="1273" spans="1:10" s="13" customFormat="1">
      <c r="A1273" s="26"/>
      <c r="B1273" s="26"/>
      <c r="C1273" s="26"/>
      <c r="D1273" s="26"/>
      <c r="E1273" s="26"/>
      <c r="F1273" s="26"/>
      <c r="G1273" s="26"/>
      <c r="H1273" s="26"/>
      <c r="I1273" s="26"/>
      <c r="J1273" s="26"/>
    </row>
    <row r="1274" spans="1:10" s="13" customFormat="1">
      <c r="A1274" s="26"/>
      <c r="B1274" s="26"/>
      <c r="C1274" s="26"/>
      <c r="D1274" s="26"/>
      <c r="E1274" s="26"/>
      <c r="F1274" s="26"/>
      <c r="G1274" s="26"/>
      <c r="H1274" s="26"/>
      <c r="I1274" s="26"/>
      <c r="J1274" s="26"/>
    </row>
    <row r="1275" spans="1:10" s="13" customFormat="1">
      <c r="A1275" s="26"/>
      <c r="B1275" s="26"/>
      <c r="C1275" s="26"/>
      <c r="D1275" s="26"/>
      <c r="E1275" s="26"/>
      <c r="F1275" s="26"/>
      <c r="G1275" s="26"/>
      <c r="H1275" s="26"/>
      <c r="I1275" s="26"/>
      <c r="J1275" s="26"/>
    </row>
    <row r="1276" spans="1:10" s="13" customFormat="1">
      <c r="A1276" s="26"/>
      <c r="B1276" s="26"/>
      <c r="C1276" s="26"/>
      <c r="D1276" s="26"/>
      <c r="E1276" s="26"/>
      <c r="F1276" s="26"/>
      <c r="G1276" s="26"/>
      <c r="H1276" s="26"/>
      <c r="I1276" s="26"/>
      <c r="J1276" s="26"/>
    </row>
    <row r="1277" spans="1:10" s="13" customFormat="1">
      <c r="A1277" s="26"/>
      <c r="B1277" s="26"/>
      <c r="C1277" s="26"/>
      <c r="D1277" s="26"/>
      <c r="E1277" s="26"/>
      <c r="F1277" s="26"/>
      <c r="G1277" s="26"/>
      <c r="H1277" s="26"/>
      <c r="I1277" s="26"/>
      <c r="J1277" s="26"/>
    </row>
    <row r="1278" spans="1:10" s="13" customFormat="1">
      <c r="A1278" s="26"/>
      <c r="B1278" s="26"/>
      <c r="C1278" s="26"/>
      <c r="D1278" s="26"/>
      <c r="E1278" s="26"/>
      <c r="F1278" s="26"/>
      <c r="G1278" s="26"/>
      <c r="H1278" s="26"/>
      <c r="I1278" s="26"/>
      <c r="J1278" s="26"/>
    </row>
    <row r="1279" spans="1:10" s="13" customFormat="1">
      <c r="A1279" s="26"/>
      <c r="B1279" s="26"/>
      <c r="C1279" s="26"/>
      <c r="D1279" s="26"/>
      <c r="E1279" s="26"/>
      <c r="F1279" s="26"/>
      <c r="G1279" s="26"/>
      <c r="H1279" s="26"/>
      <c r="I1279" s="26"/>
      <c r="J1279" s="26"/>
    </row>
    <row r="1280" spans="1:10" s="13" customFormat="1">
      <c r="A1280" s="26"/>
      <c r="B1280" s="26"/>
      <c r="C1280" s="26"/>
      <c r="D1280" s="26"/>
      <c r="E1280" s="26"/>
      <c r="F1280" s="26"/>
      <c r="G1280" s="26"/>
      <c r="H1280" s="26"/>
      <c r="I1280" s="26"/>
      <c r="J1280" s="26"/>
    </row>
    <row r="1281" spans="1:10" s="13" customFormat="1">
      <c r="A1281" s="26"/>
      <c r="B1281" s="26"/>
      <c r="C1281" s="26"/>
      <c r="D1281" s="26"/>
      <c r="E1281" s="26"/>
      <c r="F1281" s="26"/>
      <c r="G1281" s="26"/>
      <c r="H1281" s="26"/>
      <c r="I1281" s="26"/>
      <c r="J1281" s="26"/>
    </row>
    <row r="1282" spans="1:10" s="13" customFormat="1">
      <c r="A1282" s="26"/>
      <c r="B1282" s="26"/>
      <c r="C1282" s="26"/>
      <c r="D1282" s="26"/>
      <c r="E1282" s="26"/>
      <c r="F1282" s="26"/>
      <c r="G1282" s="26"/>
      <c r="H1282" s="26"/>
      <c r="I1282" s="26"/>
      <c r="J1282" s="26"/>
    </row>
    <row r="1283" spans="1:10" s="13" customFormat="1">
      <c r="A1283" s="26"/>
      <c r="B1283" s="26"/>
      <c r="C1283" s="26"/>
      <c r="D1283" s="26"/>
      <c r="E1283" s="26"/>
      <c r="F1283" s="26"/>
      <c r="G1283" s="26"/>
      <c r="H1283" s="26"/>
      <c r="I1283" s="26"/>
      <c r="J1283" s="26"/>
    </row>
    <row r="1284" spans="1:10" s="13" customFormat="1">
      <c r="A1284" s="26"/>
      <c r="B1284" s="26"/>
      <c r="C1284" s="26"/>
      <c r="D1284" s="26"/>
      <c r="E1284" s="26"/>
      <c r="F1284" s="26"/>
      <c r="G1284" s="26"/>
      <c r="H1284" s="26"/>
      <c r="I1284" s="26"/>
      <c r="J1284" s="26"/>
    </row>
    <row r="1285" spans="1:10" s="13" customFormat="1">
      <c r="A1285" s="26"/>
      <c r="B1285" s="26"/>
      <c r="C1285" s="26"/>
      <c r="D1285" s="26"/>
      <c r="E1285" s="26"/>
      <c r="F1285" s="26"/>
      <c r="G1285" s="26"/>
      <c r="H1285" s="26"/>
      <c r="I1285" s="26"/>
      <c r="J1285" s="26"/>
    </row>
    <row r="1286" spans="1:10" s="13" customFormat="1">
      <c r="A1286" s="26"/>
      <c r="B1286" s="26"/>
      <c r="C1286" s="26"/>
      <c r="D1286" s="26"/>
      <c r="E1286" s="26"/>
      <c r="F1286" s="26"/>
      <c r="G1286" s="26"/>
      <c r="H1286" s="26"/>
      <c r="I1286" s="26"/>
      <c r="J1286" s="26"/>
    </row>
    <row r="1287" spans="1:10" s="13" customFormat="1">
      <c r="A1287" s="26"/>
      <c r="B1287" s="26"/>
      <c r="C1287" s="26"/>
      <c r="D1287" s="26"/>
      <c r="E1287" s="26"/>
      <c r="F1287" s="26"/>
      <c r="G1287" s="26"/>
      <c r="H1287" s="26"/>
      <c r="I1287" s="26"/>
      <c r="J1287" s="26"/>
    </row>
    <row r="1288" spans="1:10" s="13" customFormat="1">
      <c r="A1288" s="26"/>
      <c r="B1288" s="26"/>
      <c r="C1288" s="26"/>
      <c r="D1288" s="26"/>
      <c r="E1288" s="26"/>
      <c r="F1288" s="26"/>
      <c r="G1288" s="26"/>
      <c r="H1288" s="26"/>
      <c r="I1288" s="26"/>
      <c r="J1288" s="26"/>
    </row>
    <row r="1289" spans="1:10" s="13" customFormat="1">
      <c r="A1289" s="26"/>
      <c r="B1289" s="26"/>
      <c r="C1289" s="26"/>
      <c r="D1289" s="26"/>
      <c r="E1289" s="26"/>
      <c r="F1289" s="26"/>
      <c r="G1289" s="26"/>
      <c r="H1289" s="26"/>
      <c r="I1289" s="26"/>
      <c r="J1289" s="26"/>
    </row>
    <row r="1290" spans="1:10" s="13" customFormat="1">
      <c r="A1290" s="26"/>
      <c r="B1290" s="26"/>
      <c r="C1290" s="26"/>
      <c r="D1290" s="26"/>
      <c r="E1290" s="26"/>
      <c r="F1290" s="26"/>
      <c r="G1290" s="26"/>
      <c r="H1290" s="26"/>
      <c r="I1290" s="26"/>
      <c r="J1290" s="26"/>
    </row>
    <row r="1291" spans="1:10" s="13" customFormat="1">
      <c r="A1291" s="26"/>
      <c r="B1291" s="26"/>
      <c r="C1291" s="26"/>
      <c r="D1291" s="26"/>
      <c r="E1291" s="26"/>
      <c r="F1291" s="26"/>
      <c r="G1291" s="26"/>
      <c r="H1291" s="26"/>
      <c r="I1291" s="26"/>
      <c r="J1291" s="26"/>
    </row>
    <row r="1292" spans="1:10" s="13" customFormat="1">
      <c r="A1292" s="26"/>
      <c r="B1292" s="26"/>
      <c r="C1292" s="26"/>
      <c r="D1292" s="26"/>
      <c r="E1292" s="26"/>
      <c r="F1292" s="26"/>
      <c r="G1292" s="26"/>
      <c r="H1292" s="26"/>
      <c r="I1292" s="26"/>
      <c r="J1292" s="26"/>
    </row>
    <row r="1293" spans="1:10" s="13" customFormat="1">
      <c r="A1293" s="26"/>
      <c r="B1293" s="26"/>
      <c r="C1293" s="26"/>
      <c r="D1293" s="26"/>
      <c r="E1293" s="26"/>
      <c r="F1293" s="26"/>
      <c r="G1293" s="26"/>
      <c r="H1293" s="26"/>
      <c r="I1293" s="26"/>
      <c r="J1293" s="26"/>
    </row>
    <row r="1294" spans="1:10" s="13" customFormat="1">
      <c r="A1294" s="26"/>
      <c r="B1294" s="26"/>
      <c r="C1294" s="26"/>
      <c r="D1294" s="26"/>
      <c r="E1294" s="26"/>
      <c r="F1294" s="26"/>
      <c r="G1294" s="26"/>
      <c r="H1294" s="26"/>
      <c r="I1294" s="26"/>
      <c r="J1294" s="26"/>
    </row>
    <row r="1295" spans="1:10" s="13" customFormat="1">
      <c r="A1295" s="26"/>
      <c r="B1295" s="26"/>
      <c r="C1295" s="26"/>
      <c r="D1295" s="26"/>
      <c r="E1295" s="26"/>
      <c r="F1295" s="26"/>
      <c r="G1295" s="26"/>
      <c r="H1295" s="26"/>
      <c r="I1295" s="26"/>
      <c r="J1295" s="26"/>
    </row>
    <row r="1296" spans="1:10" s="13" customFormat="1">
      <c r="A1296" s="26"/>
      <c r="B1296" s="26"/>
      <c r="C1296" s="26"/>
      <c r="D1296" s="26"/>
      <c r="E1296" s="26"/>
      <c r="F1296" s="26"/>
      <c r="G1296" s="26"/>
      <c r="H1296" s="26"/>
      <c r="I1296" s="26"/>
      <c r="J1296" s="26"/>
    </row>
    <row r="1297" spans="1:10" s="13" customFormat="1">
      <c r="A1297" s="26"/>
      <c r="B1297" s="26"/>
      <c r="C1297" s="26"/>
      <c r="D1297" s="26"/>
      <c r="E1297" s="26"/>
      <c r="F1297" s="26"/>
      <c r="G1297" s="26"/>
      <c r="H1297" s="26"/>
      <c r="I1297" s="26"/>
      <c r="J1297" s="26"/>
    </row>
    <row r="1298" spans="1:10" s="13" customFormat="1">
      <c r="A1298" s="26"/>
      <c r="B1298" s="26"/>
      <c r="C1298" s="26"/>
      <c r="D1298" s="26"/>
      <c r="E1298" s="26"/>
      <c r="F1298" s="26"/>
      <c r="G1298" s="26"/>
      <c r="H1298" s="26"/>
      <c r="I1298" s="26"/>
      <c r="J1298" s="26"/>
    </row>
    <row r="1299" spans="1:10" s="13" customFormat="1">
      <c r="A1299" s="26"/>
      <c r="B1299" s="26"/>
      <c r="C1299" s="26"/>
      <c r="D1299" s="26"/>
      <c r="E1299" s="26"/>
      <c r="F1299" s="26"/>
      <c r="G1299" s="26"/>
      <c r="H1299" s="26"/>
      <c r="I1299" s="26"/>
      <c r="J1299" s="26"/>
    </row>
    <row r="1300" spans="1:10" s="13" customFormat="1">
      <c r="A1300" s="26"/>
      <c r="B1300" s="26"/>
      <c r="C1300" s="26"/>
      <c r="D1300" s="26"/>
      <c r="E1300" s="26"/>
      <c r="F1300" s="26"/>
      <c r="G1300" s="26"/>
      <c r="H1300" s="26"/>
      <c r="I1300" s="26"/>
      <c r="J1300" s="26"/>
    </row>
    <row r="1301" spans="1:10" s="13" customFormat="1">
      <c r="A1301" s="26"/>
      <c r="B1301" s="26"/>
      <c r="C1301" s="26"/>
      <c r="D1301" s="26"/>
      <c r="E1301" s="26"/>
      <c r="F1301" s="26"/>
      <c r="G1301" s="26"/>
      <c r="H1301" s="26"/>
      <c r="I1301" s="26"/>
      <c r="J1301" s="26"/>
    </row>
    <row r="1302" spans="1:10" s="13" customFormat="1">
      <c r="A1302" s="26"/>
      <c r="B1302" s="26"/>
      <c r="C1302" s="26"/>
      <c r="D1302" s="26"/>
      <c r="E1302" s="26"/>
      <c r="F1302" s="26"/>
      <c r="G1302" s="26"/>
      <c r="H1302" s="26"/>
      <c r="I1302" s="26"/>
      <c r="J1302" s="26"/>
    </row>
    <row r="1303" spans="1:10" s="13" customFormat="1">
      <c r="A1303" s="26"/>
      <c r="B1303" s="26"/>
      <c r="C1303" s="26"/>
      <c r="D1303" s="26"/>
      <c r="E1303" s="26"/>
      <c r="F1303" s="26"/>
      <c r="G1303" s="26"/>
      <c r="H1303" s="26"/>
      <c r="I1303" s="26"/>
      <c r="J1303" s="26"/>
    </row>
    <row r="1304" spans="1:10" s="13" customFormat="1">
      <c r="A1304" s="26"/>
      <c r="B1304" s="26"/>
      <c r="C1304" s="26"/>
      <c r="D1304" s="26"/>
      <c r="E1304" s="26"/>
      <c r="F1304" s="26"/>
      <c r="G1304" s="26"/>
      <c r="H1304" s="26"/>
      <c r="I1304" s="26"/>
      <c r="J1304" s="26"/>
    </row>
    <row r="1305" spans="1:10" s="13" customFormat="1">
      <c r="A1305" s="26"/>
      <c r="B1305" s="26"/>
      <c r="C1305" s="26"/>
      <c r="D1305" s="26"/>
      <c r="E1305" s="26"/>
      <c r="F1305" s="26"/>
      <c r="G1305" s="26"/>
      <c r="H1305" s="26"/>
      <c r="I1305" s="26"/>
      <c r="J1305" s="26"/>
    </row>
    <row r="1306" spans="1:10" s="13" customFormat="1">
      <c r="A1306" s="26"/>
      <c r="B1306" s="26"/>
      <c r="C1306" s="26"/>
      <c r="D1306" s="26"/>
      <c r="E1306" s="26"/>
      <c r="F1306" s="26"/>
      <c r="G1306" s="26"/>
      <c r="H1306" s="26"/>
      <c r="I1306" s="26"/>
      <c r="J1306" s="26"/>
    </row>
    <row r="1307" spans="1:10" s="13" customFormat="1">
      <c r="A1307" s="26"/>
      <c r="B1307" s="26"/>
      <c r="C1307" s="26"/>
      <c r="D1307" s="26"/>
      <c r="E1307" s="26"/>
      <c r="F1307" s="26"/>
      <c r="G1307" s="26"/>
      <c r="H1307" s="26"/>
      <c r="I1307" s="26"/>
      <c r="J1307" s="26"/>
    </row>
    <row r="1308" spans="1:10" s="13" customFormat="1">
      <c r="A1308" s="26"/>
      <c r="B1308" s="26"/>
      <c r="C1308" s="26"/>
      <c r="D1308" s="26"/>
      <c r="E1308" s="26"/>
      <c r="F1308" s="26"/>
      <c r="G1308" s="26"/>
      <c r="H1308" s="26"/>
      <c r="I1308" s="26"/>
      <c r="J1308" s="26"/>
    </row>
    <row r="1309" spans="1:10" s="13" customFormat="1">
      <c r="A1309" s="26"/>
      <c r="B1309" s="26"/>
      <c r="C1309" s="26"/>
      <c r="D1309" s="26"/>
      <c r="E1309" s="26"/>
      <c r="F1309" s="26"/>
      <c r="G1309" s="26"/>
      <c r="H1309" s="26"/>
      <c r="I1309" s="26"/>
      <c r="J1309" s="26"/>
    </row>
    <row r="1310" spans="1:10" s="13" customFormat="1">
      <c r="A1310" s="26"/>
      <c r="B1310" s="26"/>
      <c r="C1310" s="26"/>
      <c r="D1310" s="26"/>
      <c r="E1310" s="26"/>
      <c r="F1310" s="26"/>
      <c r="G1310" s="26"/>
      <c r="H1310" s="26"/>
      <c r="I1310" s="26"/>
      <c r="J1310" s="26"/>
    </row>
    <row r="1311" spans="1:10" s="13" customFormat="1">
      <c r="A1311" s="26"/>
      <c r="B1311" s="26"/>
      <c r="C1311" s="26"/>
      <c r="D1311" s="26"/>
      <c r="E1311" s="26"/>
      <c r="F1311" s="26"/>
      <c r="G1311" s="26"/>
      <c r="H1311" s="26"/>
      <c r="I1311" s="26"/>
      <c r="J1311" s="26"/>
    </row>
    <row r="1312" spans="1:10" s="13" customFormat="1">
      <c r="A1312" s="26"/>
      <c r="B1312" s="26"/>
      <c r="C1312" s="26"/>
      <c r="D1312" s="26"/>
      <c r="E1312" s="26"/>
      <c r="F1312" s="26"/>
      <c r="G1312" s="26"/>
      <c r="H1312" s="26"/>
      <c r="I1312" s="26"/>
      <c r="J1312" s="26"/>
    </row>
    <row r="1313" spans="1:10" s="13" customFormat="1">
      <c r="A1313" s="26"/>
      <c r="B1313" s="26"/>
      <c r="C1313" s="26"/>
      <c r="D1313" s="26"/>
      <c r="E1313" s="26"/>
      <c r="F1313" s="26"/>
      <c r="G1313" s="26"/>
      <c r="H1313" s="26"/>
      <c r="I1313" s="26"/>
      <c r="J1313" s="26"/>
    </row>
    <row r="1314" spans="1:10" s="13" customFormat="1">
      <c r="A1314" s="26"/>
      <c r="B1314" s="26"/>
      <c r="C1314" s="26"/>
      <c r="D1314" s="26"/>
      <c r="E1314" s="26"/>
      <c r="F1314" s="26"/>
      <c r="G1314" s="26"/>
      <c r="H1314" s="26"/>
      <c r="I1314" s="26"/>
      <c r="J1314" s="26"/>
    </row>
    <row r="1315" spans="1:10" s="13" customFormat="1">
      <c r="A1315" s="26"/>
      <c r="B1315" s="26"/>
      <c r="C1315" s="26"/>
      <c r="D1315" s="26"/>
      <c r="E1315" s="26"/>
      <c r="F1315" s="26"/>
      <c r="G1315" s="26"/>
      <c r="H1315" s="26"/>
      <c r="I1315" s="26"/>
      <c r="J1315" s="26"/>
    </row>
    <row r="1316" spans="1:10" s="13" customFormat="1">
      <c r="A1316" s="26"/>
      <c r="B1316" s="26"/>
      <c r="C1316" s="26"/>
      <c r="D1316" s="26"/>
      <c r="E1316" s="26"/>
      <c r="F1316" s="26"/>
      <c r="G1316" s="26"/>
      <c r="H1316" s="26"/>
      <c r="I1316" s="26"/>
      <c r="J1316" s="26"/>
    </row>
    <row r="1317" spans="1:10" s="13" customFormat="1">
      <c r="A1317" s="26"/>
      <c r="B1317" s="26"/>
      <c r="C1317" s="26"/>
      <c r="D1317" s="26"/>
      <c r="E1317" s="26"/>
      <c r="F1317" s="26"/>
      <c r="G1317" s="26"/>
      <c r="H1317" s="26"/>
      <c r="I1317" s="26"/>
      <c r="J1317" s="26"/>
    </row>
    <row r="1318" spans="1:10" s="13" customFormat="1">
      <c r="A1318" s="26"/>
      <c r="B1318" s="26"/>
      <c r="C1318" s="26"/>
      <c r="D1318" s="26"/>
      <c r="E1318" s="26"/>
      <c r="F1318" s="26"/>
      <c r="G1318" s="26"/>
      <c r="H1318" s="26"/>
      <c r="I1318" s="26"/>
      <c r="J1318" s="26"/>
    </row>
    <row r="1319" spans="1:10" s="13" customFormat="1">
      <c r="A1319" s="26"/>
      <c r="B1319" s="26"/>
      <c r="C1319" s="26"/>
      <c r="D1319" s="26"/>
      <c r="E1319" s="26"/>
      <c r="F1319" s="26"/>
      <c r="G1319" s="26"/>
      <c r="H1319" s="26"/>
      <c r="I1319" s="26"/>
      <c r="J1319" s="26"/>
    </row>
    <row r="1320" spans="1:10" s="13" customFormat="1">
      <c r="A1320" s="26"/>
      <c r="B1320" s="26"/>
      <c r="C1320" s="26"/>
      <c r="D1320" s="26"/>
      <c r="E1320" s="26"/>
      <c r="F1320" s="26"/>
      <c r="G1320" s="26"/>
      <c r="H1320" s="26"/>
      <c r="I1320" s="26"/>
      <c r="J1320" s="26"/>
    </row>
    <row r="1321" spans="1:10" s="13" customFormat="1">
      <c r="A1321" s="26"/>
      <c r="B1321" s="26"/>
      <c r="C1321" s="26"/>
      <c r="D1321" s="26"/>
      <c r="E1321" s="26"/>
      <c r="F1321" s="26"/>
      <c r="G1321" s="26"/>
      <c r="H1321" s="26"/>
      <c r="I1321" s="26"/>
      <c r="J1321" s="26"/>
    </row>
    <row r="1322" spans="1:10" s="13" customFormat="1">
      <c r="A1322" s="26"/>
      <c r="B1322" s="26"/>
      <c r="C1322" s="26"/>
      <c r="D1322" s="26"/>
      <c r="E1322" s="26"/>
      <c r="F1322" s="26"/>
      <c r="G1322" s="26"/>
      <c r="H1322" s="26"/>
      <c r="I1322" s="26"/>
      <c r="J1322" s="26"/>
    </row>
    <row r="1323" spans="1:10" s="13" customFormat="1">
      <c r="A1323" s="26"/>
      <c r="B1323" s="26"/>
      <c r="C1323" s="26"/>
      <c r="D1323" s="26"/>
      <c r="E1323" s="26"/>
      <c r="F1323" s="26"/>
      <c r="G1323" s="26"/>
      <c r="H1323" s="26"/>
      <c r="I1323" s="26"/>
      <c r="J1323" s="26"/>
    </row>
    <row r="1324" spans="1:10" s="13" customFormat="1">
      <c r="A1324" s="26"/>
      <c r="B1324" s="26"/>
      <c r="C1324" s="26"/>
      <c r="D1324" s="26"/>
      <c r="E1324" s="26"/>
      <c r="F1324" s="26"/>
      <c r="G1324" s="26"/>
      <c r="H1324" s="26"/>
      <c r="I1324" s="26"/>
      <c r="J1324" s="26"/>
    </row>
    <row r="1325" spans="1:10" s="13" customFormat="1">
      <c r="A1325" s="26"/>
      <c r="B1325" s="26"/>
      <c r="C1325" s="26"/>
      <c r="D1325" s="26"/>
      <c r="E1325" s="26"/>
      <c r="F1325" s="26"/>
      <c r="G1325" s="26"/>
      <c r="H1325" s="26"/>
      <c r="I1325" s="26"/>
      <c r="J1325" s="26"/>
    </row>
    <row r="1326" spans="1:10" s="13" customFormat="1">
      <c r="A1326" s="26"/>
      <c r="B1326" s="26"/>
      <c r="C1326" s="26"/>
      <c r="D1326" s="26"/>
      <c r="E1326" s="26"/>
      <c r="F1326" s="26"/>
      <c r="G1326" s="26"/>
      <c r="H1326" s="26"/>
      <c r="I1326" s="26"/>
      <c r="J1326" s="26"/>
    </row>
    <row r="1327" spans="1:10" s="13" customFormat="1">
      <c r="A1327" s="26"/>
      <c r="B1327" s="26"/>
      <c r="C1327" s="26"/>
      <c r="D1327" s="26"/>
      <c r="E1327" s="26"/>
      <c r="F1327" s="26"/>
      <c r="G1327" s="26"/>
      <c r="H1327" s="26"/>
      <c r="I1327" s="26"/>
      <c r="J1327" s="26"/>
    </row>
    <row r="1328" spans="1:10" s="13" customFormat="1">
      <c r="A1328" s="26"/>
      <c r="B1328" s="26"/>
      <c r="C1328" s="26"/>
      <c r="D1328" s="26"/>
      <c r="E1328" s="26"/>
      <c r="F1328" s="26"/>
      <c r="G1328" s="26"/>
      <c r="H1328" s="26"/>
      <c r="I1328" s="26"/>
      <c r="J1328" s="26"/>
    </row>
    <row r="1329" spans="1:10" s="13" customFormat="1">
      <c r="A1329" s="26"/>
      <c r="B1329" s="26"/>
      <c r="C1329" s="26"/>
      <c r="D1329" s="26"/>
      <c r="E1329" s="26"/>
      <c r="F1329" s="26"/>
      <c r="G1329" s="26"/>
      <c r="H1329" s="26"/>
      <c r="I1329" s="26"/>
      <c r="J1329" s="26"/>
    </row>
    <row r="1330" spans="1:10" s="13" customFormat="1">
      <c r="A1330" s="26"/>
      <c r="B1330" s="26"/>
      <c r="C1330" s="26"/>
      <c r="D1330" s="26"/>
      <c r="E1330" s="26"/>
      <c r="F1330" s="26"/>
      <c r="G1330" s="26"/>
      <c r="H1330" s="26"/>
      <c r="I1330" s="26"/>
      <c r="J1330" s="26"/>
    </row>
    <row r="1331" spans="1:10" s="13" customFormat="1">
      <c r="A1331" s="26"/>
      <c r="B1331" s="26"/>
      <c r="C1331" s="26"/>
      <c r="D1331" s="26"/>
      <c r="E1331" s="26"/>
      <c r="F1331" s="26"/>
      <c r="G1331" s="26"/>
      <c r="H1331" s="26"/>
      <c r="I1331" s="26"/>
      <c r="J1331" s="26"/>
    </row>
    <row r="1332" spans="1:10" s="13" customFormat="1">
      <c r="A1332" s="26"/>
      <c r="B1332" s="26"/>
      <c r="C1332" s="26"/>
      <c r="D1332" s="26"/>
      <c r="E1332" s="26"/>
      <c r="F1332" s="26"/>
      <c r="G1332" s="26"/>
      <c r="H1332" s="26"/>
      <c r="I1332" s="26"/>
      <c r="J1332" s="26"/>
    </row>
    <row r="1333" spans="1:10" s="13" customFormat="1">
      <c r="A1333" s="26"/>
      <c r="B1333" s="26"/>
      <c r="C1333" s="26"/>
      <c r="D1333" s="26"/>
      <c r="E1333" s="26"/>
      <c r="F1333" s="26"/>
      <c r="G1333" s="26"/>
      <c r="H1333" s="26"/>
      <c r="I1333" s="26"/>
      <c r="J1333" s="26"/>
    </row>
    <row r="1334" spans="1:10" s="13" customFormat="1">
      <c r="A1334" s="26"/>
      <c r="B1334" s="26"/>
      <c r="C1334" s="26"/>
      <c r="D1334" s="26"/>
      <c r="E1334" s="26"/>
      <c r="F1334" s="26"/>
      <c r="G1334" s="26"/>
      <c r="H1334" s="26"/>
      <c r="I1334" s="26"/>
      <c r="J1334" s="26"/>
    </row>
    <row r="1335" spans="1:10" s="13" customFormat="1">
      <c r="A1335" s="26"/>
      <c r="B1335" s="26"/>
      <c r="C1335" s="26"/>
      <c r="D1335" s="26"/>
      <c r="E1335" s="26"/>
      <c r="F1335" s="26"/>
      <c r="G1335" s="26"/>
      <c r="H1335" s="26"/>
      <c r="I1335" s="26"/>
      <c r="J1335" s="26"/>
    </row>
    <row r="1336" spans="1:10" s="13" customFormat="1">
      <c r="A1336" s="26"/>
      <c r="B1336" s="26"/>
      <c r="C1336" s="26"/>
      <c r="D1336" s="26"/>
      <c r="E1336" s="26"/>
      <c r="F1336" s="26"/>
      <c r="G1336" s="26"/>
      <c r="H1336" s="26"/>
      <c r="I1336" s="26"/>
      <c r="J1336" s="26"/>
    </row>
    <row r="1337" spans="1:10" s="13" customFormat="1">
      <c r="A1337" s="26"/>
      <c r="B1337" s="26"/>
      <c r="C1337" s="26"/>
      <c r="D1337" s="26"/>
      <c r="E1337" s="26"/>
      <c r="F1337" s="26"/>
      <c r="G1337" s="26"/>
      <c r="H1337" s="26"/>
      <c r="I1337" s="26"/>
      <c r="J1337" s="26"/>
    </row>
    <row r="1338" spans="1:10" s="13" customFormat="1">
      <c r="A1338" s="26"/>
      <c r="B1338" s="26"/>
      <c r="C1338" s="26"/>
      <c r="D1338" s="26"/>
      <c r="E1338" s="26"/>
      <c r="F1338" s="26"/>
      <c r="G1338" s="26"/>
      <c r="H1338" s="26"/>
      <c r="I1338" s="26"/>
      <c r="J1338" s="26"/>
    </row>
    <row r="1339" spans="1:10" s="13" customFormat="1">
      <c r="A1339" s="26"/>
      <c r="B1339" s="26"/>
      <c r="C1339" s="26"/>
      <c r="D1339" s="26"/>
      <c r="E1339" s="26"/>
      <c r="F1339" s="26"/>
      <c r="G1339" s="26"/>
      <c r="H1339" s="26"/>
      <c r="I1339" s="26"/>
      <c r="J1339" s="26"/>
    </row>
    <row r="1340" spans="1:10" s="13" customFormat="1">
      <c r="A1340" s="26"/>
      <c r="B1340" s="26"/>
      <c r="C1340" s="26"/>
      <c r="D1340" s="26"/>
      <c r="E1340" s="26"/>
      <c r="F1340" s="26"/>
      <c r="G1340" s="26"/>
      <c r="H1340" s="26"/>
      <c r="I1340" s="26"/>
      <c r="J1340" s="26"/>
    </row>
    <row r="1341" spans="1:10" s="13" customFormat="1">
      <c r="A1341" s="26"/>
      <c r="B1341" s="26"/>
      <c r="C1341" s="26"/>
      <c r="D1341" s="26"/>
      <c r="E1341" s="26"/>
      <c r="F1341" s="26"/>
      <c r="G1341" s="26"/>
      <c r="H1341" s="26"/>
      <c r="I1341" s="26"/>
      <c r="J1341" s="26"/>
    </row>
    <row r="1342" spans="1:10" s="13" customFormat="1">
      <c r="A1342" s="26"/>
      <c r="B1342" s="26"/>
      <c r="C1342" s="26"/>
      <c r="D1342" s="26"/>
      <c r="E1342" s="26"/>
      <c r="F1342" s="26"/>
      <c r="G1342" s="26"/>
      <c r="H1342" s="26"/>
      <c r="I1342" s="26"/>
      <c r="J1342" s="26"/>
    </row>
    <row r="1343" spans="1:10" s="13" customFormat="1">
      <c r="A1343" s="26"/>
      <c r="B1343" s="26"/>
      <c r="C1343" s="26"/>
      <c r="D1343" s="26"/>
      <c r="E1343" s="26"/>
      <c r="F1343" s="26"/>
      <c r="G1343" s="26"/>
      <c r="H1343" s="26"/>
      <c r="I1343" s="26"/>
      <c r="J1343" s="26"/>
    </row>
    <row r="1344" spans="1:10" s="13" customFormat="1">
      <c r="A1344" s="26"/>
      <c r="B1344" s="26"/>
      <c r="C1344" s="26"/>
      <c r="D1344" s="26"/>
      <c r="E1344" s="26"/>
      <c r="F1344" s="26"/>
      <c r="G1344" s="26"/>
      <c r="H1344" s="26"/>
      <c r="I1344" s="26"/>
      <c r="J1344" s="26"/>
    </row>
    <row r="1345" spans="1:10" s="13" customFormat="1">
      <c r="A1345" s="26"/>
      <c r="B1345" s="26"/>
      <c r="C1345" s="26"/>
      <c r="D1345" s="26"/>
      <c r="E1345" s="26"/>
      <c r="F1345" s="26"/>
      <c r="G1345" s="26"/>
      <c r="H1345" s="26"/>
      <c r="I1345" s="26"/>
      <c r="J1345" s="26"/>
    </row>
    <row r="1346" spans="1:10" s="13" customFormat="1">
      <c r="A1346" s="26"/>
      <c r="B1346" s="26"/>
      <c r="C1346" s="26"/>
      <c r="D1346" s="26"/>
      <c r="E1346" s="26"/>
      <c r="F1346" s="26"/>
      <c r="G1346" s="26"/>
      <c r="H1346" s="26"/>
      <c r="I1346" s="26"/>
      <c r="J1346" s="26"/>
    </row>
    <row r="1347" spans="1:10" s="13" customFormat="1">
      <c r="A1347" s="26"/>
      <c r="B1347" s="26"/>
      <c r="C1347" s="26"/>
      <c r="D1347" s="26"/>
      <c r="E1347" s="26"/>
      <c r="F1347" s="26"/>
      <c r="G1347" s="26"/>
      <c r="H1347" s="26"/>
      <c r="I1347" s="26"/>
      <c r="J1347" s="26"/>
    </row>
    <row r="1348" spans="1:10" s="13" customFormat="1">
      <c r="A1348" s="26"/>
      <c r="B1348" s="26"/>
      <c r="C1348" s="26"/>
      <c r="D1348" s="26"/>
      <c r="E1348" s="26"/>
      <c r="F1348" s="26"/>
      <c r="G1348" s="26"/>
      <c r="H1348" s="26"/>
      <c r="I1348" s="26"/>
      <c r="J1348" s="26"/>
    </row>
    <row r="1349" spans="1:10" s="13" customFormat="1">
      <c r="A1349" s="26"/>
      <c r="B1349" s="26"/>
      <c r="C1349" s="26"/>
      <c r="D1349" s="26"/>
      <c r="E1349" s="26"/>
      <c r="F1349" s="26"/>
      <c r="G1349" s="26"/>
      <c r="H1349" s="26"/>
      <c r="I1349" s="26"/>
      <c r="J1349" s="26"/>
    </row>
    <row r="1350" spans="1:10" s="13" customFormat="1">
      <c r="A1350" s="26"/>
      <c r="B1350" s="26"/>
      <c r="C1350" s="26"/>
      <c r="D1350" s="26"/>
      <c r="E1350" s="26"/>
      <c r="F1350" s="26"/>
      <c r="G1350" s="26"/>
      <c r="H1350" s="26"/>
      <c r="I1350" s="26"/>
      <c r="J1350" s="26"/>
    </row>
    <row r="1351" spans="1:10" s="13" customFormat="1">
      <c r="A1351" s="26"/>
      <c r="B1351" s="26"/>
      <c r="C1351" s="26"/>
      <c r="D1351" s="26"/>
      <c r="E1351" s="26"/>
      <c r="F1351" s="26"/>
      <c r="G1351" s="26"/>
      <c r="H1351" s="26"/>
      <c r="I1351" s="26"/>
      <c r="J1351" s="26"/>
    </row>
    <row r="1352" spans="1:10" s="13" customFormat="1">
      <c r="A1352" s="26"/>
      <c r="B1352" s="26"/>
      <c r="C1352" s="26"/>
      <c r="D1352" s="26"/>
      <c r="E1352" s="26"/>
      <c r="F1352" s="26"/>
      <c r="G1352" s="26"/>
      <c r="H1352" s="26"/>
      <c r="I1352" s="26"/>
      <c r="J1352" s="26"/>
    </row>
    <row r="1353" spans="1:10" s="13" customFormat="1">
      <c r="A1353" s="26"/>
      <c r="B1353" s="26"/>
      <c r="C1353" s="26"/>
      <c r="D1353" s="26"/>
      <c r="E1353" s="26"/>
      <c r="F1353" s="26"/>
      <c r="G1353" s="26"/>
      <c r="H1353" s="26"/>
      <c r="I1353" s="26"/>
      <c r="J1353" s="26"/>
    </row>
    <row r="1354" spans="1:10" s="13" customFormat="1">
      <c r="A1354" s="26"/>
      <c r="B1354" s="26"/>
      <c r="C1354" s="26"/>
      <c r="D1354" s="26"/>
      <c r="E1354" s="26"/>
      <c r="F1354" s="26"/>
      <c r="G1354" s="26"/>
      <c r="H1354" s="26"/>
      <c r="I1354" s="26"/>
      <c r="J1354" s="26"/>
    </row>
    <row r="1355" spans="1:10" s="13" customFormat="1">
      <c r="A1355" s="26"/>
      <c r="B1355" s="26"/>
      <c r="C1355" s="26"/>
      <c r="D1355" s="26"/>
      <c r="E1355" s="26"/>
      <c r="F1355" s="26"/>
      <c r="G1355" s="26"/>
      <c r="H1355" s="26"/>
      <c r="I1355" s="26"/>
      <c r="J1355" s="26"/>
    </row>
    <row r="1356" spans="1:10" s="13" customFormat="1">
      <c r="A1356" s="26"/>
      <c r="B1356" s="26"/>
      <c r="C1356" s="26"/>
      <c r="D1356" s="26"/>
      <c r="E1356" s="26"/>
      <c r="F1356" s="26"/>
      <c r="G1356" s="26"/>
      <c r="H1356" s="26"/>
      <c r="I1356" s="26"/>
      <c r="J1356" s="26"/>
    </row>
    <row r="1357" spans="1:10" s="13" customFormat="1">
      <c r="A1357" s="26"/>
      <c r="B1357" s="26"/>
      <c r="C1357" s="26"/>
      <c r="D1357" s="26"/>
      <c r="E1357" s="26"/>
      <c r="F1357" s="26"/>
      <c r="G1357" s="26"/>
      <c r="H1357" s="26"/>
      <c r="I1357" s="26"/>
      <c r="J1357" s="26"/>
    </row>
    <row r="1358" spans="1:10" s="13" customFormat="1">
      <c r="A1358" s="26"/>
      <c r="B1358" s="26"/>
      <c r="C1358" s="26"/>
      <c r="D1358" s="26"/>
      <c r="E1358" s="26"/>
      <c r="F1358" s="26"/>
      <c r="G1358" s="26"/>
      <c r="H1358" s="26"/>
      <c r="I1358" s="26"/>
      <c r="J1358" s="26"/>
    </row>
    <row r="1359" spans="1:10" s="13" customFormat="1">
      <c r="A1359" s="26"/>
      <c r="B1359" s="26"/>
      <c r="C1359" s="26"/>
      <c r="D1359" s="26"/>
      <c r="E1359" s="26"/>
      <c r="F1359" s="26"/>
      <c r="G1359" s="26"/>
      <c r="H1359" s="26"/>
      <c r="I1359" s="26"/>
      <c r="J1359" s="26"/>
    </row>
    <row r="1360" spans="1:10" s="13" customFormat="1">
      <c r="A1360" s="26"/>
      <c r="B1360" s="26"/>
      <c r="C1360" s="26"/>
      <c r="D1360" s="26"/>
      <c r="E1360" s="26"/>
      <c r="F1360" s="26"/>
      <c r="G1360" s="26"/>
      <c r="H1360" s="26"/>
      <c r="I1360" s="26"/>
      <c r="J1360" s="26"/>
    </row>
    <row r="1361" spans="1:10" s="13" customFormat="1">
      <c r="A1361" s="26"/>
      <c r="B1361" s="26"/>
      <c r="C1361" s="26"/>
      <c r="D1361" s="26"/>
      <c r="E1361" s="26"/>
      <c r="F1361" s="26"/>
      <c r="G1361" s="26"/>
      <c r="H1361" s="26"/>
      <c r="I1361" s="26"/>
      <c r="J1361" s="26"/>
    </row>
    <row r="1362" spans="1:10" s="13" customFormat="1">
      <c r="A1362" s="26"/>
      <c r="B1362" s="26"/>
      <c r="C1362" s="26"/>
      <c r="D1362" s="26"/>
      <c r="E1362" s="26"/>
      <c r="F1362" s="26"/>
      <c r="G1362" s="26"/>
      <c r="H1362" s="26"/>
      <c r="I1362" s="26"/>
      <c r="J1362" s="26"/>
    </row>
    <row r="1363" spans="1:10" s="13" customFormat="1">
      <c r="A1363" s="26"/>
      <c r="B1363" s="26"/>
      <c r="C1363" s="26"/>
      <c r="D1363" s="26"/>
      <c r="E1363" s="26"/>
      <c r="F1363" s="26"/>
      <c r="G1363" s="26"/>
      <c r="H1363" s="26"/>
      <c r="I1363" s="26"/>
      <c r="J1363" s="26"/>
    </row>
    <row r="1364" spans="1:10" s="13" customFormat="1">
      <c r="A1364" s="26"/>
      <c r="B1364" s="26"/>
      <c r="C1364" s="26"/>
      <c r="D1364" s="26"/>
      <c r="E1364" s="26"/>
      <c r="F1364" s="26"/>
      <c r="G1364" s="26"/>
      <c r="H1364" s="26"/>
      <c r="I1364" s="26"/>
      <c r="J1364" s="26"/>
    </row>
    <row r="1365" spans="1:10" s="13" customFormat="1">
      <c r="A1365" s="26"/>
      <c r="B1365" s="26"/>
      <c r="C1365" s="26"/>
      <c r="D1365" s="26"/>
      <c r="E1365" s="26"/>
      <c r="F1365" s="26"/>
      <c r="G1365" s="26"/>
      <c r="H1365" s="26"/>
      <c r="I1365" s="26"/>
      <c r="J1365" s="26"/>
    </row>
    <row r="1366" spans="1:10" s="13" customFormat="1">
      <c r="A1366" s="26"/>
      <c r="B1366" s="26"/>
      <c r="C1366" s="26"/>
      <c r="D1366" s="26"/>
      <c r="E1366" s="26"/>
      <c r="F1366" s="26"/>
      <c r="G1366" s="26"/>
      <c r="H1366" s="26"/>
      <c r="I1366" s="26"/>
      <c r="J1366" s="26"/>
    </row>
    <row r="1367" spans="1:10" s="13" customFormat="1">
      <c r="A1367" s="26"/>
      <c r="B1367" s="26"/>
      <c r="C1367" s="26"/>
      <c r="D1367" s="26"/>
      <c r="E1367" s="26"/>
      <c r="F1367" s="26"/>
      <c r="G1367" s="26"/>
      <c r="H1367" s="26"/>
      <c r="I1367" s="26"/>
      <c r="J1367" s="26"/>
    </row>
    <row r="1368" spans="1:10" s="13" customFormat="1">
      <c r="A1368" s="26"/>
      <c r="B1368" s="26"/>
      <c r="C1368" s="26"/>
      <c r="D1368" s="26"/>
      <c r="E1368" s="26"/>
      <c r="F1368" s="26"/>
      <c r="G1368" s="26"/>
      <c r="H1368" s="26"/>
      <c r="I1368" s="26"/>
      <c r="J1368" s="26"/>
    </row>
    <row r="1369" spans="1:10" s="13" customFormat="1">
      <c r="A1369" s="26"/>
      <c r="B1369" s="26"/>
      <c r="C1369" s="26"/>
      <c r="D1369" s="26"/>
      <c r="E1369" s="26"/>
      <c r="F1369" s="26"/>
      <c r="G1369" s="26"/>
      <c r="H1369" s="26"/>
      <c r="I1369" s="26"/>
      <c r="J1369" s="26"/>
    </row>
    <row r="1370" spans="1:10" s="13" customFormat="1">
      <c r="A1370" s="26"/>
      <c r="B1370" s="26"/>
      <c r="C1370" s="26"/>
      <c r="D1370" s="26"/>
      <c r="E1370" s="26"/>
      <c r="F1370" s="26"/>
      <c r="G1370" s="26"/>
      <c r="H1370" s="26"/>
      <c r="I1370" s="26"/>
      <c r="J1370" s="26"/>
    </row>
    <row r="1371" spans="1:10" s="13" customFormat="1">
      <c r="A1371" s="26"/>
      <c r="B1371" s="26"/>
      <c r="C1371" s="26"/>
      <c r="D1371" s="26"/>
      <c r="E1371" s="26"/>
      <c r="F1371" s="26"/>
      <c r="G1371" s="26"/>
      <c r="H1371" s="26"/>
      <c r="I1371" s="26"/>
      <c r="J1371" s="26"/>
    </row>
    <row r="1372" spans="1:10" s="13" customFormat="1">
      <c r="A1372" s="26"/>
      <c r="B1372" s="26"/>
      <c r="C1372" s="26"/>
      <c r="D1372" s="26"/>
      <c r="E1372" s="26"/>
      <c r="F1372" s="26"/>
      <c r="G1372" s="26"/>
      <c r="H1372" s="26"/>
      <c r="I1372" s="26"/>
      <c r="J1372" s="26"/>
    </row>
    <row r="1373" spans="1:10" s="13" customFormat="1">
      <c r="A1373" s="26"/>
      <c r="B1373" s="26"/>
      <c r="C1373" s="26"/>
      <c r="D1373" s="26"/>
      <c r="E1373" s="26"/>
      <c r="F1373" s="26"/>
      <c r="G1373" s="26"/>
      <c r="H1373" s="26"/>
      <c r="I1373" s="26"/>
      <c r="J1373" s="26"/>
    </row>
    <row r="1374" spans="1:10" s="13" customFormat="1">
      <c r="A1374" s="26"/>
      <c r="B1374" s="26"/>
      <c r="C1374" s="26"/>
      <c r="D1374" s="26"/>
      <c r="E1374" s="26"/>
      <c r="F1374" s="26"/>
      <c r="G1374" s="26"/>
      <c r="H1374" s="26"/>
      <c r="I1374" s="26"/>
      <c r="J1374" s="26"/>
    </row>
    <row r="1375" spans="1:10" s="13" customFormat="1">
      <c r="A1375" s="26"/>
      <c r="B1375" s="26"/>
      <c r="C1375" s="26"/>
      <c r="D1375" s="26"/>
      <c r="E1375" s="26"/>
      <c r="F1375" s="26"/>
      <c r="G1375" s="26"/>
      <c r="H1375" s="26"/>
      <c r="I1375" s="26"/>
      <c r="J1375" s="26"/>
    </row>
    <row r="1376" spans="1:10" s="13" customFormat="1">
      <c r="A1376" s="26"/>
      <c r="B1376" s="26"/>
      <c r="C1376" s="26"/>
      <c r="D1376" s="26"/>
      <c r="E1376" s="26"/>
      <c r="F1376" s="26"/>
      <c r="G1376" s="26"/>
      <c r="H1376" s="26"/>
      <c r="I1376" s="26"/>
      <c r="J1376" s="26"/>
    </row>
    <row r="1377" spans="1:10" s="13" customFormat="1">
      <c r="A1377" s="26"/>
      <c r="B1377" s="26"/>
      <c r="C1377" s="26"/>
      <c r="D1377" s="26"/>
      <c r="E1377" s="26"/>
      <c r="F1377" s="26"/>
      <c r="G1377" s="26"/>
      <c r="H1377" s="26"/>
      <c r="I1377" s="26"/>
      <c r="J1377" s="26"/>
    </row>
    <row r="1378" spans="1:10" s="13" customFormat="1">
      <c r="A1378" s="26"/>
      <c r="B1378" s="26"/>
      <c r="C1378" s="26"/>
      <c r="D1378" s="26"/>
      <c r="E1378" s="26"/>
      <c r="F1378" s="26"/>
      <c r="G1378" s="26"/>
      <c r="H1378" s="26"/>
      <c r="I1378" s="26"/>
      <c r="J1378" s="26"/>
    </row>
    <row r="1379" spans="1:10" s="13" customFormat="1">
      <c r="A1379" s="26"/>
      <c r="B1379" s="26"/>
      <c r="C1379" s="26"/>
      <c r="D1379" s="26"/>
      <c r="E1379" s="26"/>
      <c r="F1379" s="26"/>
      <c r="G1379" s="26"/>
      <c r="H1379" s="26"/>
      <c r="I1379" s="26"/>
      <c r="J1379" s="26"/>
    </row>
    <row r="1380" spans="1:10" s="13" customFormat="1">
      <c r="A1380" s="26"/>
      <c r="B1380" s="26"/>
      <c r="C1380" s="26"/>
      <c r="D1380" s="26"/>
      <c r="E1380" s="26"/>
      <c r="F1380" s="26"/>
      <c r="G1380" s="26"/>
      <c r="H1380" s="26"/>
      <c r="I1380" s="26"/>
      <c r="J1380" s="26"/>
    </row>
    <row r="1381" spans="1:10" s="13" customFormat="1">
      <c r="A1381" s="26"/>
      <c r="B1381" s="26"/>
      <c r="C1381" s="26"/>
      <c r="D1381" s="26"/>
      <c r="E1381" s="26"/>
      <c r="F1381" s="26"/>
      <c r="G1381" s="26"/>
      <c r="H1381" s="26"/>
      <c r="I1381" s="26"/>
      <c r="J1381" s="26"/>
    </row>
    <row r="1382" spans="1:10" s="13" customFormat="1">
      <c r="A1382" s="26"/>
      <c r="B1382" s="26"/>
      <c r="C1382" s="26"/>
      <c r="D1382" s="26"/>
      <c r="E1382" s="26"/>
      <c r="F1382" s="26"/>
      <c r="G1382" s="26"/>
      <c r="H1382" s="26"/>
      <c r="I1382" s="26"/>
      <c r="J1382" s="26"/>
    </row>
    <row r="1383" spans="1:10" s="13" customFormat="1">
      <c r="A1383" s="26"/>
      <c r="B1383" s="26"/>
      <c r="C1383" s="26"/>
      <c r="D1383" s="26"/>
      <c r="E1383" s="26"/>
      <c r="F1383" s="26"/>
      <c r="G1383" s="26"/>
      <c r="H1383" s="26"/>
      <c r="I1383" s="26"/>
      <c r="J1383" s="26"/>
    </row>
    <row r="1384" spans="1:10" s="13" customFormat="1">
      <c r="A1384" s="26"/>
      <c r="B1384" s="26"/>
      <c r="C1384" s="26"/>
      <c r="D1384" s="26"/>
      <c r="E1384" s="26"/>
      <c r="F1384" s="26"/>
      <c r="G1384" s="26"/>
      <c r="H1384" s="26"/>
      <c r="I1384" s="26"/>
      <c r="J1384" s="26"/>
    </row>
    <row r="1385" spans="1:10" s="13" customFormat="1">
      <c r="A1385" s="26"/>
      <c r="B1385" s="26"/>
      <c r="C1385" s="26"/>
      <c r="D1385" s="26"/>
      <c r="E1385" s="26"/>
      <c r="F1385" s="26"/>
      <c r="G1385" s="26"/>
      <c r="H1385" s="26"/>
      <c r="I1385" s="26"/>
      <c r="J1385" s="26"/>
    </row>
    <row r="1386" spans="1:10" s="13" customFormat="1">
      <c r="A1386" s="26"/>
      <c r="B1386" s="26"/>
      <c r="C1386" s="26"/>
      <c r="D1386" s="26"/>
      <c r="E1386" s="26"/>
      <c r="F1386" s="26"/>
      <c r="G1386" s="26"/>
      <c r="H1386" s="26"/>
      <c r="I1386" s="26"/>
      <c r="J1386" s="26"/>
    </row>
    <row r="1387" spans="1:10" s="13" customFormat="1">
      <c r="A1387" s="26"/>
      <c r="B1387" s="26"/>
      <c r="C1387" s="26"/>
      <c r="D1387" s="26"/>
      <c r="E1387" s="26"/>
      <c r="F1387" s="26"/>
      <c r="G1387" s="26"/>
      <c r="H1387" s="26"/>
      <c r="I1387" s="26"/>
      <c r="J1387" s="26"/>
    </row>
    <row r="1388" spans="1:10" s="13" customFormat="1">
      <c r="A1388" s="26"/>
      <c r="B1388" s="26"/>
      <c r="C1388" s="26"/>
      <c r="D1388" s="26"/>
      <c r="E1388" s="26"/>
      <c r="F1388" s="26"/>
      <c r="G1388" s="26"/>
      <c r="H1388" s="26"/>
      <c r="I1388" s="26"/>
      <c r="J1388" s="26"/>
    </row>
    <row r="1389" spans="1:10" s="13" customFormat="1">
      <c r="A1389" s="26"/>
      <c r="B1389" s="26"/>
      <c r="C1389" s="26"/>
      <c r="D1389" s="26"/>
      <c r="E1389" s="26"/>
      <c r="F1389" s="26"/>
      <c r="G1389" s="26"/>
      <c r="H1389" s="26"/>
      <c r="I1389" s="26"/>
      <c r="J1389" s="26"/>
    </row>
    <row r="1390" spans="1:10" s="13" customFormat="1">
      <c r="A1390" s="26"/>
      <c r="B1390" s="26"/>
      <c r="C1390" s="26"/>
      <c r="D1390" s="26"/>
      <c r="E1390" s="26"/>
      <c r="F1390" s="26"/>
      <c r="G1390" s="26"/>
      <c r="H1390" s="26"/>
      <c r="I1390" s="26"/>
      <c r="J1390" s="26"/>
    </row>
    <row r="1391" spans="1:10" s="13" customFormat="1">
      <c r="A1391" s="26"/>
      <c r="B1391" s="26"/>
      <c r="C1391" s="26"/>
      <c r="D1391" s="26"/>
      <c r="E1391" s="26"/>
      <c r="F1391" s="26"/>
      <c r="G1391" s="26"/>
      <c r="H1391" s="26"/>
      <c r="I1391" s="26"/>
      <c r="J1391" s="26"/>
    </row>
    <row r="1392" spans="1:10" s="13" customFormat="1">
      <c r="A1392" s="26"/>
      <c r="B1392" s="26"/>
      <c r="C1392" s="26"/>
      <c r="D1392" s="26"/>
      <c r="E1392" s="26"/>
      <c r="F1392" s="26"/>
      <c r="G1392" s="26"/>
      <c r="H1392" s="26"/>
      <c r="I1392" s="26"/>
      <c r="J1392" s="26"/>
    </row>
    <row r="1393" spans="1:10" s="13" customFormat="1">
      <c r="A1393" s="26"/>
      <c r="B1393" s="26"/>
      <c r="C1393" s="26"/>
      <c r="D1393" s="26"/>
      <c r="E1393" s="26"/>
      <c r="F1393" s="26"/>
      <c r="G1393" s="26"/>
      <c r="H1393" s="26"/>
      <c r="I1393" s="26"/>
      <c r="J1393" s="26"/>
    </row>
    <row r="1394" spans="1:10" s="13" customFormat="1">
      <c r="A1394" s="26"/>
      <c r="B1394" s="26"/>
      <c r="C1394" s="26"/>
      <c r="D1394" s="26"/>
      <c r="E1394" s="26"/>
      <c r="F1394" s="26"/>
      <c r="G1394" s="26"/>
      <c r="H1394" s="26"/>
      <c r="I1394" s="26"/>
      <c r="J1394" s="26"/>
    </row>
    <row r="1395" spans="1:10" s="13" customFormat="1">
      <c r="A1395" s="26"/>
      <c r="B1395" s="26"/>
      <c r="C1395" s="26"/>
      <c r="D1395" s="26"/>
      <c r="E1395" s="26"/>
      <c r="F1395" s="26"/>
      <c r="G1395" s="26"/>
      <c r="H1395" s="26"/>
      <c r="I1395" s="26"/>
      <c r="J1395" s="26"/>
    </row>
    <row r="1396" spans="1:10" s="13" customFormat="1">
      <c r="A1396" s="26"/>
      <c r="B1396" s="26"/>
      <c r="C1396" s="26"/>
      <c r="D1396" s="26"/>
      <c r="E1396" s="26"/>
      <c r="F1396" s="26"/>
      <c r="G1396" s="26"/>
      <c r="H1396" s="26"/>
      <c r="I1396" s="26"/>
      <c r="J1396" s="26"/>
    </row>
    <row r="1397" spans="1:10" s="13" customFormat="1">
      <c r="A1397" s="26"/>
      <c r="B1397" s="26"/>
      <c r="C1397" s="26"/>
      <c r="D1397" s="26"/>
      <c r="E1397" s="26"/>
      <c r="F1397" s="26"/>
      <c r="G1397" s="26"/>
      <c r="H1397" s="26"/>
      <c r="I1397" s="26"/>
      <c r="J1397" s="26"/>
    </row>
    <row r="1398" spans="1:10" s="13" customFormat="1">
      <c r="A1398" s="26"/>
      <c r="B1398" s="26"/>
      <c r="C1398" s="26"/>
      <c r="D1398" s="26"/>
      <c r="E1398" s="26"/>
      <c r="F1398" s="26"/>
      <c r="G1398" s="26"/>
      <c r="H1398" s="26"/>
      <c r="I1398" s="26"/>
      <c r="J1398" s="26"/>
    </row>
    <row r="1399" spans="1:10" s="13" customFormat="1">
      <c r="A1399" s="26"/>
      <c r="B1399" s="26"/>
      <c r="C1399" s="26"/>
      <c r="D1399" s="26"/>
      <c r="E1399" s="26"/>
      <c r="F1399" s="26"/>
      <c r="G1399" s="26"/>
      <c r="H1399" s="26"/>
      <c r="I1399" s="26"/>
      <c r="J1399" s="26"/>
    </row>
    <row r="1400" spans="1:10" s="13" customFormat="1">
      <c r="A1400" s="26"/>
      <c r="B1400" s="26"/>
      <c r="C1400" s="26"/>
      <c r="D1400" s="26"/>
      <c r="E1400" s="26"/>
      <c r="F1400" s="26"/>
      <c r="G1400" s="26"/>
      <c r="H1400" s="26"/>
      <c r="I1400" s="26"/>
      <c r="J1400" s="26"/>
    </row>
    <row r="1401" spans="1:10" s="13" customFormat="1">
      <c r="A1401" s="26"/>
      <c r="B1401" s="26"/>
      <c r="C1401" s="26"/>
      <c r="D1401" s="26"/>
      <c r="E1401" s="26"/>
      <c r="F1401" s="26"/>
      <c r="G1401" s="26"/>
      <c r="H1401" s="26"/>
      <c r="I1401" s="26"/>
      <c r="J1401" s="26"/>
    </row>
    <row r="1402" spans="1:10" s="13" customFormat="1">
      <c r="A1402" s="26"/>
      <c r="B1402" s="26"/>
      <c r="C1402" s="26"/>
      <c r="D1402" s="26"/>
      <c r="E1402" s="26"/>
      <c r="F1402" s="26"/>
      <c r="G1402" s="26"/>
      <c r="H1402" s="26"/>
      <c r="I1402" s="26"/>
      <c r="J1402" s="26"/>
    </row>
    <row r="1403" spans="1:10" s="13" customFormat="1">
      <c r="A1403" s="26"/>
      <c r="B1403" s="26"/>
      <c r="C1403" s="26"/>
      <c r="D1403" s="26"/>
      <c r="E1403" s="26"/>
      <c r="F1403" s="26"/>
      <c r="G1403" s="26"/>
      <c r="H1403" s="26"/>
      <c r="I1403" s="26"/>
      <c r="J1403" s="26"/>
    </row>
    <row r="1404" spans="1:10" s="13" customFormat="1">
      <c r="A1404" s="26"/>
      <c r="B1404" s="26"/>
      <c r="C1404" s="26"/>
      <c r="D1404" s="26"/>
      <c r="E1404" s="26"/>
      <c r="F1404" s="26"/>
      <c r="G1404" s="26"/>
      <c r="H1404" s="26"/>
      <c r="I1404" s="26"/>
      <c r="J1404" s="26"/>
    </row>
    <row r="1405" spans="1:10" s="13" customFormat="1">
      <c r="A1405" s="26"/>
      <c r="B1405" s="26"/>
      <c r="C1405" s="26"/>
      <c r="D1405" s="26"/>
      <c r="E1405" s="26"/>
      <c r="F1405" s="26"/>
      <c r="G1405" s="26"/>
      <c r="H1405" s="26"/>
      <c r="I1405" s="26"/>
      <c r="J1405" s="26"/>
    </row>
    <row r="1406" spans="1:10" s="13" customFormat="1">
      <c r="A1406" s="26"/>
      <c r="B1406" s="26"/>
      <c r="C1406" s="26"/>
      <c r="D1406" s="26"/>
      <c r="E1406" s="26"/>
      <c r="F1406" s="26"/>
      <c r="G1406" s="26"/>
      <c r="H1406" s="26"/>
      <c r="I1406" s="26"/>
      <c r="J1406" s="26"/>
    </row>
    <row r="1407" spans="1:10" s="13" customFormat="1">
      <c r="A1407" s="26"/>
      <c r="B1407" s="26"/>
      <c r="C1407" s="26"/>
      <c r="D1407" s="26"/>
      <c r="E1407" s="26"/>
      <c r="F1407" s="26"/>
      <c r="G1407" s="26"/>
      <c r="H1407" s="26"/>
      <c r="I1407" s="26"/>
      <c r="J1407" s="26"/>
    </row>
    <row r="1408" spans="1:10" s="13" customFormat="1">
      <c r="A1408" s="26"/>
      <c r="B1408" s="26"/>
      <c r="C1408" s="26"/>
      <c r="D1408" s="26"/>
      <c r="E1408" s="26"/>
      <c r="F1408" s="26"/>
      <c r="G1408" s="26"/>
      <c r="H1408" s="26"/>
      <c r="I1408" s="26"/>
      <c r="J1408" s="26"/>
    </row>
    <row r="1409" spans="1:10" s="13" customFormat="1">
      <c r="A1409" s="26"/>
      <c r="B1409" s="26"/>
      <c r="C1409" s="26"/>
      <c r="D1409" s="26"/>
      <c r="E1409" s="26"/>
      <c r="F1409" s="26"/>
      <c r="G1409" s="26"/>
      <c r="H1409" s="26"/>
      <c r="I1409" s="26"/>
      <c r="J1409" s="26"/>
    </row>
    <row r="1410" spans="1:10" s="13" customFormat="1">
      <c r="A1410" s="26"/>
      <c r="B1410" s="26"/>
      <c r="C1410" s="26"/>
      <c r="D1410" s="26"/>
      <c r="E1410" s="26"/>
      <c r="F1410" s="26"/>
      <c r="G1410" s="26"/>
      <c r="H1410" s="26"/>
      <c r="I1410" s="26"/>
      <c r="J1410" s="26"/>
    </row>
    <row r="1411" spans="1:10" s="13" customFormat="1">
      <c r="A1411" s="26"/>
      <c r="B1411" s="26"/>
      <c r="C1411" s="26"/>
      <c r="D1411" s="26"/>
      <c r="E1411" s="26"/>
      <c r="F1411" s="26"/>
      <c r="G1411" s="26"/>
      <c r="H1411" s="26"/>
      <c r="I1411" s="26"/>
      <c r="J1411" s="26"/>
    </row>
    <row r="1412" spans="1:10" s="13" customFormat="1">
      <c r="A1412" s="26"/>
      <c r="B1412" s="26"/>
      <c r="C1412" s="26"/>
      <c r="D1412" s="26"/>
      <c r="E1412" s="26"/>
      <c r="F1412" s="26"/>
      <c r="G1412" s="26"/>
      <c r="H1412" s="26"/>
      <c r="I1412" s="26"/>
      <c r="J1412" s="26"/>
    </row>
    <row r="1413" spans="1:10" s="13" customFormat="1">
      <c r="A1413" s="26"/>
      <c r="B1413" s="26"/>
      <c r="C1413" s="26"/>
      <c r="D1413" s="26"/>
      <c r="E1413" s="26"/>
      <c r="F1413" s="26"/>
      <c r="G1413" s="26"/>
      <c r="H1413" s="26"/>
      <c r="I1413" s="26"/>
      <c r="J1413" s="26"/>
    </row>
    <row r="1414" spans="1:10" s="13" customFormat="1">
      <c r="A1414" s="26"/>
      <c r="B1414" s="26"/>
      <c r="C1414" s="26"/>
      <c r="D1414" s="26"/>
      <c r="E1414" s="26"/>
      <c r="F1414" s="26"/>
      <c r="G1414" s="26"/>
      <c r="H1414" s="26"/>
      <c r="I1414" s="26"/>
      <c r="J1414" s="26"/>
    </row>
    <row r="1415" spans="1:10" s="13" customFormat="1">
      <c r="A1415" s="26"/>
      <c r="B1415" s="26"/>
      <c r="C1415" s="26"/>
      <c r="D1415" s="26"/>
      <c r="E1415" s="26"/>
      <c r="F1415" s="26"/>
      <c r="G1415" s="26"/>
      <c r="H1415" s="26"/>
      <c r="I1415" s="26"/>
      <c r="J1415" s="26"/>
    </row>
    <row r="1416" spans="1:10" s="13" customFormat="1">
      <c r="A1416" s="26"/>
      <c r="B1416" s="26"/>
      <c r="C1416" s="26"/>
      <c r="D1416" s="26"/>
      <c r="E1416" s="26"/>
      <c r="F1416" s="26"/>
      <c r="G1416" s="26"/>
      <c r="H1416" s="26"/>
      <c r="I1416" s="26"/>
      <c r="J1416" s="26"/>
    </row>
    <row r="1417" spans="1:10" s="13" customFormat="1">
      <c r="A1417" s="26"/>
      <c r="B1417" s="26"/>
      <c r="C1417" s="26"/>
      <c r="D1417" s="26"/>
      <c r="E1417" s="26"/>
      <c r="F1417" s="26"/>
      <c r="G1417" s="26"/>
      <c r="H1417" s="26"/>
      <c r="I1417" s="26"/>
      <c r="J1417" s="26"/>
    </row>
    <row r="1418" spans="1:10" s="13" customFormat="1">
      <c r="A1418" s="26"/>
      <c r="B1418" s="26"/>
      <c r="C1418" s="26"/>
      <c r="D1418" s="26"/>
      <c r="E1418" s="26"/>
      <c r="F1418" s="26"/>
      <c r="G1418" s="26"/>
      <c r="H1418" s="26"/>
      <c r="I1418" s="26"/>
      <c r="J1418" s="26"/>
    </row>
    <row r="1419" spans="1:10" s="13" customFormat="1">
      <c r="A1419" s="26"/>
      <c r="B1419" s="26"/>
      <c r="C1419" s="26"/>
      <c r="D1419" s="26"/>
      <c r="E1419" s="26"/>
      <c r="F1419" s="26"/>
      <c r="G1419" s="26"/>
      <c r="H1419" s="26"/>
      <c r="I1419" s="26"/>
      <c r="J1419" s="26"/>
    </row>
    <row r="1420" spans="1:10" s="13" customFormat="1">
      <c r="A1420" s="26"/>
      <c r="B1420" s="26"/>
      <c r="C1420" s="26"/>
      <c r="D1420" s="26"/>
      <c r="E1420" s="26"/>
      <c r="F1420" s="26"/>
      <c r="G1420" s="26"/>
      <c r="H1420" s="26"/>
      <c r="I1420" s="26"/>
      <c r="J1420" s="26"/>
    </row>
    <row r="1421" spans="1:10" s="13" customFormat="1">
      <c r="A1421" s="26"/>
      <c r="B1421" s="26"/>
      <c r="C1421" s="26"/>
      <c r="D1421" s="26"/>
      <c r="E1421" s="26"/>
      <c r="F1421" s="26"/>
      <c r="G1421" s="26"/>
      <c r="H1421" s="26"/>
      <c r="I1421" s="26"/>
      <c r="J1421" s="26"/>
    </row>
    <row r="1422" spans="1:10" s="13" customFormat="1">
      <c r="A1422" s="26"/>
      <c r="B1422" s="26"/>
      <c r="C1422" s="26"/>
      <c r="D1422" s="26"/>
      <c r="E1422" s="26"/>
      <c r="F1422" s="26"/>
      <c r="G1422" s="26"/>
      <c r="H1422" s="26"/>
      <c r="I1422" s="26"/>
      <c r="J1422" s="26"/>
    </row>
    <row r="1423" spans="1:10" s="13" customFormat="1">
      <c r="A1423" s="26"/>
      <c r="B1423" s="26"/>
      <c r="C1423" s="26"/>
      <c r="D1423" s="26"/>
      <c r="E1423" s="26"/>
      <c r="F1423" s="26"/>
      <c r="G1423" s="26"/>
      <c r="H1423" s="26"/>
      <c r="I1423" s="26"/>
      <c r="J1423" s="26"/>
    </row>
    <row r="1424" spans="1:10" s="13" customFormat="1">
      <c r="A1424" s="26"/>
      <c r="B1424" s="26"/>
      <c r="C1424" s="26"/>
      <c r="D1424" s="26"/>
      <c r="E1424" s="26"/>
      <c r="F1424" s="26"/>
      <c r="G1424" s="26"/>
      <c r="H1424" s="26"/>
      <c r="I1424" s="26"/>
      <c r="J1424" s="26"/>
    </row>
    <row r="1425" spans="1:10" s="13" customFormat="1">
      <c r="A1425" s="26"/>
      <c r="B1425" s="26"/>
      <c r="C1425" s="26"/>
      <c r="D1425" s="26"/>
      <c r="E1425" s="26"/>
      <c r="F1425" s="26"/>
      <c r="G1425" s="26"/>
      <c r="H1425" s="26"/>
      <c r="I1425" s="26"/>
      <c r="J1425" s="26"/>
    </row>
    <row r="1426" spans="1:10" s="13" customFormat="1">
      <c r="A1426" s="26"/>
      <c r="B1426" s="26"/>
      <c r="C1426" s="26"/>
      <c r="D1426" s="26"/>
      <c r="E1426" s="26"/>
      <c r="F1426" s="26"/>
      <c r="G1426" s="26"/>
      <c r="H1426" s="26"/>
      <c r="I1426" s="26"/>
      <c r="J1426" s="26"/>
    </row>
    <row r="1427" spans="1:10" s="13" customFormat="1">
      <c r="A1427" s="26"/>
      <c r="B1427" s="26"/>
      <c r="C1427" s="26"/>
      <c r="D1427" s="26"/>
      <c r="E1427" s="26"/>
      <c r="F1427" s="26"/>
      <c r="G1427" s="26"/>
      <c r="H1427" s="26"/>
      <c r="I1427" s="26"/>
      <c r="J1427" s="26"/>
    </row>
    <row r="1428" spans="1:10" s="13" customFormat="1">
      <c r="A1428" s="26"/>
      <c r="B1428" s="26"/>
      <c r="C1428" s="26"/>
      <c r="D1428" s="26"/>
      <c r="E1428" s="26"/>
      <c r="F1428" s="26"/>
      <c r="G1428" s="26"/>
      <c r="H1428" s="26"/>
      <c r="I1428" s="26"/>
      <c r="J1428" s="26"/>
    </row>
    <row r="1429" spans="1:10" s="13" customFormat="1">
      <c r="A1429" s="26"/>
      <c r="B1429" s="26"/>
      <c r="C1429" s="26"/>
      <c r="D1429" s="26"/>
      <c r="E1429" s="26"/>
      <c r="F1429" s="26"/>
      <c r="G1429" s="26"/>
      <c r="H1429" s="26"/>
      <c r="I1429" s="26"/>
      <c r="J1429" s="26"/>
    </row>
    <row r="1430" spans="1:10" s="13" customFormat="1">
      <c r="A1430" s="26"/>
      <c r="B1430" s="26"/>
      <c r="C1430" s="26"/>
      <c r="D1430" s="26"/>
      <c r="E1430" s="26"/>
      <c r="F1430" s="26"/>
      <c r="G1430" s="26"/>
      <c r="H1430" s="26"/>
      <c r="I1430" s="26"/>
      <c r="J1430" s="26"/>
    </row>
    <row r="1431" spans="1:10" s="13" customFormat="1">
      <c r="A1431" s="26"/>
      <c r="B1431" s="26"/>
      <c r="C1431" s="26"/>
      <c r="D1431" s="26"/>
      <c r="E1431" s="26"/>
      <c r="F1431" s="26"/>
      <c r="G1431" s="26"/>
      <c r="H1431" s="26"/>
      <c r="I1431" s="26"/>
      <c r="J1431" s="26"/>
    </row>
    <row r="1432" spans="1:10" s="13" customFormat="1">
      <c r="A1432" s="26"/>
      <c r="B1432" s="26"/>
      <c r="C1432" s="26"/>
      <c r="D1432" s="26"/>
      <c r="E1432" s="26"/>
      <c r="F1432" s="26"/>
      <c r="G1432" s="26"/>
      <c r="H1432" s="26"/>
      <c r="I1432" s="26"/>
      <c r="J1432" s="26"/>
    </row>
    <row r="1433" spans="1:10" s="13" customFormat="1">
      <c r="A1433" s="26"/>
      <c r="B1433" s="26"/>
      <c r="C1433" s="26"/>
      <c r="D1433" s="26"/>
      <c r="E1433" s="26"/>
      <c r="F1433" s="26"/>
      <c r="G1433" s="26"/>
      <c r="H1433" s="26"/>
      <c r="I1433" s="26"/>
      <c r="J1433" s="26"/>
    </row>
    <row r="1434" spans="1:10" s="13" customFormat="1">
      <c r="A1434" s="26"/>
      <c r="B1434" s="26"/>
      <c r="C1434" s="26"/>
      <c r="D1434" s="26"/>
      <c r="E1434" s="26"/>
      <c r="F1434" s="26"/>
      <c r="G1434" s="26"/>
      <c r="H1434" s="26"/>
      <c r="I1434" s="26"/>
      <c r="J1434" s="26"/>
    </row>
    <row r="1435" spans="1:10" s="13" customFormat="1">
      <c r="A1435" s="26"/>
      <c r="B1435" s="26"/>
      <c r="C1435" s="26"/>
      <c r="D1435" s="26"/>
      <c r="E1435" s="26"/>
      <c r="F1435" s="26"/>
      <c r="G1435" s="26"/>
      <c r="H1435" s="26"/>
      <c r="I1435" s="26"/>
      <c r="J1435" s="26"/>
    </row>
    <row r="1436" spans="1:10" s="13" customFormat="1">
      <c r="A1436" s="26"/>
      <c r="B1436" s="26"/>
      <c r="C1436" s="26"/>
      <c r="D1436" s="26"/>
      <c r="E1436" s="26"/>
      <c r="F1436" s="26"/>
      <c r="G1436" s="26"/>
      <c r="H1436" s="26"/>
      <c r="I1436" s="26"/>
      <c r="J1436" s="26"/>
    </row>
    <row r="1437" spans="1:10" s="13" customFormat="1">
      <c r="A1437" s="26"/>
      <c r="B1437" s="26"/>
      <c r="C1437" s="26"/>
      <c r="D1437" s="26"/>
      <c r="E1437" s="26"/>
      <c r="F1437" s="26"/>
      <c r="G1437" s="26"/>
      <c r="H1437" s="26"/>
      <c r="I1437" s="26"/>
      <c r="J1437" s="26"/>
    </row>
    <row r="1438" spans="1:10" s="13" customFormat="1">
      <c r="A1438" s="26"/>
      <c r="B1438" s="26"/>
      <c r="C1438" s="26"/>
      <c r="D1438" s="26"/>
      <c r="E1438" s="26"/>
      <c r="F1438" s="26"/>
      <c r="G1438" s="26"/>
      <c r="H1438" s="26"/>
      <c r="I1438" s="26"/>
      <c r="J1438" s="26"/>
    </row>
    <row r="1439" spans="1:10" s="13" customFormat="1">
      <c r="A1439" s="26"/>
      <c r="B1439" s="26"/>
      <c r="C1439" s="26"/>
      <c r="D1439" s="26"/>
      <c r="E1439" s="26"/>
      <c r="F1439" s="26"/>
      <c r="G1439" s="26"/>
      <c r="H1439" s="26"/>
      <c r="I1439" s="26"/>
      <c r="J1439" s="26"/>
    </row>
    <row r="1440" spans="1:10" s="13" customFormat="1">
      <c r="A1440" s="26"/>
      <c r="B1440" s="26"/>
      <c r="C1440" s="26"/>
      <c r="D1440" s="26"/>
      <c r="E1440" s="26"/>
      <c r="F1440" s="26"/>
      <c r="G1440" s="26"/>
      <c r="H1440" s="26"/>
      <c r="I1440" s="26"/>
      <c r="J1440" s="26"/>
    </row>
    <row r="1441" spans="1:10" s="13" customFormat="1">
      <c r="A1441" s="26"/>
      <c r="B1441" s="26"/>
      <c r="C1441" s="26"/>
      <c r="D1441" s="26"/>
      <c r="E1441" s="26"/>
      <c r="F1441" s="26"/>
      <c r="G1441" s="26"/>
      <c r="H1441" s="26"/>
      <c r="I1441" s="26"/>
      <c r="J1441" s="26"/>
    </row>
    <row r="1442" spans="1:10" s="13" customFormat="1">
      <c r="A1442" s="26"/>
      <c r="B1442" s="26"/>
      <c r="C1442" s="26"/>
      <c r="D1442" s="26"/>
      <c r="E1442" s="26"/>
      <c r="F1442" s="26"/>
      <c r="G1442" s="26"/>
      <c r="H1442" s="26"/>
      <c r="I1442" s="26"/>
      <c r="J1442" s="26"/>
    </row>
    <row r="1443" spans="1:10" s="13" customFormat="1">
      <c r="A1443" s="26"/>
      <c r="B1443" s="26"/>
      <c r="C1443" s="26"/>
      <c r="D1443" s="26"/>
      <c r="E1443" s="26"/>
      <c r="F1443" s="26"/>
      <c r="G1443" s="26"/>
      <c r="H1443" s="26"/>
      <c r="I1443" s="26"/>
      <c r="J1443" s="26"/>
    </row>
    <row r="1444" spans="1:10" s="13" customFormat="1">
      <c r="A1444" s="26"/>
      <c r="B1444" s="26"/>
      <c r="C1444" s="26"/>
      <c r="D1444" s="26"/>
      <c r="E1444" s="26"/>
      <c r="F1444" s="26"/>
      <c r="G1444" s="26"/>
      <c r="H1444" s="26"/>
      <c r="I1444" s="26"/>
      <c r="J1444" s="26"/>
    </row>
    <row r="1445" spans="1:10" s="13" customFormat="1">
      <c r="A1445" s="26"/>
      <c r="B1445" s="26"/>
      <c r="C1445" s="26"/>
      <c r="D1445" s="26"/>
      <c r="E1445" s="26"/>
      <c r="F1445" s="26"/>
      <c r="G1445" s="26"/>
      <c r="H1445" s="26"/>
      <c r="I1445" s="26"/>
      <c r="J1445" s="26"/>
    </row>
    <row r="1446" spans="1:10" s="13" customFormat="1">
      <c r="A1446" s="26"/>
      <c r="B1446" s="26"/>
      <c r="C1446" s="26"/>
      <c r="D1446" s="26"/>
      <c r="E1446" s="26"/>
      <c r="F1446" s="26"/>
      <c r="G1446" s="26"/>
      <c r="H1446" s="26"/>
      <c r="I1446" s="26"/>
      <c r="J1446" s="26"/>
    </row>
    <row r="1447" spans="1:10" s="13" customFormat="1">
      <c r="A1447" s="26"/>
      <c r="B1447" s="26"/>
      <c r="C1447" s="26"/>
      <c r="D1447" s="26"/>
      <c r="E1447" s="26"/>
      <c r="F1447" s="26"/>
      <c r="G1447" s="26"/>
      <c r="H1447" s="26"/>
      <c r="I1447" s="26"/>
      <c r="J1447" s="26"/>
    </row>
    <row r="1448" spans="1:10" s="13" customFormat="1">
      <c r="A1448" s="26"/>
      <c r="B1448" s="26"/>
      <c r="C1448" s="26"/>
      <c r="D1448" s="26"/>
      <c r="E1448" s="26"/>
      <c r="F1448" s="26"/>
      <c r="G1448" s="26"/>
      <c r="H1448" s="26"/>
      <c r="I1448" s="26"/>
      <c r="J1448" s="26"/>
    </row>
    <row r="1449" spans="1:10" s="13" customFormat="1">
      <c r="A1449" s="26"/>
      <c r="B1449" s="26"/>
      <c r="C1449" s="26"/>
      <c r="D1449" s="26"/>
      <c r="E1449" s="26"/>
      <c r="F1449" s="26"/>
      <c r="G1449" s="26"/>
      <c r="H1449" s="26"/>
      <c r="I1449" s="26"/>
      <c r="J1449" s="26"/>
    </row>
    <row r="1450" spans="1:10" s="13" customFormat="1">
      <c r="A1450" s="26"/>
      <c r="B1450" s="26"/>
      <c r="C1450" s="26"/>
      <c r="D1450" s="26"/>
      <c r="E1450" s="26"/>
      <c r="F1450" s="26"/>
      <c r="G1450" s="26"/>
      <c r="H1450" s="26"/>
      <c r="I1450" s="26"/>
      <c r="J1450" s="26"/>
    </row>
    <row r="1451" spans="1:10" s="13" customFormat="1">
      <c r="A1451" s="26"/>
      <c r="B1451" s="26"/>
      <c r="C1451" s="26"/>
      <c r="D1451" s="26"/>
      <c r="E1451" s="26"/>
      <c r="F1451" s="26"/>
      <c r="G1451" s="26"/>
      <c r="H1451" s="26"/>
      <c r="I1451" s="26"/>
      <c r="J1451" s="26"/>
    </row>
    <row r="1452" spans="1:10" s="13" customFormat="1">
      <c r="A1452" s="26"/>
      <c r="B1452" s="26"/>
      <c r="C1452" s="26"/>
      <c r="D1452" s="26"/>
      <c r="E1452" s="26"/>
      <c r="F1452" s="26"/>
      <c r="G1452" s="26"/>
      <c r="H1452" s="26"/>
      <c r="I1452" s="26"/>
      <c r="J1452" s="26"/>
    </row>
    <row r="1453" spans="1:10" s="13" customFormat="1">
      <c r="A1453" s="26"/>
      <c r="B1453" s="26"/>
      <c r="C1453" s="26"/>
      <c r="D1453" s="26"/>
      <c r="E1453" s="26"/>
      <c r="F1453" s="26"/>
      <c r="G1453" s="26"/>
      <c r="H1453" s="26"/>
      <c r="I1453" s="26"/>
      <c r="J1453" s="26"/>
    </row>
    <row r="1454" spans="1:10" s="13" customFormat="1">
      <c r="A1454" s="26"/>
      <c r="B1454" s="26"/>
      <c r="C1454" s="26"/>
      <c r="D1454" s="26"/>
      <c r="E1454" s="26"/>
      <c r="F1454" s="26"/>
      <c r="G1454" s="26"/>
      <c r="H1454" s="26"/>
      <c r="I1454" s="26"/>
      <c r="J1454" s="26"/>
    </row>
    <row r="1455" spans="1:10" s="13" customFormat="1">
      <c r="A1455" s="26"/>
      <c r="B1455" s="26"/>
      <c r="C1455" s="26"/>
      <c r="D1455" s="26"/>
      <c r="E1455" s="26"/>
      <c r="F1455" s="26"/>
      <c r="G1455" s="26"/>
      <c r="H1455" s="26"/>
      <c r="I1455" s="26"/>
      <c r="J1455" s="26"/>
    </row>
    <row r="1456" spans="1:10" s="13" customFormat="1">
      <c r="A1456" s="26"/>
      <c r="B1456" s="26"/>
      <c r="C1456" s="26"/>
      <c r="D1456" s="26"/>
      <c r="E1456" s="26"/>
      <c r="F1456" s="26"/>
      <c r="G1456" s="26"/>
      <c r="H1456" s="26"/>
      <c r="I1456" s="26"/>
      <c r="J1456" s="26"/>
    </row>
    <row r="1457" spans="1:10" s="13" customFormat="1">
      <c r="A1457" s="26"/>
      <c r="B1457" s="26"/>
      <c r="C1457" s="26"/>
      <c r="D1457" s="26"/>
      <c r="E1457" s="26"/>
      <c r="F1457" s="26"/>
      <c r="G1457" s="26"/>
      <c r="H1457" s="26"/>
      <c r="I1457" s="26"/>
      <c r="J1457" s="26"/>
    </row>
    <row r="1458" spans="1:10" s="13" customFormat="1">
      <c r="A1458" s="26"/>
      <c r="B1458" s="26"/>
      <c r="C1458" s="26"/>
      <c r="D1458" s="26"/>
      <c r="E1458" s="26"/>
      <c r="F1458" s="26"/>
      <c r="G1458" s="26"/>
      <c r="H1458" s="26"/>
      <c r="I1458" s="26"/>
      <c r="J1458" s="26"/>
    </row>
    <row r="1459" spans="1:10" s="13" customFormat="1">
      <c r="A1459" s="26"/>
      <c r="B1459" s="26"/>
      <c r="C1459" s="26"/>
      <c r="D1459" s="26"/>
      <c r="E1459" s="26"/>
      <c r="F1459" s="26"/>
      <c r="G1459" s="26"/>
      <c r="H1459" s="26"/>
      <c r="I1459" s="26"/>
      <c r="J1459" s="26"/>
    </row>
    <row r="1460" spans="1:10" s="13" customFormat="1">
      <c r="A1460" s="26"/>
      <c r="B1460" s="26"/>
      <c r="C1460" s="26"/>
      <c r="D1460" s="26"/>
      <c r="E1460" s="26"/>
      <c r="F1460" s="26"/>
      <c r="G1460" s="26"/>
      <c r="H1460" s="26"/>
      <c r="I1460" s="26"/>
      <c r="J1460" s="26"/>
    </row>
    <row r="1461" spans="1:10" s="13" customFormat="1">
      <c r="A1461" s="26"/>
      <c r="B1461" s="26"/>
      <c r="C1461" s="26"/>
      <c r="D1461" s="26"/>
      <c r="E1461" s="26"/>
      <c r="F1461" s="26"/>
      <c r="G1461" s="26"/>
      <c r="H1461" s="26"/>
      <c r="I1461" s="26"/>
      <c r="J1461" s="26"/>
    </row>
    <row r="1462" spans="1:10" s="13" customFormat="1">
      <c r="A1462" s="26"/>
      <c r="B1462" s="26"/>
      <c r="C1462" s="26"/>
      <c r="D1462" s="26"/>
      <c r="E1462" s="26"/>
      <c r="F1462" s="26"/>
      <c r="G1462" s="26"/>
      <c r="H1462" s="26"/>
      <c r="I1462" s="26"/>
      <c r="J1462" s="26"/>
    </row>
    <row r="1463" spans="1:10" s="13" customFormat="1">
      <c r="A1463" s="26"/>
      <c r="B1463" s="26"/>
      <c r="C1463" s="26"/>
      <c r="D1463" s="26"/>
      <c r="E1463" s="26"/>
      <c r="F1463" s="26"/>
      <c r="G1463" s="26"/>
      <c r="H1463" s="26"/>
      <c r="I1463" s="26"/>
      <c r="J1463" s="26"/>
    </row>
    <row r="1464" spans="1:10" s="13" customFormat="1">
      <c r="A1464" s="26"/>
      <c r="B1464" s="26"/>
      <c r="C1464" s="26"/>
      <c r="D1464" s="26"/>
      <c r="E1464" s="26"/>
      <c r="F1464" s="26"/>
      <c r="G1464" s="26"/>
      <c r="H1464" s="26"/>
      <c r="I1464" s="26"/>
      <c r="J1464" s="26"/>
    </row>
    <row r="1465" spans="1:10" s="13" customFormat="1">
      <c r="A1465" s="26"/>
      <c r="B1465" s="26"/>
      <c r="C1465" s="26"/>
      <c r="D1465" s="26"/>
      <c r="E1465" s="26"/>
      <c r="F1465" s="26"/>
      <c r="G1465" s="26"/>
      <c r="H1465" s="26"/>
      <c r="I1465" s="26"/>
      <c r="J1465" s="26"/>
    </row>
    <row r="1466" spans="1:10" s="13" customFormat="1">
      <c r="A1466" s="26"/>
      <c r="B1466" s="26"/>
      <c r="C1466" s="26"/>
      <c r="D1466" s="26"/>
      <c r="E1466" s="26"/>
      <c r="F1466" s="26"/>
      <c r="G1466" s="26"/>
      <c r="H1466" s="26"/>
      <c r="I1466" s="26"/>
      <c r="J1466" s="26"/>
    </row>
    <row r="1467" spans="1:10" s="13" customFormat="1">
      <c r="A1467" s="26"/>
      <c r="B1467" s="26"/>
      <c r="C1467" s="26"/>
      <c r="D1467" s="26"/>
      <c r="E1467" s="26"/>
      <c r="F1467" s="26"/>
      <c r="G1467" s="26"/>
      <c r="H1467" s="26"/>
      <c r="I1467" s="26"/>
      <c r="J1467" s="26"/>
    </row>
    <row r="1468" spans="1:10" s="13" customFormat="1">
      <c r="A1468" s="26"/>
      <c r="B1468" s="26"/>
      <c r="C1468" s="26"/>
      <c r="D1468" s="26"/>
      <c r="E1468" s="26"/>
      <c r="F1468" s="26"/>
      <c r="G1468" s="26"/>
      <c r="H1468" s="26"/>
      <c r="I1468" s="26"/>
      <c r="J1468" s="26"/>
    </row>
    <row r="1469" spans="1:10" s="13" customFormat="1">
      <c r="A1469" s="26"/>
      <c r="B1469" s="26"/>
      <c r="C1469" s="26"/>
      <c r="D1469" s="26"/>
      <c r="E1469" s="26"/>
      <c r="F1469" s="26"/>
      <c r="G1469" s="26"/>
      <c r="H1469" s="26"/>
      <c r="I1469" s="26"/>
      <c r="J1469" s="26"/>
    </row>
    <row r="1470" spans="1:10" s="13" customFormat="1">
      <c r="A1470" s="26"/>
      <c r="B1470" s="26"/>
      <c r="C1470" s="26"/>
      <c r="D1470" s="26"/>
      <c r="E1470" s="26"/>
      <c r="F1470" s="26"/>
      <c r="G1470" s="26"/>
      <c r="H1470" s="26"/>
      <c r="I1470" s="26"/>
      <c r="J1470" s="26"/>
    </row>
    <row r="1471" spans="1:10" s="13" customFormat="1">
      <c r="A1471" s="26"/>
      <c r="B1471" s="26"/>
      <c r="C1471" s="26"/>
      <c r="D1471" s="26"/>
      <c r="E1471" s="26"/>
      <c r="F1471" s="26"/>
      <c r="G1471" s="26"/>
      <c r="H1471" s="26"/>
      <c r="I1471" s="26"/>
      <c r="J1471" s="26"/>
    </row>
    <row r="1472" spans="1:10" s="13" customFormat="1">
      <c r="A1472" s="26"/>
      <c r="B1472" s="26"/>
      <c r="C1472" s="26"/>
      <c r="D1472" s="26"/>
      <c r="E1472" s="26"/>
      <c r="F1472" s="26"/>
      <c r="G1472" s="26"/>
      <c r="H1472" s="26"/>
      <c r="I1472" s="26"/>
      <c r="J1472" s="26"/>
    </row>
    <row r="1473" spans="1:10" s="13" customFormat="1">
      <c r="A1473" s="26"/>
      <c r="B1473" s="26"/>
      <c r="C1473" s="26"/>
      <c r="D1473" s="26"/>
      <c r="E1473" s="26"/>
      <c r="F1473" s="26"/>
      <c r="G1473" s="26"/>
      <c r="H1473" s="26"/>
      <c r="I1473" s="26"/>
      <c r="J1473" s="26"/>
    </row>
    <row r="1474" spans="1:10" s="13" customFormat="1">
      <c r="A1474" s="26"/>
      <c r="B1474" s="26"/>
      <c r="C1474" s="26"/>
      <c r="D1474" s="26"/>
      <c r="E1474" s="26"/>
      <c r="F1474" s="26"/>
      <c r="G1474" s="26"/>
      <c r="H1474" s="26"/>
      <c r="I1474" s="26"/>
      <c r="J1474" s="26"/>
    </row>
    <row r="1475" spans="1:10" s="13" customFormat="1">
      <c r="A1475" s="26"/>
      <c r="B1475" s="26"/>
      <c r="C1475" s="26"/>
      <c r="D1475" s="26"/>
      <c r="E1475" s="26"/>
      <c r="F1475" s="26"/>
      <c r="G1475" s="26"/>
      <c r="H1475" s="26"/>
      <c r="I1475" s="26"/>
      <c r="J1475" s="26"/>
    </row>
    <row r="1476" spans="1:10" s="13" customFormat="1">
      <c r="A1476" s="26"/>
      <c r="B1476" s="26"/>
      <c r="C1476" s="26"/>
      <c r="D1476" s="26"/>
      <c r="E1476" s="26"/>
      <c r="F1476" s="26"/>
      <c r="G1476" s="26"/>
      <c r="H1476" s="26"/>
      <c r="I1476" s="26"/>
      <c r="J1476" s="26"/>
    </row>
    <row r="1477" spans="1:10" s="13" customFormat="1">
      <c r="A1477" s="26"/>
      <c r="B1477" s="26"/>
      <c r="C1477" s="26"/>
      <c r="D1477" s="26"/>
      <c r="E1477" s="26"/>
      <c r="F1477" s="26"/>
      <c r="G1477" s="26"/>
      <c r="H1477" s="26"/>
      <c r="I1477" s="26"/>
      <c r="J1477" s="26"/>
    </row>
    <row r="1478" spans="1:10" s="13" customFormat="1">
      <c r="A1478" s="26"/>
      <c r="B1478" s="26"/>
      <c r="C1478" s="26"/>
      <c r="D1478" s="26"/>
      <c r="E1478" s="26"/>
      <c r="F1478" s="26"/>
      <c r="G1478" s="26"/>
      <c r="H1478" s="26"/>
      <c r="I1478" s="26"/>
      <c r="J1478" s="26"/>
    </row>
    <row r="1479" spans="1:10" s="13" customFormat="1">
      <c r="A1479" s="26"/>
      <c r="B1479" s="26"/>
      <c r="C1479" s="26"/>
      <c r="D1479" s="26"/>
      <c r="E1479" s="26"/>
      <c r="F1479" s="26"/>
      <c r="G1479" s="26"/>
      <c r="H1479" s="26"/>
      <c r="I1479" s="26"/>
      <c r="J1479" s="26"/>
    </row>
    <row r="1480" spans="1:10" s="13" customFormat="1">
      <c r="A1480" s="26"/>
      <c r="B1480" s="26"/>
      <c r="C1480" s="26"/>
      <c r="D1480" s="26"/>
      <c r="E1480" s="26"/>
      <c r="F1480" s="26"/>
      <c r="G1480" s="26"/>
      <c r="H1480" s="26"/>
      <c r="I1480" s="26"/>
      <c r="J1480" s="26"/>
    </row>
    <row r="1481" spans="1:10" s="13" customFormat="1">
      <c r="A1481" s="26"/>
      <c r="B1481" s="26"/>
      <c r="C1481" s="26"/>
      <c r="D1481" s="26"/>
      <c r="E1481" s="26"/>
      <c r="F1481" s="26"/>
      <c r="G1481" s="26"/>
      <c r="H1481" s="26"/>
      <c r="I1481" s="26"/>
      <c r="J1481" s="26"/>
    </row>
    <row r="1482" spans="1:10" s="13" customFormat="1">
      <c r="A1482" s="26"/>
      <c r="B1482" s="26"/>
      <c r="C1482" s="26"/>
      <c r="D1482" s="26"/>
      <c r="E1482" s="26"/>
      <c r="F1482" s="26"/>
      <c r="G1482" s="26"/>
      <c r="H1482" s="26"/>
      <c r="I1482" s="26"/>
      <c r="J1482" s="26"/>
    </row>
    <row r="1483" spans="1:10" s="13" customFormat="1">
      <c r="A1483" s="26"/>
      <c r="B1483" s="26"/>
      <c r="C1483" s="26"/>
      <c r="D1483" s="26"/>
      <c r="E1483" s="26"/>
      <c r="F1483" s="26"/>
      <c r="G1483" s="26"/>
      <c r="H1483" s="26"/>
      <c r="I1483" s="26"/>
      <c r="J1483" s="26"/>
    </row>
    <row r="1484" spans="1:10" s="13" customFormat="1">
      <c r="A1484" s="26"/>
      <c r="B1484" s="26"/>
      <c r="C1484" s="26"/>
      <c r="D1484" s="26"/>
      <c r="E1484" s="26"/>
      <c r="F1484" s="26"/>
      <c r="G1484" s="26"/>
      <c r="H1484" s="26"/>
      <c r="I1484" s="26"/>
      <c r="J1484" s="26"/>
    </row>
    <row r="1485" spans="1:10" s="13" customFormat="1">
      <c r="A1485" s="26"/>
      <c r="B1485" s="26"/>
      <c r="C1485" s="26"/>
      <c r="D1485" s="26"/>
      <c r="E1485" s="26"/>
      <c r="F1485" s="26"/>
      <c r="G1485" s="26"/>
      <c r="H1485" s="26"/>
      <c r="I1485" s="26"/>
      <c r="J1485" s="26"/>
    </row>
    <row r="1486" spans="1:10" s="13" customFormat="1">
      <c r="A1486" s="26"/>
      <c r="B1486" s="26"/>
      <c r="C1486" s="26"/>
      <c r="D1486" s="26"/>
      <c r="E1486" s="26"/>
      <c r="F1486" s="26"/>
      <c r="G1486" s="26"/>
      <c r="H1486" s="26"/>
      <c r="I1486" s="26"/>
      <c r="J1486" s="26"/>
    </row>
    <row r="1487" spans="1:10" s="13" customFormat="1">
      <c r="A1487" s="26"/>
      <c r="B1487" s="26"/>
      <c r="C1487" s="26"/>
      <c r="D1487" s="26"/>
      <c r="E1487" s="26"/>
      <c r="F1487" s="26"/>
      <c r="G1487" s="26"/>
      <c r="H1487" s="26"/>
      <c r="I1487" s="26"/>
      <c r="J1487" s="26"/>
    </row>
    <row r="1488" spans="1:10" s="13" customFormat="1">
      <c r="A1488" s="26"/>
      <c r="B1488" s="26"/>
      <c r="C1488" s="26"/>
      <c r="D1488" s="26"/>
      <c r="E1488" s="26"/>
      <c r="F1488" s="26"/>
      <c r="G1488" s="26"/>
      <c r="H1488" s="26"/>
      <c r="I1488" s="26"/>
      <c r="J1488" s="26"/>
    </row>
    <row r="1489" spans="1:10" s="13" customFormat="1">
      <c r="A1489" s="26"/>
      <c r="B1489" s="26"/>
      <c r="C1489" s="26"/>
      <c r="D1489" s="26"/>
      <c r="E1489" s="26"/>
      <c r="F1489" s="26"/>
      <c r="G1489" s="26"/>
      <c r="H1489" s="26"/>
      <c r="I1489" s="26"/>
      <c r="J1489" s="26"/>
    </row>
    <row r="1490" spans="1:10" s="13" customFormat="1">
      <c r="A1490" s="26"/>
      <c r="B1490" s="26"/>
      <c r="C1490" s="26"/>
      <c r="D1490" s="26"/>
      <c r="E1490" s="26"/>
      <c r="F1490" s="26"/>
      <c r="G1490" s="26"/>
      <c r="H1490" s="26"/>
      <c r="I1490" s="26"/>
      <c r="J1490" s="26"/>
    </row>
    <row r="1491" spans="1:10" s="13" customFormat="1">
      <c r="A1491" s="26"/>
      <c r="B1491" s="26"/>
      <c r="C1491" s="26"/>
      <c r="D1491" s="26"/>
      <c r="E1491" s="26"/>
      <c r="F1491" s="26"/>
      <c r="G1491" s="26"/>
      <c r="H1491" s="26"/>
      <c r="I1491" s="26"/>
      <c r="J1491" s="26"/>
    </row>
    <row r="1492" spans="1:10" s="13" customFormat="1">
      <c r="A1492" s="26"/>
      <c r="B1492" s="26"/>
      <c r="C1492" s="26"/>
      <c r="D1492" s="26"/>
      <c r="E1492" s="26"/>
      <c r="F1492" s="26"/>
      <c r="G1492" s="26"/>
      <c r="H1492" s="26"/>
      <c r="I1492" s="26"/>
      <c r="J1492" s="26"/>
    </row>
    <row r="1493" spans="1:10" s="13" customFormat="1">
      <c r="A1493" s="26"/>
      <c r="B1493" s="26"/>
      <c r="C1493" s="26"/>
      <c r="D1493" s="26"/>
      <c r="E1493" s="26"/>
      <c r="F1493" s="26"/>
      <c r="G1493" s="26"/>
      <c r="H1493" s="26"/>
      <c r="I1493" s="26"/>
      <c r="J1493" s="26"/>
    </row>
    <row r="1494" spans="1:10" s="13" customFormat="1">
      <c r="A1494" s="26"/>
      <c r="B1494" s="26"/>
      <c r="C1494" s="26"/>
      <c r="D1494" s="26"/>
      <c r="E1494" s="26"/>
      <c r="F1494" s="26"/>
      <c r="G1494" s="26"/>
      <c r="H1494" s="26"/>
      <c r="I1494" s="26"/>
      <c r="J1494" s="26"/>
    </row>
    <row r="1495" spans="1:10" s="13" customFormat="1">
      <c r="A1495" s="26"/>
      <c r="B1495" s="26"/>
      <c r="C1495" s="26"/>
      <c r="D1495" s="26"/>
      <c r="E1495" s="26"/>
      <c r="F1495" s="26"/>
      <c r="G1495" s="26"/>
      <c r="H1495" s="26"/>
      <c r="I1495" s="26"/>
      <c r="J1495" s="26"/>
    </row>
    <row r="1496" spans="1:10" s="13" customFormat="1">
      <c r="A1496" s="26"/>
      <c r="B1496" s="26"/>
      <c r="C1496" s="26"/>
      <c r="D1496" s="26"/>
      <c r="E1496" s="26"/>
      <c r="F1496" s="26"/>
      <c r="G1496" s="26"/>
      <c r="H1496" s="26"/>
      <c r="I1496" s="26"/>
      <c r="J1496" s="26"/>
    </row>
    <row r="1497" spans="1:10" s="13" customFormat="1">
      <c r="A1497" s="26"/>
      <c r="B1497" s="26"/>
      <c r="C1497" s="26"/>
      <c r="D1497" s="26"/>
      <c r="E1497" s="26"/>
      <c r="F1497" s="26"/>
      <c r="G1497" s="26"/>
      <c r="H1497" s="26"/>
      <c r="I1497" s="26"/>
      <c r="J1497" s="26"/>
    </row>
    <row r="1498" spans="1:10" s="13" customFormat="1">
      <c r="A1498" s="26"/>
      <c r="B1498" s="26"/>
      <c r="C1498" s="26"/>
      <c r="D1498" s="26"/>
      <c r="E1498" s="26"/>
      <c r="F1498" s="26"/>
      <c r="G1498" s="26"/>
      <c r="H1498" s="26"/>
      <c r="I1498" s="26"/>
      <c r="J1498" s="26"/>
    </row>
    <row r="1499" spans="1:10" s="13" customFormat="1">
      <c r="A1499" s="26"/>
      <c r="B1499" s="26"/>
      <c r="C1499" s="26"/>
      <c r="D1499" s="26"/>
      <c r="E1499" s="26"/>
      <c r="F1499" s="26"/>
      <c r="G1499" s="26"/>
      <c r="H1499" s="26"/>
      <c r="I1499" s="26"/>
      <c r="J1499" s="26"/>
    </row>
    <row r="1500" spans="1:10" s="13" customFormat="1">
      <c r="A1500" s="26"/>
      <c r="B1500" s="26"/>
      <c r="C1500" s="26"/>
      <c r="D1500" s="26"/>
      <c r="E1500" s="26"/>
      <c r="F1500" s="26"/>
      <c r="G1500" s="26"/>
      <c r="H1500" s="26"/>
      <c r="I1500" s="26"/>
      <c r="J1500" s="26"/>
    </row>
    <row r="1501" spans="1:10" s="13" customFormat="1">
      <c r="A1501" s="26"/>
      <c r="B1501" s="26"/>
      <c r="C1501" s="26"/>
      <c r="D1501" s="26"/>
      <c r="E1501" s="26"/>
      <c r="F1501" s="26"/>
      <c r="G1501" s="26"/>
      <c r="H1501" s="26"/>
      <c r="I1501" s="26"/>
      <c r="J1501" s="26"/>
    </row>
    <row r="1502" spans="1:10" s="13" customFormat="1">
      <c r="A1502" s="26"/>
      <c r="B1502" s="26"/>
      <c r="C1502" s="26"/>
      <c r="D1502" s="26"/>
      <c r="E1502" s="26"/>
      <c r="F1502" s="26"/>
      <c r="G1502" s="26"/>
      <c r="H1502" s="26"/>
      <c r="I1502" s="26"/>
      <c r="J1502" s="26"/>
    </row>
    <row r="1503" spans="1:10" s="13" customFormat="1">
      <c r="A1503" s="26"/>
      <c r="B1503" s="26"/>
      <c r="C1503" s="26"/>
      <c r="D1503" s="26"/>
      <c r="E1503" s="26"/>
      <c r="F1503" s="26"/>
      <c r="G1503" s="26"/>
      <c r="H1503" s="26"/>
      <c r="I1503" s="26"/>
      <c r="J1503" s="26"/>
    </row>
    <row r="1504" spans="1:10" s="13" customFormat="1">
      <c r="A1504" s="26"/>
      <c r="B1504" s="26"/>
      <c r="C1504" s="26"/>
      <c r="D1504" s="26"/>
      <c r="E1504" s="26"/>
      <c r="F1504" s="26"/>
      <c r="G1504" s="26"/>
      <c r="H1504" s="26"/>
      <c r="I1504" s="26"/>
      <c r="J1504" s="26"/>
    </row>
    <row r="1505" spans="1:10" s="13" customFormat="1">
      <c r="A1505" s="26"/>
      <c r="B1505" s="26"/>
      <c r="C1505" s="26"/>
      <c r="D1505" s="26"/>
      <c r="E1505" s="26"/>
      <c r="F1505" s="26"/>
      <c r="G1505" s="26"/>
      <c r="H1505" s="26"/>
      <c r="I1505" s="26"/>
      <c r="J1505" s="26"/>
    </row>
    <row r="1506" spans="1:10" s="13" customFormat="1">
      <c r="A1506" s="26"/>
      <c r="B1506" s="26"/>
      <c r="C1506" s="26"/>
      <c r="D1506" s="26"/>
      <c r="E1506" s="26"/>
      <c r="F1506" s="26"/>
      <c r="G1506" s="26"/>
      <c r="H1506" s="26"/>
      <c r="I1506" s="26"/>
      <c r="J1506" s="26"/>
    </row>
    <row r="1507" spans="1:10" s="13" customFormat="1">
      <c r="A1507" s="26"/>
      <c r="B1507" s="26"/>
      <c r="C1507" s="26"/>
      <c r="D1507" s="26"/>
      <c r="E1507" s="26"/>
      <c r="F1507" s="26"/>
      <c r="G1507" s="26"/>
      <c r="H1507" s="26"/>
      <c r="I1507" s="26"/>
      <c r="J1507" s="26"/>
    </row>
    <row r="1508" spans="1:10" s="13" customFormat="1">
      <c r="A1508" s="26"/>
      <c r="B1508" s="26"/>
      <c r="C1508" s="26"/>
      <c r="D1508" s="26"/>
      <c r="E1508" s="26"/>
      <c r="F1508" s="26"/>
      <c r="G1508" s="26"/>
      <c r="H1508" s="26"/>
      <c r="I1508" s="26"/>
      <c r="J1508" s="26"/>
    </row>
    <row r="1509" spans="1:10" s="13" customFormat="1">
      <c r="A1509" s="26"/>
      <c r="B1509" s="26"/>
      <c r="C1509" s="26"/>
      <c r="D1509" s="26"/>
      <c r="E1509" s="26"/>
      <c r="F1509" s="26"/>
      <c r="G1509" s="26"/>
      <c r="H1509" s="26"/>
      <c r="I1509" s="26"/>
      <c r="J1509" s="26"/>
    </row>
    <row r="1510" spans="1:10" s="13" customFormat="1">
      <c r="A1510" s="26"/>
      <c r="B1510" s="26"/>
      <c r="C1510" s="26"/>
      <c r="D1510" s="26"/>
      <c r="E1510" s="26"/>
      <c r="F1510" s="26"/>
      <c r="G1510" s="26"/>
      <c r="H1510" s="26"/>
      <c r="I1510" s="26"/>
      <c r="J1510" s="26"/>
    </row>
    <row r="1511" spans="1:10" s="13" customFormat="1">
      <c r="A1511" s="26"/>
      <c r="B1511" s="26"/>
      <c r="C1511" s="26"/>
      <c r="D1511" s="26"/>
      <c r="E1511" s="26"/>
      <c r="F1511" s="26"/>
      <c r="G1511" s="26"/>
      <c r="H1511" s="26"/>
      <c r="I1511" s="26"/>
      <c r="J1511" s="26"/>
    </row>
    <row r="1512" spans="1:10" s="13" customFormat="1">
      <c r="A1512" s="26"/>
      <c r="B1512" s="26"/>
      <c r="C1512" s="26"/>
      <c r="D1512" s="26"/>
      <c r="E1512" s="26"/>
      <c r="F1512" s="26"/>
      <c r="G1512" s="26"/>
      <c r="H1512" s="26"/>
      <c r="I1512" s="26"/>
      <c r="J1512" s="26"/>
    </row>
    <row r="1513" spans="1:10" s="13" customFormat="1">
      <c r="A1513" s="26"/>
      <c r="B1513" s="26"/>
      <c r="C1513" s="26"/>
      <c r="D1513" s="26"/>
      <c r="E1513" s="26"/>
      <c r="F1513" s="26"/>
      <c r="G1513" s="26"/>
      <c r="H1513" s="26"/>
      <c r="I1513" s="26"/>
      <c r="J1513" s="26"/>
    </row>
    <row r="1514" spans="1:10" s="13" customFormat="1">
      <c r="A1514" s="26"/>
      <c r="B1514" s="26"/>
      <c r="C1514" s="26"/>
      <c r="D1514" s="26"/>
      <c r="E1514" s="26"/>
      <c r="F1514" s="26"/>
      <c r="G1514" s="26"/>
      <c r="H1514" s="26"/>
      <c r="I1514" s="26"/>
      <c r="J1514" s="26"/>
    </row>
    <row r="1515" spans="1:10" s="13" customFormat="1">
      <c r="A1515" s="26"/>
      <c r="B1515" s="26"/>
      <c r="C1515" s="26"/>
      <c r="D1515" s="26"/>
      <c r="E1515" s="26"/>
      <c r="F1515" s="26"/>
      <c r="G1515" s="26"/>
      <c r="H1515" s="26"/>
      <c r="I1515" s="26"/>
      <c r="J1515" s="26"/>
    </row>
    <row r="1516" spans="1:10" s="13" customFormat="1">
      <c r="A1516" s="26"/>
      <c r="B1516" s="26"/>
      <c r="C1516" s="26"/>
      <c r="D1516" s="26"/>
      <c r="E1516" s="26"/>
      <c r="F1516" s="26"/>
      <c r="G1516" s="26"/>
      <c r="H1516" s="26"/>
      <c r="I1516" s="26"/>
      <c r="J1516" s="26"/>
    </row>
    <row r="1517" spans="1:10" s="13" customFormat="1">
      <c r="A1517" s="26"/>
      <c r="B1517" s="26"/>
      <c r="C1517" s="26"/>
      <c r="D1517" s="26"/>
      <c r="E1517" s="26"/>
      <c r="F1517" s="26"/>
      <c r="G1517" s="26"/>
      <c r="H1517" s="26"/>
      <c r="I1517" s="26"/>
      <c r="J1517" s="26"/>
    </row>
    <row r="1518" spans="1:10" s="13" customFormat="1">
      <c r="A1518" s="26"/>
      <c r="B1518" s="26"/>
      <c r="C1518" s="26"/>
      <c r="D1518" s="26"/>
      <c r="E1518" s="26"/>
      <c r="F1518" s="26"/>
      <c r="G1518" s="26"/>
      <c r="H1518" s="26"/>
      <c r="I1518" s="26"/>
      <c r="J1518" s="26"/>
    </row>
    <row r="1519" spans="1:10" s="13" customFormat="1">
      <c r="A1519" s="26"/>
      <c r="B1519" s="26"/>
      <c r="C1519" s="26"/>
      <c r="D1519" s="26"/>
      <c r="E1519" s="26"/>
      <c r="F1519" s="26"/>
      <c r="G1519" s="26"/>
      <c r="H1519" s="26"/>
      <c r="I1519" s="26"/>
      <c r="J1519" s="26"/>
    </row>
    <row r="1520" spans="1:10" s="13" customFormat="1">
      <c r="A1520" s="26"/>
      <c r="B1520" s="26"/>
      <c r="C1520" s="26"/>
      <c r="D1520" s="26"/>
      <c r="E1520" s="26"/>
      <c r="F1520" s="26"/>
      <c r="G1520" s="26"/>
      <c r="H1520" s="26"/>
      <c r="I1520" s="26"/>
      <c r="J1520" s="26"/>
    </row>
    <row r="1521" spans="1:10" s="13" customFormat="1">
      <c r="A1521" s="26"/>
      <c r="B1521" s="26"/>
      <c r="C1521" s="26"/>
      <c r="D1521" s="26"/>
      <c r="E1521" s="26"/>
      <c r="F1521" s="26"/>
      <c r="G1521" s="26"/>
      <c r="H1521" s="26"/>
      <c r="I1521" s="26"/>
      <c r="J1521" s="26"/>
    </row>
    <row r="1522" spans="1:10" s="13" customFormat="1">
      <c r="A1522" s="26"/>
      <c r="B1522" s="26"/>
      <c r="C1522" s="26"/>
      <c r="D1522" s="26"/>
      <c r="E1522" s="26"/>
      <c r="F1522" s="26"/>
      <c r="G1522" s="26"/>
      <c r="H1522" s="26"/>
      <c r="I1522" s="26"/>
      <c r="J1522" s="26"/>
    </row>
    <row r="1523" spans="1:10" s="13" customFormat="1">
      <c r="A1523" s="26"/>
      <c r="B1523" s="26"/>
      <c r="C1523" s="26"/>
      <c r="D1523" s="26"/>
      <c r="E1523" s="26"/>
      <c r="F1523" s="26"/>
      <c r="G1523" s="26"/>
      <c r="H1523" s="26"/>
      <c r="I1523" s="26"/>
      <c r="J1523" s="26"/>
    </row>
    <row r="1524" spans="1:10" s="13" customFormat="1">
      <c r="A1524" s="26"/>
      <c r="B1524" s="26"/>
      <c r="C1524" s="26"/>
      <c r="D1524" s="26"/>
      <c r="E1524" s="26"/>
      <c r="F1524" s="26"/>
      <c r="G1524" s="26"/>
      <c r="H1524" s="26"/>
      <c r="I1524" s="26"/>
      <c r="J1524" s="26"/>
    </row>
    <row r="1525" spans="1:10" s="13" customFormat="1">
      <c r="A1525" s="26"/>
      <c r="B1525" s="26"/>
      <c r="C1525" s="26"/>
      <c r="D1525" s="26"/>
      <c r="E1525" s="26"/>
      <c r="F1525" s="26"/>
      <c r="G1525" s="26"/>
      <c r="H1525" s="26"/>
      <c r="I1525" s="26"/>
      <c r="J1525" s="26"/>
    </row>
    <row r="1526" spans="1:10" s="13" customFormat="1">
      <c r="A1526" s="26"/>
      <c r="B1526" s="26"/>
      <c r="C1526" s="26"/>
      <c r="D1526" s="26"/>
      <c r="E1526" s="26"/>
      <c r="F1526" s="26"/>
      <c r="G1526" s="26"/>
      <c r="H1526" s="26"/>
      <c r="I1526" s="26"/>
      <c r="J1526" s="26"/>
    </row>
    <row r="1527" spans="1:10" s="13" customFormat="1">
      <c r="A1527" s="26"/>
      <c r="B1527" s="26"/>
      <c r="C1527" s="26"/>
      <c r="D1527" s="26"/>
      <c r="E1527" s="26"/>
      <c r="F1527" s="26"/>
      <c r="G1527" s="26"/>
      <c r="H1527" s="26"/>
      <c r="I1527" s="26"/>
      <c r="J1527" s="26"/>
    </row>
    <row r="1528" spans="1:10" s="13" customFormat="1">
      <c r="A1528" s="26"/>
      <c r="B1528" s="26"/>
      <c r="C1528" s="26"/>
      <c r="D1528" s="26"/>
      <c r="E1528" s="26"/>
      <c r="F1528" s="26"/>
      <c r="G1528" s="26"/>
      <c r="H1528" s="26"/>
      <c r="I1528" s="26"/>
      <c r="J1528" s="26"/>
    </row>
    <row r="1529" spans="1:10" s="13" customFormat="1">
      <c r="A1529" s="26"/>
      <c r="B1529" s="26"/>
      <c r="C1529" s="26"/>
      <c r="D1529" s="26"/>
      <c r="E1529" s="26"/>
      <c r="F1529" s="26"/>
      <c r="G1529" s="26"/>
      <c r="H1529" s="26"/>
      <c r="I1529" s="26"/>
      <c r="J1529" s="26"/>
    </row>
    <row r="1530" spans="1:10" s="13" customFormat="1">
      <c r="A1530" s="26"/>
      <c r="B1530" s="26"/>
      <c r="C1530" s="26"/>
      <c r="D1530" s="26"/>
      <c r="E1530" s="26"/>
      <c r="F1530" s="26"/>
      <c r="G1530" s="26"/>
      <c r="H1530" s="26"/>
      <c r="I1530" s="26"/>
      <c r="J1530" s="26"/>
    </row>
    <row r="1531" spans="1:10" s="13" customFormat="1">
      <c r="A1531" s="26"/>
      <c r="B1531" s="26"/>
      <c r="C1531" s="26"/>
      <c r="D1531" s="26"/>
      <c r="E1531" s="26"/>
      <c r="F1531" s="26"/>
      <c r="G1531" s="26"/>
      <c r="H1531" s="26"/>
      <c r="I1531" s="26"/>
      <c r="J1531" s="26"/>
    </row>
    <row r="1532" spans="1:10" s="13" customFormat="1">
      <c r="A1532" s="26"/>
      <c r="B1532" s="26"/>
      <c r="C1532" s="26"/>
      <c r="D1532" s="26"/>
      <c r="E1532" s="26"/>
      <c r="F1532" s="26"/>
      <c r="G1532" s="26"/>
      <c r="H1532" s="26"/>
      <c r="I1532" s="26"/>
      <c r="J1532" s="26"/>
    </row>
    <row r="1533" spans="1:10" s="13" customFormat="1">
      <c r="A1533" s="26"/>
      <c r="B1533" s="26"/>
      <c r="C1533" s="26"/>
      <c r="D1533" s="26"/>
      <c r="E1533" s="26"/>
      <c r="F1533" s="26"/>
      <c r="G1533" s="26"/>
      <c r="H1533" s="26"/>
      <c r="I1533" s="26"/>
      <c r="J1533" s="26"/>
    </row>
    <row r="1534" spans="1:10" s="13" customFormat="1">
      <c r="A1534" s="26"/>
      <c r="B1534" s="26"/>
      <c r="C1534" s="26"/>
      <c r="D1534" s="26"/>
      <c r="E1534" s="26"/>
      <c r="F1534" s="26"/>
      <c r="G1534" s="26"/>
      <c r="H1534" s="26"/>
      <c r="I1534" s="26"/>
      <c r="J1534" s="26"/>
    </row>
    <row r="1535" spans="1:10" s="13" customFormat="1">
      <c r="A1535" s="26"/>
      <c r="B1535" s="26"/>
      <c r="C1535" s="26"/>
      <c r="D1535" s="26"/>
      <c r="E1535" s="26"/>
      <c r="F1535" s="26"/>
      <c r="G1535" s="26"/>
      <c r="H1535" s="26"/>
      <c r="I1535" s="26"/>
      <c r="J1535" s="26"/>
    </row>
    <row r="1536" spans="1:10" s="13" customFormat="1">
      <c r="A1536" s="26"/>
      <c r="B1536" s="26"/>
      <c r="C1536" s="26"/>
      <c r="D1536" s="26"/>
      <c r="E1536" s="26"/>
      <c r="F1536" s="26"/>
      <c r="G1536" s="26"/>
      <c r="H1536" s="26"/>
      <c r="I1536" s="26"/>
      <c r="J1536" s="26"/>
    </row>
    <row r="1537" spans="1:10" s="13" customFormat="1">
      <c r="A1537" s="26"/>
      <c r="B1537" s="26"/>
      <c r="C1537" s="26"/>
      <c r="D1537" s="26"/>
      <c r="E1537" s="26"/>
      <c r="F1537" s="26"/>
      <c r="G1537" s="26"/>
      <c r="H1537" s="26"/>
      <c r="I1537" s="26"/>
      <c r="J1537" s="26"/>
    </row>
    <row r="1538" spans="1:10" s="13" customFormat="1">
      <c r="A1538" s="26"/>
      <c r="B1538" s="26"/>
      <c r="C1538" s="26"/>
      <c r="D1538" s="26"/>
      <c r="E1538" s="26"/>
      <c r="F1538" s="26"/>
      <c r="G1538" s="26"/>
      <c r="H1538" s="26"/>
      <c r="I1538" s="26"/>
      <c r="J1538" s="26"/>
    </row>
    <row r="1539" spans="1:10" s="13" customFormat="1">
      <c r="A1539" s="26"/>
      <c r="B1539" s="26"/>
      <c r="C1539" s="26"/>
      <c r="D1539" s="26"/>
      <c r="E1539" s="26"/>
      <c r="F1539" s="26"/>
      <c r="G1539" s="26"/>
      <c r="H1539" s="26"/>
      <c r="I1539" s="26"/>
      <c r="J1539" s="26"/>
    </row>
    <row r="1540" spans="1:10" s="13" customFormat="1">
      <c r="A1540" s="26"/>
      <c r="B1540" s="26"/>
      <c r="C1540" s="26"/>
      <c r="D1540" s="26"/>
      <c r="E1540" s="26"/>
      <c r="F1540" s="26"/>
      <c r="G1540" s="26"/>
      <c r="H1540" s="26"/>
      <c r="I1540" s="26"/>
      <c r="J1540" s="26"/>
    </row>
    <row r="1541" spans="1:10" s="13" customFormat="1">
      <c r="A1541" s="26"/>
      <c r="B1541" s="26"/>
      <c r="C1541" s="26"/>
      <c r="D1541" s="26"/>
      <c r="E1541" s="26"/>
      <c r="F1541" s="26"/>
      <c r="G1541" s="26"/>
      <c r="H1541" s="26"/>
      <c r="I1541" s="26"/>
      <c r="J1541" s="26"/>
    </row>
    <row r="1542" spans="1:10" s="13" customFormat="1">
      <c r="A1542" s="26"/>
      <c r="B1542" s="26"/>
      <c r="C1542" s="26"/>
      <c r="D1542" s="26"/>
      <c r="E1542" s="26"/>
      <c r="F1542" s="26"/>
      <c r="G1542" s="26"/>
      <c r="H1542" s="26"/>
      <c r="I1542" s="26"/>
      <c r="J1542" s="26"/>
    </row>
    <row r="1543" spans="1:10" s="13" customFormat="1">
      <c r="A1543" s="26"/>
      <c r="B1543" s="26"/>
      <c r="C1543" s="26"/>
      <c r="D1543" s="26"/>
      <c r="E1543" s="26"/>
      <c r="F1543" s="26"/>
      <c r="G1543" s="26"/>
      <c r="H1543" s="26"/>
      <c r="I1543" s="26"/>
      <c r="J1543" s="26"/>
    </row>
    <row r="1544" spans="1:10" s="13" customFormat="1">
      <c r="A1544" s="26"/>
      <c r="B1544" s="26"/>
      <c r="C1544" s="26"/>
      <c r="D1544" s="26"/>
      <c r="E1544" s="26"/>
      <c r="F1544" s="26"/>
      <c r="G1544" s="26"/>
      <c r="H1544" s="26"/>
      <c r="I1544" s="26"/>
      <c r="J1544" s="26"/>
    </row>
    <row r="1545" spans="1:10" s="13" customFormat="1">
      <c r="A1545" s="26"/>
      <c r="B1545" s="26"/>
      <c r="C1545" s="26"/>
      <c r="D1545" s="26"/>
      <c r="E1545" s="26"/>
      <c r="F1545" s="26"/>
      <c r="G1545" s="26"/>
      <c r="H1545" s="26"/>
      <c r="I1545" s="26"/>
      <c r="J1545" s="26"/>
    </row>
    <row r="1546" spans="1:10" s="13" customFormat="1">
      <c r="A1546" s="26"/>
      <c r="B1546" s="26"/>
      <c r="C1546" s="26"/>
      <c r="D1546" s="26"/>
      <c r="E1546" s="26"/>
      <c r="F1546" s="26"/>
      <c r="G1546" s="26"/>
      <c r="H1546" s="26"/>
      <c r="I1546" s="26"/>
      <c r="J1546" s="26"/>
    </row>
    <row r="1547" spans="1:10" s="13" customFormat="1">
      <c r="A1547" s="26"/>
      <c r="B1547" s="26"/>
      <c r="C1547" s="26"/>
      <c r="D1547" s="26"/>
      <c r="E1547" s="26"/>
      <c r="F1547" s="26"/>
      <c r="G1547" s="26"/>
      <c r="H1547" s="26"/>
      <c r="I1547" s="26"/>
      <c r="J1547" s="26"/>
    </row>
    <row r="1548" spans="1:10" s="13" customFormat="1">
      <c r="A1548" s="26"/>
      <c r="B1548" s="26"/>
      <c r="C1548" s="26"/>
      <c r="D1548" s="26"/>
      <c r="E1548" s="26"/>
      <c r="F1548" s="26"/>
      <c r="G1548" s="26"/>
      <c r="H1548" s="26"/>
      <c r="I1548" s="26"/>
      <c r="J1548" s="26"/>
    </row>
    <row r="1549" spans="1:10" s="13" customFormat="1">
      <c r="A1549" s="26"/>
      <c r="B1549" s="26"/>
      <c r="C1549" s="26"/>
      <c r="D1549" s="26"/>
      <c r="E1549" s="26"/>
      <c r="F1549" s="26"/>
      <c r="G1549" s="26"/>
      <c r="H1549" s="26"/>
      <c r="I1549" s="26"/>
      <c r="J1549" s="26"/>
    </row>
    <row r="1550" spans="1:10" s="13" customFormat="1">
      <c r="A1550" s="26"/>
      <c r="B1550" s="26"/>
      <c r="C1550" s="26"/>
      <c r="D1550" s="26"/>
      <c r="E1550" s="26"/>
      <c r="F1550" s="26"/>
      <c r="G1550" s="26"/>
      <c r="H1550" s="26"/>
      <c r="I1550" s="26"/>
      <c r="J1550" s="26"/>
    </row>
    <row r="1551" spans="1:10" s="13" customFormat="1">
      <c r="A1551" s="26"/>
      <c r="B1551" s="26"/>
      <c r="C1551" s="26"/>
      <c r="D1551" s="26"/>
      <c r="E1551" s="26"/>
      <c r="F1551" s="26"/>
      <c r="G1551" s="26"/>
      <c r="H1551" s="26"/>
      <c r="I1551" s="26"/>
      <c r="J1551" s="26"/>
    </row>
    <row r="1552" spans="1:10" s="13" customFormat="1">
      <c r="A1552" s="26"/>
      <c r="B1552" s="26"/>
      <c r="C1552" s="26"/>
      <c r="D1552" s="26"/>
      <c r="E1552" s="26"/>
      <c r="F1552" s="26"/>
      <c r="G1552" s="26"/>
      <c r="H1552" s="26"/>
      <c r="I1552" s="26"/>
      <c r="J1552" s="26"/>
    </row>
    <row r="1553" spans="1:10" s="13" customFormat="1">
      <c r="A1553" s="26"/>
      <c r="B1553" s="26"/>
      <c r="C1553" s="26"/>
      <c r="D1553" s="26"/>
      <c r="E1553" s="26"/>
      <c r="F1553" s="26"/>
      <c r="G1553" s="26"/>
      <c r="H1553" s="26"/>
      <c r="I1553" s="26"/>
      <c r="J1553" s="26"/>
    </row>
    <row r="1554" spans="1:10" s="13" customFormat="1">
      <c r="A1554" s="26"/>
      <c r="B1554" s="26"/>
      <c r="C1554" s="26"/>
      <c r="D1554" s="26"/>
      <c r="E1554" s="26"/>
      <c r="F1554" s="26"/>
      <c r="G1554" s="26"/>
      <c r="H1554" s="26"/>
      <c r="I1554" s="26"/>
      <c r="J1554" s="26"/>
    </row>
    <row r="1555" spans="1:10" s="13" customFormat="1">
      <c r="A1555" s="26"/>
      <c r="B1555" s="26"/>
      <c r="C1555" s="26"/>
      <c r="D1555" s="26"/>
      <c r="E1555" s="26"/>
      <c r="F1555" s="26"/>
      <c r="G1555" s="26"/>
      <c r="H1555" s="26"/>
      <c r="I1555" s="26"/>
      <c r="J1555" s="26"/>
    </row>
    <row r="1556" spans="1:10" s="13" customFormat="1">
      <c r="A1556" s="26"/>
      <c r="B1556" s="26"/>
      <c r="C1556" s="26"/>
      <c r="D1556" s="26"/>
      <c r="E1556" s="26"/>
      <c r="F1556" s="26"/>
      <c r="G1556" s="26"/>
      <c r="H1556" s="26"/>
      <c r="I1556" s="26"/>
      <c r="J1556" s="26"/>
    </row>
    <row r="1557" spans="1:10" s="13" customFormat="1">
      <c r="A1557" s="26"/>
      <c r="B1557" s="26"/>
      <c r="C1557" s="26"/>
      <c r="D1557" s="26"/>
      <c r="E1557" s="26"/>
      <c r="F1557" s="26"/>
      <c r="G1557" s="26"/>
      <c r="H1557" s="26"/>
      <c r="I1557" s="26"/>
      <c r="J1557" s="26"/>
    </row>
    <row r="1558" spans="1:10" s="13" customFormat="1">
      <c r="A1558" s="26"/>
      <c r="B1558" s="26"/>
      <c r="C1558" s="26"/>
      <c r="D1558" s="26"/>
      <c r="E1558" s="26"/>
      <c r="F1558" s="26"/>
      <c r="G1558" s="26"/>
      <c r="H1558" s="26"/>
      <c r="I1558" s="26"/>
      <c r="J1558" s="26"/>
    </row>
    <row r="1559" spans="1:10" s="13" customFormat="1">
      <c r="A1559" s="26"/>
      <c r="B1559" s="26"/>
      <c r="C1559" s="26"/>
      <c r="D1559" s="26"/>
      <c r="E1559" s="26"/>
      <c r="F1559" s="26"/>
      <c r="G1559" s="26"/>
      <c r="H1559" s="26"/>
      <c r="I1559" s="26"/>
      <c r="J1559" s="26"/>
    </row>
    <row r="1560" spans="1:10" s="13" customFormat="1">
      <c r="A1560" s="26"/>
      <c r="B1560" s="26"/>
      <c r="C1560" s="26"/>
      <c r="D1560" s="26"/>
      <c r="E1560" s="26"/>
      <c r="F1560" s="26"/>
      <c r="G1560" s="26"/>
      <c r="H1560" s="26"/>
      <c r="I1560" s="26"/>
      <c r="J1560" s="26"/>
    </row>
    <row r="1561" spans="1:10" s="13" customFormat="1">
      <c r="A1561" s="26"/>
      <c r="B1561" s="26"/>
      <c r="C1561" s="26"/>
      <c r="D1561" s="26"/>
      <c r="E1561" s="26"/>
      <c r="F1561" s="26"/>
      <c r="G1561" s="26"/>
      <c r="H1561" s="26"/>
      <c r="I1561" s="26"/>
      <c r="J1561" s="26"/>
    </row>
    <row r="1562" spans="1:10" s="13" customFormat="1">
      <c r="A1562" s="26"/>
      <c r="B1562" s="26"/>
      <c r="C1562" s="26"/>
      <c r="D1562" s="26"/>
      <c r="E1562" s="26"/>
      <c r="F1562" s="26"/>
      <c r="G1562" s="26"/>
      <c r="H1562" s="26"/>
      <c r="I1562" s="26"/>
      <c r="J1562" s="26"/>
    </row>
    <row r="1563" spans="1:10" s="13" customFormat="1">
      <c r="A1563" s="26"/>
      <c r="B1563" s="26"/>
      <c r="C1563" s="26"/>
      <c r="D1563" s="26"/>
      <c r="E1563" s="26"/>
      <c r="F1563" s="26"/>
      <c r="G1563" s="26"/>
      <c r="H1563" s="26"/>
      <c r="I1563" s="26"/>
      <c r="J1563" s="26"/>
    </row>
    <row r="1564" spans="1:10" s="13" customFormat="1">
      <c r="A1564" s="26"/>
      <c r="B1564" s="26"/>
      <c r="C1564" s="26"/>
      <c r="D1564" s="26"/>
      <c r="E1564" s="26"/>
      <c r="F1564" s="26"/>
      <c r="G1564" s="26"/>
      <c r="H1564" s="26"/>
      <c r="I1564" s="26"/>
      <c r="J1564" s="26"/>
    </row>
    <row r="1565" spans="1:10" s="13" customFormat="1">
      <c r="A1565" s="26"/>
      <c r="B1565" s="26"/>
      <c r="C1565" s="26"/>
      <c r="D1565" s="26"/>
      <c r="E1565" s="26"/>
      <c r="F1565" s="26"/>
      <c r="G1565" s="26"/>
      <c r="H1565" s="26"/>
      <c r="I1565" s="26"/>
      <c r="J1565" s="26"/>
    </row>
    <row r="1566" spans="1:10" s="13" customFormat="1">
      <c r="A1566" s="26"/>
      <c r="B1566" s="26"/>
      <c r="C1566" s="26"/>
      <c r="D1566" s="26"/>
      <c r="E1566" s="26"/>
      <c r="F1566" s="26"/>
      <c r="G1566" s="26"/>
      <c r="H1566" s="26"/>
      <c r="I1566" s="26"/>
      <c r="J1566" s="26"/>
    </row>
    <row r="1567" spans="1:10" s="13" customFormat="1">
      <c r="A1567" s="26"/>
      <c r="B1567" s="26"/>
      <c r="C1567" s="26"/>
      <c r="D1567" s="26"/>
      <c r="E1567" s="26"/>
      <c r="F1567" s="26"/>
      <c r="G1567" s="26"/>
      <c r="H1567" s="26"/>
      <c r="I1567" s="26"/>
      <c r="J1567" s="26"/>
    </row>
    <row r="1568" spans="1:10" s="13" customFormat="1">
      <c r="A1568" s="26"/>
      <c r="B1568" s="26"/>
      <c r="C1568" s="26"/>
      <c r="D1568" s="26"/>
      <c r="E1568" s="26"/>
      <c r="F1568" s="26"/>
      <c r="G1568" s="26"/>
      <c r="H1568" s="26"/>
      <c r="I1568" s="26"/>
      <c r="J1568" s="26"/>
    </row>
    <row r="1569" spans="1:10" s="13" customFormat="1">
      <c r="A1569" s="26"/>
      <c r="B1569" s="26"/>
      <c r="C1569" s="26"/>
      <c r="D1569" s="26"/>
      <c r="E1569" s="26"/>
      <c r="F1569" s="26"/>
      <c r="G1569" s="26"/>
      <c r="H1569" s="26"/>
      <c r="I1569" s="26"/>
      <c r="J1569" s="26"/>
    </row>
    <row r="1570" spans="1:10" s="13" customFormat="1">
      <c r="A1570" s="26"/>
      <c r="B1570" s="26"/>
      <c r="C1570" s="26"/>
      <c r="D1570" s="26"/>
      <c r="E1570" s="26"/>
      <c r="F1570" s="26"/>
      <c r="G1570" s="26"/>
      <c r="H1570" s="26"/>
      <c r="I1570" s="26"/>
      <c r="J1570" s="26"/>
    </row>
    <row r="1571" spans="1:10" s="13" customFormat="1">
      <c r="A1571" s="26"/>
      <c r="B1571" s="26"/>
      <c r="C1571" s="26"/>
      <c r="D1571" s="26"/>
      <c r="E1571" s="26"/>
      <c r="F1571" s="26"/>
      <c r="G1571" s="26"/>
      <c r="H1571" s="26"/>
      <c r="I1571" s="26"/>
      <c r="J1571" s="26"/>
    </row>
    <row r="1572" spans="1:10" s="13" customFormat="1">
      <c r="A1572" s="26"/>
      <c r="B1572" s="26"/>
      <c r="C1572" s="26"/>
      <c r="D1572" s="26"/>
      <c r="E1572" s="26"/>
      <c r="F1572" s="26"/>
      <c r="G1572" s="26"/>
      <c r="H1572" s="26"/>
      <c r="I1572" s="26"/>
      <c r="J1572" s="26"/>
    </row>
    <row r="1573" spans="1:10" s="13" customFormat="1">
      <c r="A1573" s="26"/>
      <c r="B1573" s="26"/>
      <c r="C1573" s="26"/>
      <c r="D1573" s="26"/>
      <c r="E1573" s="26"/>
      <c r="F1573" s="26"/>
      <c r="G1573" s="26"/>
      <c r="H1573" s="26"/>
      <c r="I1573" s="26"/>
      <c r="J1573" s="26"/>
    </row>
    <row r="1574" spans="1:10" s="13" customFormat="1">
      <c r="A1574" s="26"/>
      <c r="B1574" s="26"/>
      <c r="C1574" s="26"/>
      <c r="D1574" s="26"/>
      <c r="E1574" s="26"/>
      <c r="F1574" s="26"/>
      <c r="G1574" s="26"/>
      <c r="H1574" s="26"/>
      <c r="I1574" s="26"/>
      <c r="J1574" s="26"/>
    </row>
    <row r="1575" spans="1:10" s="13" customFormat="1">
      <c r="A1575" s="26"/>
      <c r="B1575" s="26"/>
      <c r="C1575" s="26"/>
      <c r="D1575" s="26"/>
      <c r="E1575" s="26"/>
      <c r="F1575" s="26"/>
      <c r="G1575" s="26"/>
      <c r="H1575" s="26"/>
      <c r="I1575" s="26"/>
      <c r="J1575" s="26"/>
    </row>
    <row r="1576" spans="1:10" s="13" customFormat="1">
      <c r="A1576" s="26"/>
      <c r="B1576" s="26"/>
      <c r="C1576" s="26"/>
      <c r="D1576" s="26"/>
      <c r="E1576" s="26"/>
      <c r="F1576" s="26"/>
      <c r="G1576" s="26"/>
      <c r="H1576" s="26"/>
      <c r="I1576" s="26"/>
      <c r="J1576" s="26"/>
    </row>
    <row r="1577" spans="1:10" s="13" customFormat="1">
      <c r="A1577" s="26"/>
      <c r="B1577" s="26"/>
      <c r="C1577" s="26"/>
      <c r="D1577" s="26"/>
      <c r="E1577" s="26"/>
      <c r="F1577" s="26"/>
      <c r="G1577" s="26"/>
      <c r="H1577" s="26"/>
      <c r="I1577" s="26"/>
      <c r="J1577" s="26"/>
    </row>
    <row r="1578" spans="1:10" s="13" customFormat="1">
      <c r="A1578" s="26"/>
      <c r="B1578" s="26"/>
      <c r="C1578" s="26"/>
      <c r="D1578" s="26"/>
      <c r="E1578" s="26"/>
      <c r="F1578" s="26"/>
      <c r="G1578" s="26"/>
      <c r="H1578" s="26"/>
      <c r="I1578" s="26"/>
      <c r="J1578" s="26"/>
    </row>
    <row r="1579" spans="1:10" s="13" customFormat="1">
      <c r="A1579" s="26"/>
      <c r="B1579" s="26"/>
      <c r="C1579" s="26"/>
      <c r="D1579" s="26"/>
      <c r="E1579" s="26"/>
      <c r="F1579" s="26"/>
      <c r="G1579" s="26"/>
      <c r="H1579" s="26"/>
      <c r="I1579" s="26"/>
      <c r="J1579" s="26"/>
    </row>
    <row r="1580" spans="1:10" s="13" customFormat="1">
      <c r="A1580" s="26"/>
      <c r="B1580" s="26"/>
      <c r="C1580" s="26"/>
      <c r="D1580" s="26"/>
      <c r="E1580" s="26"/>
      <c r="F1580" s="26"/>
      <c r="G1580" s="26"/>
      <c r="H1580" s="26"/>
      <c r="I1580" s="26"/>
      <c r="J1580" s="26"/>
    </row>
    <row r="1581" spans="1:10" s="13" customFormat="1">
      <c r="A1581" s="26"/>
      <c r="B1581" s="26"/>
      <c r="C1581" s="26"/>
      <c r="D1581" s="26"/>
      <c r="E1581" s="26"/>
      <c r="F1581" s="26"/>
      <c r="G1581" s="26"/>
      <c r="H1581" s="26"/>
      <c r="I1581" s="26"/>
      <c r="J1581" s="26"/>
    </row>
    <row r="1582" spans="1:10" s="13" customFormat="1">
      <c r="A1582" s="26"/>
      <c r="B1582" s="26"/>
      <c r="C1582" s="26"/>
      <c r="D1582" s="26"/>
      <c r="E1582" s="26"/>
      <c r="F1582" s="26"/>
      <c r="G1582" s="26"/>
      <c r="H1582" s="26"/>
      <c r="I1582" s="26"/>
      <c r="J1582" s="26"/>
    </row>
    <row r="1583" spans="1:10" s="13" customFormat="1">
      <c r="A1583" s="26"/>
      <c r="B1583" s="26"/>
      <c r="C1583" s="26"/>
      <c r="D1583" s="26"/>
      <c r="E1583" s="26"/>
      <c r="F1583" s="26"/>
      <c r="G1583" s="26"/>
      <c r="H1583" s="26"/>
      <c r="I1583" s="26"/>
      <c r="J1583" s="26"/>
    </row>
    <row r="1584" spans="1:10" s="13" customFormat="1">
      <c r="A1584" s="26"/>
      <c r="B1584" s="26"/>
      <c r="C1584" s="26"/>
      <c r="D1584" s="26"/>
      <c r="E1584" s="26"/>
      <c r="F1584" s="26"/>
      <c r="G1584" s="26"/>
      <c r="H1584" s="26"/>
      <c r="I1584" s="26"/>
      <c r="J1584" s="26"/>
    </row>
    <row r="1585" spans="1:10" s="13" customFormat="1">
      <c r="A1585" s="26"/>
      <c r="B1585" s="26"/>
      <c r="C1585" s="26"/>
      <c r="D1585" s="26"/>
      <c r="E1585" s="26"/>
      <c r="F1585" s="26"/>
      <c r="G1585" s="26"/>
      <c r="H1585" s="26"/>
      <c r="I1585" s="26"/>
      <c r="J1585" s="26"/>
    </row>
    <row r="1586" spans="1:10" s="13" customFormat="1">
      <c r="A1586" s="26"/>
      <c r="B1586" s="26"/>
      <c r="C1586" s="26"/>
      <c r="D1586" s="26"/>
      <c r="E1586" s="26"/>
      <c r="F1586" s="26"/>
      <c r="G1586" s="26"/>
      <c r="H1586" s="26"/>
      <c r="I1586" s="26"/>
      <c r="J1586" s="26"/>
    </row>
    <row r="1587" spans="1:10" s="13" customFormat="1">
      <c r="A1587" s="26"/>
      <c r="B1587" s="26"/>
      <c r="C1587" s="26"/>
      <c r="D1587" s="26"/>
      <c r="E1587" s="26"/>
      <c r="F1587" s="26"/>
      <c r="G1587" s="26"/>
      <c r="H1587" s="26"/>
      <c r="I1587" s="26"/>
      <c r="J1587" s="26"/>
    </row>
    <row r="1588" spans="1:10" s="13" customFormat="1">
      <c r="A1588" s="26"/>
      <c r="B1588" s="26"/>
      <c r="C1588" s="26"/>
      <c r="D1588" s="26"/>
      <c r="E1588" s="26"/>
      <c r="F1588" s="26"/>
      <c r="G1588" s="26"/>
      <c r="H1588" s="26"/>
      <c r="I1588" s="26"/>
      <c r="J1588" s="26"/>
    </row>
    <row r="1589" spans="1:10" s="13" customFormat="1">
      <c r="A1589" s="26"/>
      <c r="B1589" s="26"/>
      <c r="C1589" s="26"/>
      <c r="D1589" s="26"/>
      <c r="E1589" s="26"/>
      <c r="F1589" s="26"/>
      <c r="G1589" s="26"/>
      <c r="H1589" s="26"/>
      <c r="I1589" s="26"/>
      <c r="J1589" s="26"/>
    </row>
    <row r="1590" spans="1:10" s="13" customFormat="1">
      <c r="A1590" s="26"/>
      <c r="B1590" s="26"/>
      <c r="C1590" s="26"/>
      <c r="D1590" s="26"/>
      <c r="E1590" s="26"/>
      <c r="F1590" s="26"/>
      <c r="G1590" s="26"/>
      <c r="H1590" s="26"/>
      <c r="I1590" s="26"/>
      <c r="J1590" s="26"/>
    </row>
    <row r="1591" spans="1:10" s="13" customFormat="1">
      <c r="A1591" s="26"/>
      <c r="B1591" s="26"/>
      <c r="C1591" s="26"/>
      <c r="D1591" s="26"/>
      <c r="E1591" s="26"/>
      <c r="F1591" s="26"/>
      <c r="G1591" s="26"/>
      <c r="H1591" s="26"/>
      <c r="I1591" s="26"/>
      <c r="J1591" s="26"/>
    </row>
    <row r="1592" spans="1:10" s="13" customFormat="1">
      <c r="A1592" s="26"/>
      <c r="B1592" s="26"/>
      <c r="C1592" s="26"/>
      <c r="D1592" s="26"/>
      <c r="E1592" s="26"/>
      <c r="F1592" s="26"/>
      <c r="G1592" s="26"/>
      <c r="H1592" s="26"/>
      <c r="I1592" s="26"/>
      <c r="J1592" s="26"/>
    </row>
    <row r="1593" spans="1:10" s="13" customFormat="1">
      <c r="A1593" s="26"/>
      <c r="B1593" s="26"/>
      <c r="C1593" s="26"/>
      <c r="D1593" s="26"/>
      <c r="E1593" s="26"/>
      <c r="F1593" s="26"/>
      <c r="G1593" s="26"/>
      <c r="H1593" s="26"/>
      <c r="I1593" s="26"/>
      <c r="J1593" s="26"/>
    </row>
    <row r="1594" spans="1:10" s="13" customFormat="1">
      <c r="A1594" s="26"/>
      <c r="B1594" s="26"/>
      <c r="C1594" s="26"/>
      <c r="D1594" s="26"/>
      <c r="E1594" s="26"/>
      <c r="F1594" s="26"/>
      <c r="G1594" s="26"/>
      <c r="H1594" s="26"/>
      <c r="I1594" s="26"/>
      <c r="J1594" s="26"/>
    </row>
    <row r="1595" spans="1:10" s="13" customFormat="1">
      <c r="A1595" s="26"/>
      <c r="B1595" s="26"/>
      <c r="C1595" s="26"/>
      <c r="D1595" s="26"/>
      <c r="E1595" s="26"/>
      <c r="F1595" s="26"/>
      <c r="G1595" s="26"/>
      <c r="H1595" s="26"/>
      <c r="I1595" s="26"/>
      <c r="J1595" s="26"/>
    </row>
    <row r="1596" spans="1:10" s="13" customFormat="1">
      <c r="A1596" s="26"/>
      <c r="B1596" s="26"/>
      <c r="C1596" s="26"/>
      <c r="D1596" s="26"/>
      <c r="E1596" s="26"/>
      <c r="F1596" s="26"/>
      <c r="G1596" s="26"/>
      <c r="H1596" s="26"/>
      <c r="I1596" s="26"/>
      <c r="J1596" s="26"/>
    </row>
    <row r="1597" spans="1:10" s="13" customFormat="1">
      <c r="A1597" s="26"/>
      <c r="B1597" s="26"/>
      <c r="C1597" s="26"/>
      <c r="D1597" s="26"/>
      <c r="E1597" s="26"/>
      <c r="F1597" s="26"/>
      <c r="G1597" s="26"/>
      <c r="H1597" s="26"/>
      <c r="I1597" s="26"/>
      <c r="J1597" s="26"/>
    </row>
    <row r="1598" spans="1:10" s="13" customFormat="1">
      <c r="A1598" s="26"/>
      <c r="B1598" s="26"/>
      <c r="C1598" s="26"/>
      <c r="D1598" s="26"/>
      <c r="E1598" s="26"/>
      <c r="F1598" s="26"/>
      <c r="G1598" s="26"/>
      <c r="H1598" s="26"/>
      <c r="I1598" s="26"/>
      <c r="J1598" s="26"/>
    </row>
    <row r="1599" spans="1:10" s="13" customFormat="1">
      <c r="A1599" s="26"/>
      <c r="B1599" s="26"/>
      <c r="C1599" s="26"/>
      <c r="D1599" s="26"/>
      <c r="E1599" s="26"/>
      <c r="F1599" s="26"/>
      <c r="G1599" s="26"/>
      <c r="H1599" s="26"/>
      <c r="I1599" s="26"/>
      <c r="J1599" s="26"/>
    </row>
    <row r="1600" spans="1:10" s="13" customFormat="1">
      <c r="A1600" s="26"/>
      <c r="B1600" s="26"/>
      <c r="C1600" s="26"/>
      <c r="D1600" s="26"/>
      <c r="E1600" s="26"/>
      <c r="F1600" s="26"/>
      <c r="G1600" s="26"/>
      <c r="H1600" s="26"/>
      <c r="I1600" s="26"/>
      <c r="J1600" s="26"/>
    </row>
    <row r="1601" spans="1:10" s="13" customFormat="1">
      <c r="A1601" s="26"/>
      <c r="B1601" s="26"/>
      <c r="C1601" s="26"/>
      <c r="D1601" s="26"/>
      <c r="E1601" s="26"/>
      <c r="F1601" s="26"/>
      <c r="G1601" s="26"/>
      <c r="H1601" s="26"/>
      <c r="I1601" s="26"/>
      <c r="J1601" s="26"/>
    </row>
    <row r="1602" spans="1:10" s="13" customFormat="1">
      <c r="A1602" s="26"/>
      <c r="B1602" s="26"/>
      <c r="C1602" s="26"/>
      <c r="D1602" s="26"/>
      <c r="E1602" s="26"/>
      <c r="F1602" s="26"/>
      <c r="G1602" s="26"/>
      <c r="H1602" s="26"/>
      <c r="I1602" s="26"/>
      <c r="J1602" s="26"/>
    </row>
    <row r="1603" spans="1:10" s="13" customFormat="1">
      <c r="A1603" s="26"/>
      <c r="B1603" s="26"/>
      <c r="C1603" s="26"/>
      <c r="D1603" s="26"/>
      <c r="E1603" s="26"/>
      <c r="F1603" s="26"/>
      <c r="G1603" s="26"/>
      <c r="H1603" s="26"/>
      <c r="I1603" s="26"/>
      <c r="J1603" s="26"/>
    </row>
    <row r="1604" spans="1:10" s="13" customFormat="1">
      <c r="A1604" s="26"/>
      <c r="B1604" s="26"/>
      <c r="C1604" s="26"/>
      <c r="D1604" s="26"/>
      <c r="E1604" s="26"/>
      <c r="F1604" s="26"/>
      <c r="G1604" s="26"/>
      <c r="H1604" s="26"/>
      <c r="I1604" s="26"/>
      <c r="J1604" s="26"/>
    </row>
    <row r="1605" spans="1:10" s="13" customFormat="1">
      <c r="A1605" s="26"/>
      <c r="B1605" s="26"/>
      <c r="C1605" s="26"/>
      <c r="D1605" s="26"/>
      <c r="E1605" s="26"/>
      <c r="F1605" s="26"/>
      <c r="G1605" s="26"/>
      <c r="H1605" s="26"/>
      <c r="I1605" s="26"/>
      <c r="J1605" s="26"/>
    </row>
    <row r="1606" spans="1:10" s="13" customFormat="1">
      <c r="A1606" s="26"/>
      <c r="B1606" s="26"/>
      <c r="C1606" s="26"/>
      <c r="D1606" s="26"/>
      <c r="E1606" s="26"/>
      <c r="F1606" s="26"/>
      <c r="G1606" s="26"/>
      <c r="H1606" s="26"/>
      <c r="I1606" s="26"/>
      <c r="J1606" s="26"/>
    </row>
    <row r="1607" spans="1:10" s="13" customFormat="1">
      <c r="A1607" s="26"/>
      <c r="B1607" s="26"/>
      <c r="C1607" s="26"/>
      <c r="D1607" s="26"/>
      <c r="E1607" s="26"/>
      <c r="F1607" s="26"/>
      <c r="G1607" s="26"/>
      <c r="H1607" s="26"/>
      <c r="I1607" s="26"/>
      <c r="J1607" s="26"/>
    </row>
    <row r="1608" spans="1:10" s="13" customFormat="1">
      <c r="A1608" s="26"/>
      <c r="B1608" s="26"/>
      <c r="C1608" s="26"/>
      <c r="D1608" s="26"/>
      <c r="E1608" s="26"/>
      <c r="F1608" s="26"/>
      <c r="G1608" s="26"/>
      <c r="H1608" s="26"/>
      <c r="I1608" s="26"/>
      <c r="J1608" s="26"/>
    </row>
    <row r="1609" spans="1:10" s="13" customFormat="1">
      <c r="A1609" s="26"/>
      <c r="B1609" s="26"/>
      <c r="C1609" s="26"/>
      <c r="D1609" s="26"/>
      <c r="E1609" s="26"/>
      <c r="F1609" s="26"/>
      <c r="G1609" s="26"/>
      <c r="H1609" s="26"/>
      <c r="I1609" s="26"/>
      <c r="J1609" s="26"/>
    </row>
    <row r="1610" spans="1:10" s="13" customFormat="1">
      <c r="A1610" s="26"/>
      <c r="B1610" s="26"/>
      <c r="C1610" s="26"/>
      <c r="D1610" s="26"/>
      <c r="E1610" s="26"/>
      <c r="F1610" s="26"/>
      <c r="G1610" s="26"/>
      <c r="H1610" s="26"/>
      <c r="I1610" s="26"/>
      <c r="J1610" s="26"/>
    </row>
    <row r="1611" spans="1:10" s="13" customFormat="1">
      <c r="A1611" s="26"/>
      <c r="B1611" s="26"/>
      <c r="C1611" s="26"/>
      <c r="D1611" s="26"/>
      <c r="E1611" s="26"/>
      <c r="F1611" s="26"/>
      <c r="G1611" s="26"/>
      <c r="H1611" s="26"/>
      <c r="I1611" s="26"/>
      <c r="J1611" s="26"/>
    </row>
    <row r="1612" spans="1:10" s="13" customFormat="1">
      <c r="A1612" s="26"/>
      <c r="B1612" s="26"/>
      <c r="C1612" s="26"/>
      <c r="D1612" s="26"/>
      <c r="E1612" s="26"/>
      <c r="F1612" s="26"/>
      <c r="G1612" s="26"/>
      <c r="H1612" s="26"/>
      <c r="I1612" s="26"/>
      <c r="J1612" s="26"/>
    </row>
    <row r="1613" spans="1:10" s="13" customFormat="1">
      <c r="A1613" s="26"/>
      <c r="B1613" s="26"/>
      <c r="C1613" s="26"/>
      <c r="D1613" s="26"/>
      <c r="E1613" s="26"/>
      <c r="F1613" s="26"/>
      <c r="G1613" s="26"/>
      <c r="H1613" s="26"/>
      <c r="I1613" s="26"/>
      <c r="J1613" s="26"/>
    </row>
    <row r="1614" spans="1:10" s="13" customFormat="1">
      <c r="A1614" s="26"/>
      <c r="B1614" s="26"/>
      <c r="C1614" s="26"/>
      <c r="D1614" s="26"/>
      <c r="E1614" s="26"/>
      <c r="F1614" s="26"/>
      <c r="G1614" s="26"/>
      <c r="H1614" s="26"/>
      <c r="I1614" s="26"/>
      <c r="J1614" s="26"/>
    </row>
    <row r="1615" spans="1:10" s="13" customFormat="1">
      <c r="A1615" s="26"/>
      <c r="B1615" s="26"/>
      <c r="C1615" s="26"/>
      <c r="D1615" s="26"/>
      <c r="E1615" s="26"/>
      <c r="F1615" s="26"/>
      <c r="G1615" s="26"/>
      <c r="H1615" s="26"/>
      <c r="I1615" s="26"/>
      <c r="J1615" s="26"/>
    </row>
    <row r="1616" spans="1:10" s="13" customFormat="1">
      <c r="A1616" s="26"/>
      <c r="B1616" s="26"/>
      <c r="C1616" s="26"/>
      <c r="D1616" s="26"/>
      <c r="E1616" s="26"/>
      <c r="F1616" s="26"/>
      <c r="G1616" s="26"/>
      <c r="H1616" s="26"/>
      <c r="I1616" s="26"/>
      <c r="J1616" s="26"/>
    </row>
    <row r="1617" spans="1:10" s="13" customFormat="1">
      <c r="A1617" s="26"/>
      <c r="B1617" s="26"/>
      <c r="C1617" s="26"/>
      <c r="D1617" s="26"/>
      <c r="E1617" s="26"/>
      <c r="F1617" s="26"/>
      <c r="G1617" s="26"/>
      <c r="H1617" s="26"/>
      <c r="I1617" s="26"/>
      <c r="J1617" s="26"/>
    </row>
    <row r="1618" spans="1:10" s="13" customFormat="1">
      <c r="A1618" s="26"/>
      <c r="B1618" s="26"/>
      <c r="C1618" s="26"/>
      <c r="D1618" s="26"/>
      <c r="E1618" s="26"/>
      <c r="F1618" s="26"/>
      <c r="G1618" s="26"/>
      <c r="H1618" s="26"/>
      <c r="I1618" s="26"/>
      <c r="J1618" s="26"/>
    </row>
    <row r="1619" spans="1:10" s="13" customFormat="1">
      <c r="A1619" s="26"/>
      <c r="B1619" s="26"/>
      <c r="C1619" s="26"/>
      <c r="D1619" s="26"/>
      <c r="E1619" s="26"/>
      <c r="F1619" s="26"/>
      <c r="G1619" s="26"/>
      <c r="H1619" s="26"/>
      <c r="I1619" s="26"/>
      <c r="J1619" s="26"/>
    </row>
    <row r="1620" spans="1:10" s="13" customFormat="1">
      <c r="A1620" s="26"/>
      <c r="B1620" s="26"/>
      <c r="C1620" s="26"/>
      <c r="D1620" s="26"/>
      <c r="E1620" s="26"/>
      <c r="F1620" s="26"/>
      <c r="G1620" s="26"/>
      <c r="H1620" s="26"/>
      <c r="I1620" s="26"/>
      <c r="J1620" s="26"/>
    </row>
    <row r="1621" spans="1:10" s="13" customFormat="1">
      <c r="A1621" s="26"/>
      <c r="B1621" s="26"/>
      <c r="C1621" s="26"/>
      <c r="D1621" s="26"/>
      <c r="E1621" s="26"/>
      <c r="F1621" s="26"/>
      <c r="G1621" s="26"/>
      <c r="H1621" s="26"/>
      <c r="I1621" s="26"/>
      <c r="J1621" s="26"/>
    </row>
    <row r="1622" spans="1:10" s="13" customFormat="1">
      <c r="A1622" s="26"/>
      <c r="B1622" s="26"/>
      <c r="C1622" s="26"/>
      <c r="D1622" s="26"/>
      <c r="E1622" s="26"/>
      <c r="F1622" s="26"/>
      <c r="G1622" s="26"/>
      <c r="H1622" s="26"/>
      <c r="I1622" s="26"/>
      <c r="J1622" s="26"/>
    </row>
    <row r="1623" spans="1:10" s="13" customFormat="1">
      <c r="A1623" s="26"/>
      <c r="B1623" s="26"/>
      <c r="C1623" s="26"/>
      <c r="D1623" s="26"/>
      <c r="E1623" s="26"/>
      <c r="F1623" s="26"/>
      <c r="G1623" s="26"/>
      <c r="H1623" s="26"/>
      <c r="I1623" s="26"/>
      <c r="J1623" s="26"/>
    </row>
    <row r="1624" spans="1:10" s="13" customFormat="1">
      <c r="A1624" s="26"/>
      <c r="B1624" s="26"/>
      <c r="C1624" s="26"/>
      <c r="D1624" s="26"/>
      <c r="E1624" s="26"/>
      <c r="F1624" s="26"/>
      <c r="G1624" s="26"/>
      <c r="H1624" s="26"/>
      <c r="I1624" s="26"/>
      <c r="J1624" s="26"/>
    </row>
    <row r="1625" spans="1:10" s="13" customFormat="1">
      <c r="A1625" s="26"/>
      <c r="B1625" s="26"/>
      <c r="C1625" s="26"/>
      <c r="D1625" s="26"/>
      <c r="E1625" s="26"/>
      <c r="F1625" s="26"/>
      <c r="G1625" s="26"/>
      <c r="H1625" s="26"/>
      <c r="I1625" s="26"/>
      <c r="J1625" s="26"/>
    </row>
    <row r="1626" spans="1:10" s="13" customFormat="1">
      <c r="A1626" s="26"/>
      <c r="B1626" s="26"/>
      <c r="C1626" s="26"/>
      <c r="D1626" s="26"/>
      <c r="E1626" s="26"/>
      <c r="F1626" s="26"/>
      <c r="G1626" s="26"/>
      <c r="H1626" s="26"/>
      <c r="I1626" s="26"/>
      <c r="J1626" s="26"/>
    </row>
    <row r="1627" spans="1:10" s="13" customFormat="1">
      <c r="A1627" s="26"/>
      <c r="B1627" s="26"/>
      <c r="C1627" s="26"/>
      <c r="D1627" s="26"/>
      <c r="E1627" s="26"/>
      <c r="F1627" s="26"/>
      <c r="G1627" s="26"/>
      <c r="H1627" s="26"/>
      <c r="I1627" s="26"/>
      <c r="J1627" s="26"/>
    </row>
    <row r="1628" spans="1:10" s="13" customFormat="1">
      <c r="A1628" s="26"/>
      <c r="B1628" s="26"/>
      <c r="C1628" s="26"/>
      <c r="D1628" s="26"/>
      <c r="E1628" s="26"/>
      <c r="F1628" s="26"/>
      <c r="G1628" s="26"/>
      <c r="H1628" s="26"/>
      <c r="I1628" s="26"/>
      <c r="J1628" s="26"/>
    </row>
    <row r="1629" spans="1:10" s="13" customFormat="1">
      <c r="A1629" s="26"/>
      <c r="B1629" s="26"/>
      <c r="C1629" s="26"/>
      <c r="D1629" s="26"/>
      <c r="E1629" s="26"/>
      <c r="F1629" s="26"/>
      <c r="G1629" s="26"/>
      <c r="H1629" s="26"/>
      <c r="I1629" s="26"/>
      <c r="J1629" s="26"/>
    </row>
    <row r="1630" spans="1:10" s="13" customFormat="1">
      <c r="A1630" s="26"/>
      <c r="B1630" s="26"/>
      <c r="C1630" s="26"/>
      <c r="D1630" s="26"/>
      <c r="E1630" s="26"/>
      <c r="F1630" s="26"/>
      <c r="G1630" s="26"/>
      <c r="H1630" s="26"/>
      <c r="I1630" s="26"/>
      <c r="J1630" s="26"/>
    </row>
    <row r="1631" spans="1:10" s="13" customFormat="1">
      <c r="A1631" s="26"/>
      <c r="B1631" s="26"/>
      <c r="C1631" s="26"/>
      <c r="D1631" s="26"/>
      <c r="E1631" s="26"/>
      <c r="F1631" s="26"/>
      <c r="G1631" s="26"/>
      <c r="H1631" s="26"/>
      <c r="I1631" s="26"/>
      <c r="J1631" s="26"/>
    </row>
    <row r="1632" spans="1:10" s="13" customFormat="1">
      <c r="A1632" s="26"/>
      <c r="B1632" s="26"/>
      <c r="C1632" s="26"/>
      <c r="D1632" s="26"/>
      <c r="E1632" s="26"/>
      <c r="F1632" s="26"/>
      <c r="G1632" s="26"/>
      <c r="H1632" s="26"/>
      <c r="I1632" s="26"/>
      <c r="J1632" s="26"/>
    </row>
    <row r="1633" spans="1:10" s="13" customFormat="1">
      <c r="A1633" s="26"/>
      <c r="B1633" s="26"/>
      <c r="C1633" s="26"/>
      <c r="D1633" s="26"/>
      <c r="E1633" s="26"/>
      <c r="F1633" s="26"/>
      <c r="G1633" s="26"/>
      <c r="H1633" s="26"/>
      <c r="I1633" s="26"/>
      <c r="J1633" s="26"/>
    </row>
    <row r="1634" spans="1:10" s="13" customFormat="1">
      <c r="A1634" s="26"/>
      <c r="B1634" s="26"/>
      <c r="C1634" s="26"/>
      <c r="D1634" s="26"/>
      <c r="E1634" s="26"/>
      <c r="F1634" s="26"/>
      <c r="G1634" s="26"/>
      <c r="H1634" s="26"/>
      <c r="I1634" s="26"/>
      <c r="J1634" s="26"/>
    </row>
    <row r="1635" spans="1:10" s="13" customFormat="1">
      <c r="A1635" s="26"/>
      <c r="B1635" s="26"/>
      <c r="C1635" s="26"/>
      <c r="D1635" s="26"/>
      <c r="E1635" s="26"/>
      <c r="F1635" s="26"/>
      <c r="G1635" s="26"/>
      <c r="H1635" s="26"/>
      <c r="I1635" s="26"/>
      <c r="J1635" s="26"/>
    </row>
    <row r="1636" spans="1:10" s="13" customFormat="1">
      <c r="A1636" s="26"/>
      <c r="B1636" s="26"/>
      <c r="C1636" s="26"/>
      <c r="D1636" s="26"/>
      <c r="E1636" s="26"/>
      <c r="F1636" s="26"/>
      <c r="G1636" s="26"/>
      <c r="H1636" s="26"/>
      <c r="I1636" s="26"/>
      <c r="J1636" s="26"/>
    </row>
    <row r="1637" spans="1:10" s="13" customFormat="1">
      <c r="A1637" s="26"/>
      <c r="B1637" s="26"/>
      <c r="C1637" s="26"/>
      <c r="D1637" s="26"/>
      <c r="E1637" s="26"/>
      <c r="F1637" s="26"/>
      <c r="G1637" s="26"/>
      <c r="H1637" s="26"/>
      <c r="I1637" s="26"/>
      <c r="J1637" s="26"/>
    </row>
    <row r="1638" spans="1:10" s="13" customFormat="1">
      <c r="A1638" s="26"/>
      <c r="B1638" s="26"/>
      <c r="C1638" s="26"/>
      <c r="D1638" s="26"/>
      <c r="E1638" s="26"/>
      <c r="F1638" s="26"/>
      <c r="G1638" s="26"/>
      <c r="H1638" s="26"/>
      <c r="I1638" s="26"/>
      <c r="J1638" s="26"/>
    </row>
    <row r="1639" spans="1:10" s="13" customFormat="1">
      <c r="A1639" s="26"/>
      <c r="B1639" s="26"/>
      <c r="C1639" s="26"/>
      <c r="D1639" s="26"/>
      <c r="E1639" s="26"/>
      <c r="F1639" s="26"/>
      <c r="G1639" s="26"/>
      <c r="H1639" s="26"/>
      <c r="I1639" s="26"/>
      <c r="J1639" s="26"/>
    </row>
    <row r="1640" spans="1:10" s="13" customFormat="1">
      <c r="A1640" s="26"/>
      <c r="B1640" s="26"/>
      <c r="C1640" s="26"/>
      <c r="D1640" s="26"/>
      <c r="E1640" s="26"/>
      <c r="F1640" s="26"/>
      <c r="G1640" s="26"/>
      <c r="H1640" s="26"/>
      <c r="I1640" s="26"/>
      <c r="J1640" s="26"/>
    </row>
    <row r="1641" spans="1:10" s="13" customFormat="1">
      <c r="A1641" s="26"/>
      <c r="B1641" s="26"/>
      <c r="C1641" s="26"/>
      <c r="D1641" s="26"/>
      <c r="E1641" s="26"/>
      <c r="F1641" s="26"/>
      <c r="G1641" s="26"/>
      <c r="H1641" s="26"/>
      <c r="I1641" s="26"/>
      <c r="J1641" s="26"/>
    </row>
    <row r="1642" spans="1:10" s="13" customFormat="1">
      <c r="A1642" s="26"/>
      <c r="B1642" s="26"/>
      <c r="C1642" s="26"/>
      <c r="D1642" s="26"/>
      <c r="E1642" s="26"/>
      <c r="F1642" s="26"/>
      <c r="G1642" s="26"/>
      <c r="H1642" s="26"/>
      <c r="I1642" s="26"/>
      <c r="J1642" s="26"/>
    </row>
    <row r="1643" spans="1:10" s="13" customFormat="1">
      <c r="A1643" s="26"/>
      <c r="B1643" s="26"/>
      <c r="C1643" s="26"/>
      <c r="D1643" s="26"/>
      <c r="E1643" s="26"/>
      <c r="F1643" s="26"/>
      <c r="G1643" s="26"/>
      <c r="H1643" s="26"/>
      <c r="I1643" s="26"/>
      <c r="J1643" s="26"/>
    </row>
    <row r="1644" spans="1:10" s="13" customFormat="1">
      <c r="A1644" s="26"/>
      <c r="B1644" s="26"/>
      <c r="C1644" s="26"/>
      <c r="D1644" s="26"/>
      <c r="E1644" s="26"/>
      <c r="F1644" s="26"/>
      <c r="G1644" s="26"/>
      <c r="H1644" s="26"/>
      <c r="I1644" s="26"/>
      <c r="J1644" s="26"/>
    </row>
    <row r="1645" spans="1:10" s="13" customFormat="1">
      <c r="A1645" s="26"/>
      <c r="B1645" s="26"/>
      <c r="C1645" s="26"/>
      <c r="D1645" s="26"/>
      <c r="E1645" s="26"/>
      <c r="F1645" s="26"/>
      <c r="G1645" s="26"/>
      <c r="H1645" s="26"/>
      <c r="I1645" s="26"/>
      <c r="J1645" s="26"/>
    </row>
    <row r="1646" spans="1:10" s="13" customFormat="1">
      <c r="A1646" s="26"/>
      <c r="B1646" s="26"/>
      <c r="C1646" s="26"/>
      <c r="D1646" s="26"/>
      <c r="E1646" s="26"/>
      <c r="F1646" s="26"/>
      <c r="G1646" s="26"/>
      <c r="H1646" s="26"/>
      <c r="I1646" s="26"/>
      <c r="J1646" s="26"/>
    </row>
    <row r="1647" spans="1:10" s="13" customFormat="1">
      <c r="A1647" s="26"/>
      <c r="B1647" s="26"/>
      <c r="C1647" s="26"/>
      <c r="D1647" s="26"/>
      <c r="E1647" s="26"/>
      <c r="F1647" s="26"/>
      <c r="G1647" s="26"/>
      <c r="H1647" s="26"/>
      <c r="I1647" s="26"/>
      <c r="J1647" s="26"/>
    </row>
    <row r="1648" spans="1:10" s="13" customFormat="1">
      <c r="A1648" s="26"/>
      <c r="B1648" s="26"/>
      <c r="C1648" s="26"/>
      <c r="D1648" s="26"/>
      <c r="E1648" s="26"/>
      <c r="F1648" s="26"/>
      <c r="G1648" s="26"/>
      <c r="H1648" s="26"/>
      <c r="I1648" s="26"/>
      <c r="J1648" s="26"/>
    </row>
    <row r="1649" spans="1:10" s="13" customFormat="1">
      <c r="A1649" s="26"/>
      <c r="B1649" s="26"/>
      <c r="C1649" s="26"/>
      <c r="D1649" s="26"/>
      <c r="E1649" s="26"/>
      <c r="F1649" s="26"/>
      <c r="G1649" s="26"/>
      <c r="H1649" s="26"/>
      <c r="I1649" s="26"/>
      <c r="J1649" s="26"/>
    </row>
    <row r="1650" spans="1:10" s="13" customFormat="1">
      <c r="A1650" s="26"/>
      <c r="B1650" s="26"/>
      <c r="C1650" s="26"/>
      <c r="D1650" s="26"/>
      <c r="E1650" s="26"/>
      <c r="F1650" s="26"/>
      <c r="G1650" s="26"/>
      <c r="H1650" s="26"/>
      <c r="I1650" s="26"/>
      <c r="J1650" s="26"/>
    </row>
    <row r="1651" spans="1:10" s="13" customFormat="1">
      <c r="A1651" s="26"/>
      <c r="B1651" s="26"/>
      <c r="C1651" s="26"/>
      <c r="D1651" s="26"/>
      <c r="E1651" s="26"/>
      <c r="F1651" s="26"/>
      <c r="G1651" s="26"/>
      <c r="H1651" s="26"/>
      <c r="I1651" s="26"/>
      <c r="J1651" s="26"/>
    </row>
    <row r="1652" spans="1:10" s="13" customFormat="1">
      <c r="A1652" s="26"/>
      <c r="B1652" s="26"/>
      <c r="C1652" s="26"/>
      <c r="D1652" s="26"/>
      <c r="E1652" s="26"/>
      <c r="F1652" s="26"/>
      <c r="G1652" s="26"/>
      <c r="H1652" s="26"/>
      <c r="I1652" s="26"/>
      <c r="J1652" s="26"/>
    </row>
    <row r="1653" spans="1:10" s="13" customFormat="1">
      <c r="A1653" s="26"/>
      <c r="B1653" s="26"/>
      <c r="C1653" s="26"/>
      <c r="D1653" s="26"/>
      <c r="E1653" s="26"/>
      <c r="F1653" s="26"/>
      <c r="G1653" s="26"/>
      <c r="H1653" s="26"/>
      <c r="I1653" s="26"/>
      <c r="J1653" s="26"/>
    </row>
    <row r="1654" spans="1:10" s="13" customFormat="1">
      <c r="A1654" s="26"/>
      <c r="B1654" s="26"/>
      <c r="C1654" s="26"/>
      <c r="D1654" s="26"/>
      <c r="E1654" s="26"/>
      <c r="F1654" s="26"/>
      <c r="G1654" s="26"/>
      <c r="H1654" s="26"/>
      <c r="I1654" s="26"/>
      <c r="J1654" s="26"/>
    </row>
    <row r="1655" spans="1:10" s="13" customFormat="1">
      <c r="A1655" s="26"/>
      <c r="B1655" s="26"/>
      <c r="C1655" s="26"/>
      <c r="D1655" s="26"/>
      <c r="E1655" s="26"/>
      <c r="F1655" s="26"/>
      <c r="G1655" s="26"/>
      <c r="H1655" s="26"/>
      <c r="I1655" s="26"/>
      <c r="J1655" s="26"/>
    </row>
    <row r="1656" spans="1:10" s="13" customFormat="1">
      <c r="A1656" s="26"/>
      <c r="B1656" s="26"/>
      <c r="C1656" s="26"/>
      <c r="D1656" s="26"/>
      <c r="E1656" s="26"/>
      <c r="F1656" s="26"/>
      <c r="G1656" s="26"/>
      <c r="H1656" s="26"/>
      <c r="I1656" s="26"/>
      <c r="J1656" s="26"/>
    </row>
    <row r="1657" spans="1:10" s="13" customFormat="1">
      <c r="A1657" s="26"/>
      <c r="B1657" s="26"/>
      <c r="C1657" s="26"/>
      <c r="D1657" s="26"/>
      <c r="E1657" s="26"/>
      <c r="F1657" s="26"/>
      <c r="G1657" s="26"/>
      <c r="H1657" s="26"/>
      <c r="I1657" s="26"/>
      <c r="J1657" s="26"/>
    </row>
    <row r="1658" spans="1:10" s="13" customFormat="1">
      <c r="A1658" s="26"/>
      <c r="B1658" s="26"/>
      <c r="C1658" s="26"/>
      <c r="D1658" s="26"/>
      <c r="E1658" s="26"/>
      <c r="F1658" s="26"/>
      <c r="G1658" s="26"/>
      <c r="H1658" s="26"/>
      <c r="I1658" s="26"/>
      <c r="J1658" s="26"/>
    </row>
    <row r="1659" spans="1:10" s="13" customFormat="1">
      <c r="A1659" s="26"/>
      <c r="B1659" s="26"/>
      <c r="C1659" s="26"/>
      <c r="D1659" s="26"/>
      <c r="E1659" s="26"/>
      <c r="F1659" s="26"/>
      <c r="G1659" s="26"/>
      <c r="H1659" s="26"/>
      <c r="I1659" s="26"/>
      <c r="J1659" s="26"/>
    </row>
    <row r="1660" spans="1:10" s="13" customFormat="1">
      <c r="A1660" s="26"/>
      <c r="B1660" s="26"/>
      <c r="C1660" s="26"/>
      <c r="D1660" s="26"/>
      <c r="E1660" s="26"/>
      <c r="F1660" s="26"/>
      <c r="G1660" s="26"/>
      <c r="H1660" s="26"/>
      <c r="I1660" s="26"/>
      <c r="J1660" s="26"/>
    </row>
    <row r="1661" spans="1:10" s="13" customFormat="1">
      <c r="A1661" s="26"/>
      <c r="B1661" s="26"/>
      <c r="C1661" s="26"/>
      <c r="D1661" s="26"/>
      <c r="E1661" s="26"/>
      <c r="F1661" s="26"/>
      <c r="G1661" s="26"/>
      <c r="H1661" s="26"/>
      <c r="I1661" s="26"/>
      <c r="J1661" s="26"/>
    </row>
    <row r="1662" spans="1:10" s="13" customFormat="1">
      <c r="A1662" s="26"/>
      <c r="B1662" s="26"/>
      <c r="C1662" s="26"/>
      <c r="D1662" s="26"/>
      <c r="E1662" s="26"/>
      <c r="F1662" s="26"/>
      <c r="G1662" s="26"/>
      <c r="H1662" s="26"/>
      <c r="I1662" s="26"/>
      <c r="J1662" s="26"/>
    </row>
    <row r="1663" spans="1:10" s="13" customFormat="1">
      <c r="A1663" s="26"/>
      <c r="B1663" s="26"/>
      <c r="C1663" s="26"/>
      <c r="D1663" s="26"/>
      <c r="E1663" s="26"/>
      <c r="F1663" s="26"/>
      <c r="G1663" s="26"/>
      <c r="H1663" s="26"/>
      <c r="I1663" s="26"/>
      <c r="J1663" s="26"/>
    </row>
    <row r="1664" spans="1:10" s="13" customFormat="1">
      <c r="A1664" s="26"/>
      <c r="B1664" s="26"/>
      <c r="C1664" s="26"/>
      <c r="D1664" s="26"/>
      <c r="E1664" s="26"/>
      <c r="F1664" s="26"/>
      <c r="G1664" s="26"/>
      <c r="H1664" s="26"/>
      <c r="I1664" s="26"/>
      <c r="J1664" s="26"/>
    </row>
    <row r="1665" spans="1:10" s="13" customFormat="1">
      <c r="A1665" s="26"/>
      <c r="B1665" s="26"/>
      <c r="C1665" s="26"/>
      <c r="D1665" s="26"/>
      <c r="E1665" s="26"/>
      <c r="F1665" s="26"/>
      <c r="G1665" s="26"/>
      <c r="H1665" s="26"/>
      <c r="I1665" s="26"/>
      <c r="J1665" s="26"/>
    </row>
    <row r="1666" spans="1:10" s="13" customFormat="1">
      <c r="A1666" s="26"/>
      <c r="B1666" s="26"/>
      <c r="C1666" s="26"/>
      <c r="D1666" s="26"/>
      <c r="E1666" s="26"/>
      <c r="F1666" s="26"/>
      <c r="G1666" s="26"/>
      <c r="H1666" s="26"/>
      <c r="I1666" s="26"/>
      <c r="J1666" s="26"/>
    </row>
    <row r="1667" spans="1:10" s="13" customFormat="1">
      <c r="A1667" s="26"/>
      <c r="B1667" s="26"/>
      <c r="C1667" s="26"/>
      <c r="D1667" s="26"/>
      <c r="E1667" s="26"/>
      <c r="F1667" s="26"/>
      <c r="G1667" s="26"/>
      <c r="H1667" s="26"/>
      <c r="I1667" s="26"/>
      <c r="J1667" s="26"/>
    </row>
    <row r="1668" spans="1:10" s="13" customFormat="1">
      <c r="A1668" s="26"/>
      <c r="B1668" s="26"/>
      <c r="C1668" s="26"/>
      <c r="D1668" s="26"/>
      <c r="E1668" s="26"/>
      <c r="F1668" s="26"/>
      <c r="G1668" s="26"/>
      <c r="H1668" s="26"/>
      <c r="I1668" s="26"/>
      <c r="J1668" s="26"/>
    </row>
    <row r="1669" spans="1:10" s="13" customFormat="1">
      <c r="A1669" s="26"/>
      <c r="B1669" s="26"/>
      <c r="C1669" s="26"/>
      <c r="D1669" s="26"/>
      <c r="E1669" s="26"/>
      <c r="F1669" s="26"/>
      <c r="G1669" s="26"/>
      <c r="H1669" s="26"/>
      <c r="I1669" s="26"/>
      <c r="J1669" s="26"/>
    </row>
    <row r="1670" spans="1:10" s="13" customFormat="1">
      <c r="A1670" s="26"/>
      <c r="B1670" s="26"/>
      <c r="C1670" s="26"/>
      <c r="D1670" s="26"/>
      <c r="E1670" s="26"/>
      <c r="F1670" s="26"/>
      <c r="G1670" s="26"/>
      <c r="H1670" s="26"/>
      <c r="I1670" s="26"/>
      <c r="J1670" s="26"/>
    </row>
    <row r="1671" spans="1:10" s="13" customFormat="1">
      <c r="A1671" s="26"/>
      <c r="B1671" s="26"/>
      <c r="C1671" s="26"/>
      <c r="D1671" s="26"/>
      <c r="E1671" s="26"/>
      <c r="F1671" s="26"/>
      <c r="G1671" s="26"/>
      <c r="H1671" s="26"/>
      <c r="I1671" s="26"/>
      <c r="J1671" s="26"/>
    </row>
    <row r="1672" spans="1:10" s="13" customFormat="1">
      <c r="A1672" s="26"/>
      <c r="B1672" s="26"/>
      <c r="C1672" s="26"/>
      <c r="D1672" s="26"/>
      <c r="E1672" s="26"/>
      <c r="F1672" s="26"/>
      <c r="G1672" s="26"/>
      <c r="H1672" s="26"/>
      <c r="I1672" s="26"/>
      <c r="J1672" s="26"/>
    </row>
    <row r="1673" spans="1:10" s="13" customFormat="1">
      <c r="A1673" s="26"/>
      <c r="B1673" s="26"/>
      <c r="C1673" s="26"/>
      <c r="D1673" s="26"/>
      <c r="E1673" s="26"/>
      <c r="F1673" s="26"/>
      <c r="G1673" s="26"/>
      <c r="H1673" s="26"/>
      <c r="I1673" s="26"/>
      <c r="J1673" s="26"/>
    </row>
    <row r="1674" spans="1:10" s="13" customFormat="1">
      <c r="A1674" s="26"/>
      <c r="B1674" s="26"/>
      <c r="C1674" s="26"/>
      <c r="D1674" s="26"/>
      <c r="E1674" s="26"/>
      <c r="F1674" s="26"/>
      <c r="G1674" s="26"/>
      <c r="H1674" s="26"/>
      <c r="I1674" s="26"/>
      <c r="J1674" s="26"/>
    </row>
    <row r="1675" spans="1:10" s="13" customFormat="1">
      <c r="A1675" s="26"/>
      <c r="B1675" s="26"/>
      <c r="C1675" s="26"/>
      <c r="D1675" s="26"/>
      <c r="E1675" s="26"/>
      <c r="F1675" s="26"/>
      <c r="G1675" s="26"/>
      <c r="H1675" s="26"/>
      <c r="I1675" s="26"/>
      <c r="J1675" s="26"/>
    </row>
    <row r="1676" spans="1:10" s="13" customFormat="1">
      <c r="A1676" s="26"/>
      <c r="B1676" s="26"/>
      <c r="C1676" s="26"/>
      <c r="D1676" s="26"/>
      <c r="E1676" s="26"/>
      <c r="F1676" s="26"/>
      <c r="G1676" s="26"/>
      <c r="H1676" s="26"/>
      <c r="I1676" s="26"/>
      <c r="J1676" s="26"/>
    </row>
    <row r="1677" spans="1:10" s="13" customFormat="1">
      <c r="A1677" s="26"/>
      <c r="B1677" s="26"/>
      <c r="C1677" s="26"/>
      <c r="D1677" s="26"/>
      <c r="E1677" s="26"/>
      <c r="F1677" s="26"/>
      <c r="G1677" s="26"/>
      <c r="H1677" s="26"/>
      <c r="I1677" s="26"/>
      <c r="J1677" s="26"/>
    </row>
    <row r="1678" spans="1:10" s="13" customFormat="1">
      <c r="A1678" s="26"/>
      <c r="B1678" s="26"/>
      <c r="C1678" s="26"/>
      <c r="D1678" s="26"/>
      <c r="E1678" s="26"/>
      <c r="F1678" s="26"/>
      <c r="G1678" s="26"/>
      <c r="H1678" s="26"/>
      <c r="I1678" s="26"/>
      <c r="J1678" s="26"/>
    </row>
    <row r="1679" spans="1:10" s="13" customFormat="1">
      <c r="A1679" s="26"/>
      <c r="B1679" s="26"/>
      <c r="C1679" s="26"/>
      <c r="D1679" s="26"/>
      <c r="E1679" s="26"/>
      <c r="F1679" s="26"/>
      <c r="G1679" s="26"/>
      <c r="H1679" s="26"/>
      <c r="I1679" s="26"/>
      <c r="J1679" s="26"/>
    </row>
    <row r="1680" spans="1:10" s="13" customFormat="1">
      <c r="A1680" s="26"/>
      <c r="B1680" s="26"/>
      <c r="C1680" s="26"/>
      <c r="D1680" s="26"/>
      <c r="E1680" s="26"/>
      <c r="F1680" s="26"/>
      <c r="G1680" s="26"/>
      <c r="H1680" s="26"/>
      <c r="I1680" s="26"/>
      <c r="J1680" s="26"/>
    </row>
    <row r="1681" spans="1:10" s="13" customFormat="1">
      <c r="A1681" s="26"/>
      <c r="B1681" s="26"/>
      <c r="C1681" s="26"/>
      <c r="D1681" s="26"/>
      <c r="E1681" s="26"/>
      <c r="F1681" s="26"/>
      <c r="G1681" s="26"/>
      <c r="H1681" s="26"/>
      <c r="I1681" s="26"/>
      <c r="J1681" s="26"/>
    </row>
    <row r="1682" spans="1:10" s="13" customFormat="1">
      <c r="A1682" s="26"/>
      <c r="B1682" s="26"/>
      <c r="C1682" s="26"/>
      <c r="D1682" s="26"/>
      <c r="E1682" s="26"/>
      <c r="F1682" s="26"/>
      <c r="G1682" s="26"/>
      <c r="H1682" s="26"/>
      <c r="I1682" s="26"/>
      <c r="J1682" s="26"/>
    </row>
    <row r="1683" spans="1:10" s="13" customFormat="1">
      <c r="A1683" s="26"/>
      <c r="B1683" s="26"/>
      <c r="C1683" s="26"/>
      <c r="D1683" s="26"/>
      <c r="E1683" s="26"/>
      <c r="F1683" s="26"/>
      <c r="G1683" s="26"/>
      <c r="H1683" s="26"/>
      <c r="I1683" s="26"/>
      <c r="J1683" s="26"/>
    </row>
    <row r="1684" spans="1:10" s="13" customFormat="1">
      <c r="A1684" s="26"/>
      <c r="B1684" s="26"/>
      <c r="C1684" s="26"/>
      <c r="D1684" s="26"/>
      <c r="E1684" s="26"/>
      <c r="F1684" s="26"/>
      <c r="G1684" s="26"/>
      <c r="H1684" s="26"/>
      <c r="I1684" s="26"/>
      <c r="J1684" s="26"/>
    </row>
    <row r="1685" spans="1:10" s="13" customFormat="1">
      <c r="A1685" s="26"/>
      <c r="B1685" s="26"/>
      <c r="C1685" s="26"/>
      <c r="D1685" s="26"/>
      <c r="E1685" s="26"/>
      <c r="F1685" s="26"/>
      <c r="G1685" s="26"/>
      <c r="H1685" s="26"/>
      <c r="I1685" s="26"/>
      <c r="J1685" s="26"/>
    </row>
    <row r="1686" spans="1:10" s="13" customFormat="1">
      <c r="A1686" s="26"/>
      <c r="B1686" s="26"/>
      <c r="C1686" s="26"/>
      <c r="D1686" s="26"/>
      <c r="E1686" s="26"/>
      <c r="F1686" s="26"/>
      <c r="G1686" s="26"/>
      <c r="H1686" s="26"/>
      <c r="I1686" s="26"/>
      <c r="J1686" s="26"/>
    </row>
    <row r="1687" spans="1:10" s="13" customFormat="1">
      <c r="A1687" s="26"/>
      <c r="B1687" s="26"/>
      <c r="C1687" s="26"/>
      <c r="D1687" s="26"/>
      <c r="E1687" s="26"/>
      <c r="F1687" s="26"/>
      <c r="G1687" s="26"/>
      <c r="H1687" s="26"/>
      <c r="I1687" s="26"/>
      <c r="J1687" s="26"/>
    </row>
    <row r="1688" spans="1:10" s="13" customFormat="1">
      <c r="A1688" s="26"/>
      <c r="B1688" s="26"/>
      <c r="C1688" s="26"/>
      <c r="D1688" s="26"/>
      <c r="E1688" s="26"/>
      <c r="F1688" s="26"/>
      <c r="G1688" s="26"/>
      <c r="H1688" s="26"/>
      <c r="I1688" s="26"/>
      <c r="J1688" s="26"/>
    </row>
    <row r="1689" spans="1:10" s="13" customFormat="1">
      <c r="A1689" s="26"/>
      <c r="B1689" s="26"/>
      <c r="C1689" s="26"/>
      <c r="D1689" s="26"/>
      <c r="E1689" s="26"/>
      <c r="F1689" s="26"/>
      <c r="G1689" s="26"/>
      <c r="H1689" s="26"/>
      <c r="I1689" s="26"/>
      <c r="J1689" s="26"/>
    </row>
    <row r="1690" spans="1:10" s="13" customFormat="1">
      <c r="A1690" s="26"/>
      <c r="B1690" s="26"/>
      <c r="C1690" s="26"/>
      <c r="D1690" s="26"/>
      <c r="E1690" s="26"/>
      <c r="F1690" s="26"/>
      <c r="G1690" s="26"/>
      <c r="H1690" s="26"/>
      <c r="I1690" s="26"/>
      <c r="J1690" s="26"/>
    </row>
    <row r="1691" spans="1:10" s="13" customFormat="1">
      <c r="A1691" s="26"/>
      <c r="B1691" s="26"/>
      <c r="C1691" s="26"/>
      <c r="D1691" s="26"/>
      <c r="E1691" s="26"/>
      <c r="F1691" s="26"/>
      <c r="G1691" s="26"/>
      <c r="H1691" s="26"/>
      <c r="I1691" s="26"/>
      <c r="J1691" s="26"/>
    </row>
    <row r="1692" spans="1:10" s="13" customFormat="1">
      <c r="A1692" s="26"/>
      <c r="B1692" s="26"/>
      <c r="C1692" s="26"/>
      <c r="D1692" s="26"/>
      <c r="E1692" s="26"/>
      <c r="F1692" s="26"/>
      <c r="G1692" s="26"/>
      <c r="H1692" s="26"/>
      <c r="I1692" s="26"/>
      <c r="J1692" s="26"/>
    </row>
    <row r="1693" spans="1:10" s="13" customFormat="1">
      <c r="A1693" s="26"/>
      <c r="B1693" s="26"/>
      <c r="C1693" s="26"/>
      <c r="D1693" s="26"/>
      <c r="E1693" s="26"/>
      <c r="F1693" s="26"/>
      <c r="G1693" s="26"/>
      <c r="H1693" s="26"/>
      <c r="I1693" s="26"/>
      <c r="J1693" s="26"/>
    </row>
    <row r="1694" spans="1:10" s="13" customFormat="1">
      <c r="A1694" s="26"/>
      <c r="B1694" s="26"/>
      <c r="C1694" s="26"/>
      <c r="D1694" s="26"/>
      <c r="E1694" s="26"/>
      <c r="F1694" s="26"/>
      <c r="G1694" s="26"/>
      <c r="H1694" s="26"/>
      <c r="I1694" s="26"/>
      <c r="J1694" s="26"/>
    </row>
    <row r="1695" spans="1:10" s="13" customFormat="1">
      <c r="A1695" s="26"/>
      <c r="B1695" s="26"/>
      <c r="C1695" s="26"/>
      <c r="D1695" s="26"/>
      <c r="E1695" s="26"/>
      <c r="F1695" s="26"/>
      <c r="G1695" s="26"/>
      <c r="H1695" s="26"/>
      <c r="I1695" s="26"/>
      <c r="J1695" s="26"/>
    </row>
    <row r="1696" spans="1:10" s="13" customFormat="1">
      <c r="A1696" s="26"/>
      <c r="B1696" s="26"/>
      <c r="C1696" s="26"/>
      <c r="D1696" s="26"/>
      <c r="E1696" s="26"/>
      <c r="F1696" s="26"/>
      <c r="G1696" s="26"/>
      <c r="H1696" s="26"/>
      <c r="I1696" s="26"/>
      <c r="J1696" s="26"/>
    </row>
    <row r="1697" spans="1:10" s="13" customFormat="1">
      <c r="A1697" s="26"/>
      <c r="B1697" s="26"/>
      <c r="C1697" s="26"/>
      <c r="D1697" s="26"/>
      <c r="E1697" s="26"/>
      <c r="F1697" s="26"/>
      <c r="G1697" s="26"/>
      <c r="H1697" s="26"/>
      <c r="I1697" s="26"/>
      <c r="J1697" s="26"/>
    </row>
    <row r="1698" spans="1:10" s="13" customFormat="1">
      <c r="A1698" s="26"/>
      <c r="B1698" s="26"/>
      <c r="C1698" s="26"/>
      <c r="D1698" s="26"/>
      <c r="E1698" s="26"/>
      <c r="F1698" s="26"/>
      <c r="G1698" s="26"/>
      <c r="H1698" s="26"/>
      <c r="I1698" s="26"/>
      <c r="J1698" s="26"/>
    </row>
    <row r="1699" spans="1:10" s="13" customFormat="1">
      <c r="A1699" s="26"/>
      <c r="B1699" s="26"/>
      <c r="C1699" s="26"/>
      <c r="D1699" s="26"/>
      <c r="E1699" s="26"/>
      <c r="F1699" s="26"/>
      <c r="G1699" s="26"/>
      <c r="H1699" s="26"/>
      <c r="I1699" s="26"/>
      <c r="J1699" s="26"/>
    </row>
    <row r="1700" spans="1:10" s="13" customFormat="1">
      <c r="A1700" s="26"/>
      <c r="B1700" s="26"/>
      <c r="C1700" s="26"/>
      <c r="D1700" s="26"/>
      <c r="E1700" s="26"/>
      <c r="F1700" s="26"/>
      <c r="G1700" s="26"/>
      <c r="H1700" s="26"/>
      <c r="I1700" s="26"/>
      <c r="J1700" s="26"/>
    </row>
    <row r="1701" spans="1:10" s="13" customFormat="1">
      <c r="A1701" s="26"/>
      <c r="B1701" s="26"/>
      <c r="C1701" s="26"/>
      <c r="D1701" s="26"/>
      <c r="E1701" s="26"/>
      <c r="F1701" s="26"/>
      <c r="G1701" s="26"/>
      <c r="H1701" s="26"/>
      <c r="I1701" s="26"/>
      <c r="J1701" s="26"/>
    </row>
    <row r="1702" spans="1:10" s="13" customFormat="1">
      <c r="A1702" s="26"/>
      <c r="B1702" s="26"/>
      <c r="C1702" s="26"/>
      <c r="D1702" s="26"/>
      <c r="E1702" s="26"/>
      <c r="F1702" s="26"/>
      <c r="G1702" s="26"/>
      <c r="H1702" s="26"/>
      <c r="I1702" s="26"/>
      <c r="J1702" s="26"/>
    </row>
    <row r="1703" spans="1:10" s="13" customFormat="1">
      <c r="A1703" s="26"/>
      <c r="B1703" s="26"/>
      <c r="C1703" s="26"/>
      <c r="D1703" s="26"/>
      <c r="E1703" s="26"/>
      <c r="F1703" s="26"/>
      <c r="G1703" s="26"/>
      <c r="H1703" s="26"/>
      <c r="I1703" s="26"/>
      <c r="J1703" s="26"/>
    </row>
    <row r="1704" spans="1:10" s="13" customFormat="1">
      <c r="A1704" s="26"/>
      <c r="B1704" s="26"/>
      <c r="C1704" s="26"/>
      <c r="D1704" s="26"/>
      <c r="E1704" s="26"/>
      <c r="F1704" s="26"/>
      <c r="G1704" s="26"/>
      <c r="H1704" s="26"/>
      <c r="I1704" s="26"/>
      <c r="J1704" s="26"/>
    </row>
    <row r="1705" spans="1:10" s="13" customFormat="1">
      <c r="A1705" s="26"/>
      <c r="B1705" s="26"/>
      <c r="C1705" s="26"/>
      <c r="D1705" s="26"/>
      <c r="E1705" s="26"/>
      <c r="F1705" s="26"/>
      <c r="G1705" s="26"/>
      <c r="H1705" s="26"/>
      <c r="I1705" s="26"/>
      <c r="J1705" s="26"/>
    </row>
    <row r="1706" spans="1:10" s="13" customFormat="1">
      <c r="A1706" s="26"/>
      <c r="B1706" s="26"/>
      <c r="C1706" s="26"/>
      <c r="D1706" s="26"/>
      <c r="E1706" s="26"/>
      <c r="F1706" s="26"/>
      <c r="G1706" s="26"/>
      <c r="H1706" s="26"/>
      <c r="I1706" s="26"/>
      <c r="J1706" s="26"/>
    </row>
    <row r="1707" spans="1:10" s="13" customFormat="1">
      <c r="A1707" s="26"/>
      <c r="B1707" s="26"/>
      <c r="C1707" s="26"/>
      <c r="D1707" s="26"/>
      <c r="E1707" s="26"/>
      <c r="F1707" s="26"/>
      <c r="G1707" s="26"/>
      <c r="H1707" s="26"/>
      <c r="I1707" s="26"/>
      <c r="J1707" s="26"/>
    </row>
    <row r="1708" spans="1:10" s="13" customFormat="1">
      <c r="A1708" s="26"/>
      <c r="B1708" s="26"/>
      <c r="C1708" s="26"/>
      <c r="D1708" s="26"/>
      <c r="E1708" s="26"/>
      <c r="F1708" s="26"/>
      <c r="G1708" s="26"/>
      <c r="H1708" s="26"/>
      <c r="I1708" s="26"/>
      <c r="J1708" s="26"/>
    </row>
    <row r="1709" spans="1:10" s="13" customFormat="1">
      <c r="A1709" s="26"/>
      <c r="B1709" s="26"/>
      <c r="C1709" s="26"/>
      <c r="D1709" s="26"/>
      <c r="E1709" s="26"/>
      <c r="F1709" s="26"/>
      <c r="G1709" s="26"/>
      <c r="H1709" s="26"/>
      <c r="I1709" s="26"/>
      <c r="J1709" s="26"/>
    </row>
    <row r="1710" spans="1:10" s="13" customFormat="1">
      <c r="A1710" s="26"/>
      <c r="B1710" s="26"/>
      <c r="C1710" s="26"/>
      <c r="D1710" s="26"/>
      <c r="E1710" s="26"/>
      <c r="F1710" s="26"/>
      <c r="G1710" s="26"/>
      <c r="H1710" s="26"/>
      <c r="I1710" s="26"/>
      <c r="J1710" s="26"/>
    </row>
    <row r="1711" spans="1:10" s="13" customFormat="1">
      <c r="A1711" s="26"/>
      <c r="B1711" s="26"/>
      <c r="C1711" s="26"/>
      <c r="D1711" s="26"/>
      <c r="E1711" s="26"/>
      <c r="F1711" s="26"/>
      <c r="G1711" s="26"/>
      <c r="H1711" s="26"/>
      <c r="I1711" s="26"/>
      <c r="J1711" s="26"/>
    </row>
    <row r="1712" spans="1:10" s="13" customFormat="1">
      <c r="A1712" s="26"/>
      <c r="B1712" s="26"/>
      <c r="C1712" s="26"/>
      <c r="D1712" s="26"/>
      <c r="E1712" s="26"/>
      <c r="F1712" s="26"/>
      <c r="G1712" s="26"/>
      <c r="H1712" s="26"/>
      <c r="I1712" s="26"/>
      <c r="J1712" s="26"/>
    </row>
    <row r="1713" spans="1:10" s="13" customFormat="1">
      <c r="A1713" s="26"/>
      <c r="B1713" s="26"/>
      <c r="C1713" s="26"/>
      <c r="D1713" s="26"/>
      <c r="E1713" s="26"/>
      <c r="F1713" s="26"/>
      <c r="G1713" s="26"/>
      <c r="H1713" s="26"/>
      <c r="I1713" s="26"/>
      <c r="J1713" s="26"/>
    </row>
    <row r="1714" spans="1:10" s="13" customFormat="1">
      <c r="A1714" s="26"/>
      <c r="B1714" s="26"/>
      <c r="C1714" s="26"/>
      <c r="D1714" s="26"/>
      <c r="E1714" s="26"/>
      <c r="F1714" s="26"/>
      <c r="G1714" s="26"/>
      <c r="H1714" s="26"/>
      <c r="I1714" s="26"/>
      <c r="J1714" s="26"/>
    </row>
    <row r="1715" spans="1:10" s="13" customFormat="1">
      <c r="A1715" s="26"/>
      <c r="B1715" s="26"/>
      <c r="C1715" s="26"/>
      <c r="D1715" s="26"/>
      <c r="E1715" s="26"/>
      <c r="F1715" s="26"/>
      <c r="G1715" s="26"/>
      <c r="H1715" s="26"/>
      <c r="I1715" s="26"/>
      <c r="J1715" s="26"/>
    </row>
    <row r="1716" spans="1:10" s="13" customFormat="1">
      <c r="A1716" s="26"/>
      <c r="B1716" s="26"/>
      <c r="C1716" s="26"/>
      <c r="D1716" s="26"/>
      <c r="E1716" s="26"/>
      <c r="F1716" s="26"/>
      <c r="G1716" s="26"/>
      <c r="H1716" s="26"/>
      <c r="I1716" s="26"/>
      <c r="J1716" s="26"/>
    </row>
    <row r="1717" spans="1:10" s="13" customFormat="1">
      <c r="A1717" s="26"/>
      <c r="B1717" s="26"/>
      <c r="C1717" s="26"/>
      <c r="D1717" s="26"/>
      <c r="E1717" s="26"/>
      <c r="F1717" s="26"/>
      <c r="G1717" s="26"/>
      <c r="H1717" s="26"/>
      <c r="I1717" s="26"/>
      <c r="J1717" s="26"/>
    </row>
    <row r="1718" spans="1:10" s="13" customFormat="1">
      <c r="A1718" s="26"/>
      <c r="B1718" s="26"/>
      <c r="C1718" s="26"/>
      <c r="D1718" s="26"/>
      <c r="E1718" s="26"/>
      <c r="F1718" s="26"/>
      <c r="G1718" s="26"/>
      <c r="H1718" s="26"/>
      <c r="I1718" s="26"/>
      <c r="J1718" s="26"/>
    </row>
    <row r="1719" spans="1:10" s="13" customFormat="1">
      <c r="A1719" s="26"/>
      <c r="B1719" s="26"/>
      <c r="C1719" s="26"/>
      <c r="D1719" s="26"/>
      <c r="E1719" s="26"/>
      <c r="F1719" s="26"/>
      <c r="G1719" s="26"/>
      <c r="H1719" s="26"/>
      <c r="I1719" s="26"/>
      <c r="J1719" s="26"/>
    </row>
    <row r="1720" spans="1:10" s="13" customFormat="1">
      <c r="A1720" s="26"/>
      <c r="B1720" s="26"/>
      <c r="C1720" s="26"/>
      <c r="D1720" s="26"/>
      <c r="E1720" s="26"/>
      <c r="F1720" s="26"/>
      <c r="G1720" s="26"/>
      <c r="H1720" s="26"/>
      <c r="I1720" s="26"/>
      <c r="J1720" s="26"/>
    </row>
    <row r="1721" spans="1:10" s="13" customFormat="1">
      <c r="A1721" s="26"/>
      <c r="B1721" s="26"/>
      <c r="C1721" s="26"/>
      <c r="D1721" s="26"/>
      <c r="E1721" s="26"/>
      <c r="F1721" s="26"/>
      <c r="G1721" s="26"/>
      <c r="H1721" s="26"/>
      <c r="I1721" s="26"/>
      <c r="J1721" s="26"/>
    </row>
    <row r="1722" spans="1:10" s="13" customFormat="1">
      <c r="A1722" s="26"/>
      <c r="B1722" s="26"/>
      <c r="C1722" s="26"/>
      <c r="D1722" s="26"/>
      <c r="E1722" s="26"/>
      <c r="F1722" s="26"/>
      <c r="G1722" s="26"/>
      <c r="H1722" s="26"/>
      <c r="I1722" s="26"/>
      <c r="J1722" s="26"/>
    </row>
    <row r="1723" spans="1:10" s="13" customFormat="1">
      <c r="A1723" s="26"/>
      <c r="B1723" s="26"/>
      <c r="C1723" s="26"/>
      <c r="D1723" s="26"/>
      <c r="E1723" s="26"/>
      <c r="F1723" s="26"/>
      <c r="G1723" s="26"/>
      <c r="H1723" s="26"/>
      <c r="I1723" s="26"/>
      <c r="J1723" s="26"/>
    </row>
    <row r="1724" spans="1:10" s="13" customFormat="1">
      <c r="A1724" s="26"/>
      <c r="B1724" s="26"/>
      <c r="C1724" s="26"/>
      <c r="D1724" s="26"/>
      <c r="E1724" s="26"/>
      <c r="F1724" s="26"/>
      <c r="G1724" s="26"/>
      <c r="H1724" s="26"/>
      <c r="I1724" s="26"/>
      <c r="J1724" s="26"/>
    </row>
    <row r="1725" spans="1:10" s="13" customFormat="1">
      <c r="A1725" s="26"/>
      <c r="B1725" s="26"/>
      <c r="C1725" s="26"/>
      <c r="D1725" s="26"/>
      <c r="E1725" s="26"/>
      <c r="F1725" s="26"/>
      <c r="G1725" s="26"/>
      <c r="H1725" s="26"/>
      <c r="I1725" s="26"/>
      <c r="J1725" s="26"/>
    </row>
    <row r="1726" spans="1:10" s="13" customFormat="1">
      <c r="A1726" s="26"/>
      <c r="B1726" s="26"/>
      <c r="C1726" s="26"/>
      <c r="D1726" s="26"/>
      <c r="E1726" s="26"/>
      <c r="F1726" s="26"/>
      <c r="G1726" s="26"/>
      <c r="H1726" s="26"/>
      <c r="I1726" s="26"/>
      <c r="J1726" s="26"/>
    </row>
    <row r="1727" spans="1:10" s="13" customFormat="1">
      <c r="A1727" s="26"/>
      <c r="B1727" s="26"/>
      <c r="C1727" s="26"/>
      <c r="D1727" s="26"/>
      <c r="E1727" s="26"/>
      <c r="F1727" s="26"/>
      <c r="G1727" s="26"/>
      <c r="H1727" s="26"/>
      <c r="I1727" s="26"/>
      <c r="J1727" s="26"/>
    </row>
    <row r="1728" spans="1:10" s="13" customFormat="1">
      <c r="A1728" s="26"/>
      <c r="B1728" s="26"/>
      <c r="C1728" s="26"/>
      <c r="D1728" s="26"/>
      <c r="E1728" s="26"/>
      <c r="F1728" s="26"/>
      <c r="G1728" s="26"/>
      <c r="H1728" s="26"/>
      <c r="I1728" s="26"/>
      <c r="J1728" s="26"/>
    </row>
    <row r="1729" spans="1:10" s="13" customFormat="1">
      <c r="A1729" s="26"/>
      <c r="B1729" s="26"/>
      <c r="C1729" s="26"/>
      <c r="D1729" s="26"/>
      <c r="E1729" s="26"/>
      <c r="F1729" s="26"/>
      <c r="G1729" s="26"/>
      <c r="H1729" s="26"/>
      <c r="I1729" s="26"/>
      <c r="J1729" s="26"/>
    </row>
    <row r="1730" spans="1:10" s="13" customFormat="1">
      <c r="A1730" s="26"/>
      <c r="B1730" s="26"/>
      <c r="C1730" s="26"/>
      <c r="D1730" s="26"/>
      <c r="E1730" s="26"/>
      <c r="F1730" s="26"/>
      <c r="G1730" s="26"/>
      <c r="H1730" s="26"/>
      <c r="I1730" s="26"/>
      <c r="J1730" s="26"/>
    </row>
    <row r="1731" spans="1:10" s="13" customFormat="1">
      <c r="A1731" s="26"/>
      <c r="B1731" s="26"/>
      <c r="C1731" s="26"/>
      <c r="D1731" s="26"/>
      <c r="E1731" s="26"/>
      <c r="F1731" s="26"/>
      <c r="G1731" s="26"/>
      <c r="H1731" s="26"/>
      <c r="I1731" s="26"/>
      <c r="J1731" s="26"/>
    </row>
    <row r="1732" spans="1:10" s="13" customFormat="1">
      <c r="A1732" s="26"/>
      <c r="B1732" s="26"/>
      <c r="C1732" s="26"/>
      <c r="D1732" s="26"/>
      <c r="E1732" s="26"/>
      <c r="F1732" s="26"/>
      <c r="G1732" s="26"/>
      <c r="H1732" s="26"/>
      <c r="I1732" s="26"/>
      <c r="J1732" s="26"/>
    </row>
    <row r="1733" spans="1:10" s="13" customFormat="1">
      <c r="A1733" s="26"/>
      <c r="B1733" s="26"/>
      <c r="C1733" s="26"/>
      <c r="D1733" s="26"/>
      <c r="E1733" s="26"/>
      <c r="F1733" s="26"/>
      <c r="G1733" s="26"/>
      <c r="H1733" s="26"/>
      <c r="I1733" s="26"/>
      <c r="J1733" s="26"/>
    </row>
    <row r="1734" spans="1:10" s="13" customFormat="1">
      <c r="A1734" s="26"/>
      <c r="B1734" s="26"/>
      <c r="C1734" s="26"/>
      <c r="D1734" s="26"/>
      <c r="E1734" s="26"/>
      <c r="F1734" s="26"/>
      <c r="G1734" s="26"/>
      <c r="H1734" s="26"/>
      <c r="I1734" s="26"/>
      <c r="J1734" s="26"/>
    </row>
    <row r="1735" spans="1:10" s="13" customFormat="1">
      <c r="A1735" s="26"/>
      <c r="B1735" s="26"/>
      <c r="C1735" s="26"/>
      <c r="D1735" s="26"/>
      <c r="E1735" s="26"/>
      <c r="F1735" s="26"/>
      <c r="G1735" s="26"/>
      <c r="H1735" s="26"/>
      <c r="I1735" s="26"/>
      <c r="J1735" s="26"/>
    </row>
    <row r="1736" spans="1:10" s="13" customFormat="1">
      <c r="A1736" s="26"/>
      <c r="B1736" s="26"/>
      <c r="C1736" s="26"/>
      <c r="D1736" s="26"/>
      <c r="E1736" s="26"/>
      <c r="F1736" s="26"/>
      <c r="G1736" s="26"/>
      <c r="H1736" s="26"/>
      <c r="I1736" s="26"/>
      <c r="J1736" s="26"/>
    </row>
    <row r="1737" spans="1:10" s="13" customFormat="1">
      <c r="A1737" s="26"/>
      <c r="B1737" s="26"/>
      <c r="C1737" s="26"/>
      <c r="D1737" s="26"/>
      <c r="E1737" s="26"/>
      <c r="F1737" s="26"/>
      <c r="G1737" s="26"/>
      <c r="H1737" s="26"/>
      <c r="I1737" s="26"/>
      <c r="J1737" s="26"/>
    </row>
    <row r="1738" spans="1:10" s="13" customFormat="1">
      <c r="A1738" s="26"/>
      <c r="B1738" s="26"/>
      <c r="C1738" s="26"/>
      <c r="D1738" s="26"/>
      <c r="E1738" s="26"/>
      <c r="F1738" s="26"/>
      <c r="G1738" s="26"/>
      <c r="H1738" s="26"/>
      <c r="I1738" s="26"/>
      <c r="J1738" s="26"/>
    </row>
    <row r="1739" spans="1:10" s="13" customFormat="1">
      <c r="A1739" s="26"/>
      <c r="B1739" s="26"/>
      <c r="C1739" s="26"/>
      <c r="D1739" s="26"/>
      <c r="E1739" s="26"/>
      <c r="F1739" s="26"/>
      <c r="G1739" s="26"/>
      <c r="H1739" s="26"/>
      <c r="I1739" s="26"/>
      <c r="J1739" s="26"/>
    </row>
    <row r="1740" spans="1:10" s="13" customFormat="1">
      <c r="A1740" s="26"/>
      <c r="B1740" s="26"/>
      <c r="C1740" s="26"/>
      <c r="D1740" s="26"/>
      <c r="E1740" s="26"/>
      <c r="F1740" s="26"/>
      <c r="G1740" s="26"/>
      <c r="H1740" s="26"/>
      <c r="I1740" s="26"/>
      <c r="J1740" s="26"/>
    </row>
    <row r="1741" spans="1:10" s="13" customFormat="1">
      <c r="A1741" s="26"/>
      <c r="B1741" s="26"/>
      <c r="C1741" s="26"/>
      <c r="D1741" s="26"/>
      <c r="E1741" s="26"/>
      <c r="F1741" s="26"/>
      <c r="G1741" s="26"/>
      <c r="H1741" s="26"/>
      <c r="I1741" s="26"/>
      <c r="J1741" s="26"/>
    </row>
    <row r="1742" spans="1:10" s="13" customFormat="1">
      <c r="A1742" s="26"/>
      <c r="B1742" s="26"/>
      <c r="C1742" s="26"/>
      <c r="D1742" s="26"/>
      <c r="E1742" s="26"/>
      <c r="F1742" s="26"/>
      <c r="G1742" s="26"/>
      <c r="H1742" s="26"/>
      <c r="I1742" s="26"/>
      <c r="J1742" s="26"/>
    </row>
    <row r="1743" spans="1:10" s="13" customFormat="1">
      <c r="A1743" s="26"/>
      <c r="B1743" s="26"/>
      <c r="C1743" s="26"/>
      <c r="D1743" s="26"/>
      <c r="E1743" s="26"/>
      <c r="F1743" s="26"/>
      <c r="G1743" s="26"/>
      <c r="H1743" s="26"/>
      <c r="I1743" s="26"/>
      <c r="J1743" s="26"/>
    </row>
    <row r="1744" spans="1:10" s="13" customFormat="1">
      <c r="A1744" s="26"/>
      <c r="B1744" s="26"/>
      <c r="C1744" s="26"/>
      <c r="D1744" s="26"/>
      <c r="E1744" s="26"/>
      <c r="F1744" s="26"/>
      <c r="G1744" s="26"/>
      <c r="H1744" s="26"/>
      <c r="I1744" s="26"/>
      <c r="J1744" s="26"/>
    </row>
    <row r="1745" spans="1:10" s="13" customFormat="1">
      <c r="A1745" s="26"/>
      <c r="B1745" s="26"/>
      <c r="C1745" s="26"/>
      <c r="D1745" s="26"/>
      <c r="E1745" s="26"/>
      <c r="F1745" s="26"/>
      <c r="G1745" s="26"/>
      <c r="H1745" s="26"/>
      <c r="I1745" s="26"/>
      <c r="J1745" s="26"/>
    </row>
    <row r="1746" spans="1:10" s="13" customFormat="1">
      <c r="A1746" s="26"/>
      <c r="B1746" s="26"/>
      <c r="C1746" s="26"/>
      <c r="D1746" s="26"/>
      <c r="E1746" s="26"/>
      <c r="F1746" s="26"/>
      <c r="G1746" s="26"/>
      <c r="H1746" s="26"/>
      <c r="I1746" s="26"/>
      <c r="J1746" s="26"/>
    </row>
    <row r="1747" spans="1:10" s="13" customFormat="1">
      <c r="A1747" s="26"/>
      <c r="B1747" s="26"/>
      <c r="C1747" s="26"/>
      <c r="D1747" s="26"/>
      <c r="E1747" s="26"/>
      <c r="F1747" s="26"/>
      <c r="G1747" s="26"/>
      <c r="H1747" s="26"/>
      <c r="I1747" s="26"/>
      <c r="J1747" s="26"/>
    </row>
    <row r="1748" spans="1:10" s="13" customFormat="1">
      <c r="A1748" s="26"/>
      <c r="B1748" s="26"/>
      <c r="C1748" s="26"/>
      <c r="D1748" s="26"/>
      <c r="E1748" s="26"/>
      <c r="F1748" s="26"/>
      <c r="G1748" s="26"/>
      <c r="H1748" s="26"/>
      <c r="I1748" s="26"/>
      <c r="J1748" s="26"/>
    </row>
    <row r="1749" spans="1:10" s="13" customFormat="1">
      <c r="A1749" s="26"/>
      <c r="B1749" s="26"/>
      <c r="C1749" s="26"/>
      <c r="D1749" s="26"/>
      <c r="E1749" s="26"/>
      <c r="F1749" s="26"/>
      <c r="G1749" s="26"/>
      <c r="H1749" s="26"/>
      <c r="I1749" s="26"/>
      <c r="J1749" s="26"/>
    </row>
    <row r="1750" spans="1:10" s="13" customFormat="1">
      <c r="A1750" s="26"/>
      <c r="B1750" s="26"/>
      <c r="C1750" s="26"/>
      <c r="D1750" s="26"/>
      <c r="E1750" s="26"/>
      <c r="F1750" s="26"/>
      <c r="G1750" s="26"/>
      <c r="H1750" s="26"/>
      <c r="I1750" s="26"/>
      <c r="J1750" s="26"/>
    </row>
    <row r="1751" spans="1:10" s="13" customFormat="1">
      <c r="A1751" s="26"/>
      <c r="B1751" s="26"/>
      <c r="C1751" s="26"/>
      <c r="D1751" s="26"/>
      <c r="E1751" s="26"/>
      <c r="F1751" s="26"/>
      <c r="G1751" s="26"/>
      <c r="H1751" s="26"/>
      <c r="I1751" s="26"/>
      <c r="J1751" s="26"/>
    </row>
    <row r="1752" spans="1:10" s="13" customFormat="1">
      <c r="A1752" s="26"/>
      <c r="B1752" s="26"/>
      <c r="C1752" s="26"/>
      <c r="D1752" s="26"/>
      <c r="E1752" s="26"/>
      <c r="F1752" s="26"/>
      <c r="G1752" s="26"/>
      <c r="H1752" s="26"/>
      <c r="I1752" s="26"/>
      <c r="J1752" s="26"/>
    </row>
    <row r="1753" spans="1:10" s="13" customFormat="1">
      <c r="A1753" s="26"/>
      <c r="B1753" s="26"/>
      <c r="C1753" s="26"/>
      <c r="D1753" s="26"/>
      <c r="E1753" s="26"/>
      <c r="F1753" s="26"/>
      <c r="G1753" s="26"/>
      <c r="H1753" s="26"/>
      <c r="I1753" s="26"/>
      <c r="J1753" s="26"/>
    </row>
    <row r="1754" spans="1:10" s="13" customFormat="1">
      <c r="A1754" s="26"/>
      <c r="B1754" s="26"/>
      <c r="C1754" s="26"/>
      <c r="D1754" s="26"/>
      <c r="E1754" s="26"/>
      <c r="F1754" s="26"/>
      <c r="G1754" s="26"/>
      <c r="H1754" s="26"/>
      <c r="I1754" s="26"/>
      <c r="J1754" s="26"/>
    </row>
    <row r="1755" spans="1:10" s="13" customFormat="1">
      <c r="A1755" s="26"/>
      <c r="B1755" s="26"/>
      <c r="C1755" s="26"/>
      <c r="D1755" s="26"/>
      <c r="E1755" s="26"/>
      <c r="F1755" s="26"/>
      <c r="G1755" s="26"/>
      <c r="H1755" s="26"/>
      <c r="I1755" s="26"/>
      <c r="J1755" s="26"/>
    </row>
    <row r="1756" spans="1:10" s="13" customFormat="1">
      <c r="A1756" s="26"/>
      <c r="B1756" s="26"/>
      <c r="C1756" s="26"/>
      <c r="D1756" s="26"/>
      <c r="E1756" s="26"/>
      <c r="F1756" s="26"/>
      <c r="G1756" s="26"/>
      <c r="H1756" s="26"/>
      <c r="I1756" s="26"/>
      <c r="J1756" s="26"/>
    </row>
    <row r="1757" spans="1:10" s="13" customFormat="1">
      <c r="A1757" s="26"/>
      <c r="B1757" s="26"/>
      <c r="C1757" s="26"/>
      <c r="D1757" s="26"/>
      <c r="E1757" s="26"/>
      <c r="F1757" s="26"/>
      <c r="G1757" s="26"/>
      <c r="H1757" s="26"/>
      <c r="I1757" s="26"/>
      <c r="J1757" s="26"/>
    </row>
    <row r="1758" spans="1:10" s="13" customFormat="1">
      <c r="A1758" s="26"/>
      <c r="B1758" s="26"/>
      <c r="C1758" s="26"/>
      <c r="D1758" s="26"/>
      <c r="E1758" s="26"/>
      <c r="F1758" s="26"/>
      <c r="G1758" s="26"/>
      <c r="H1758" s="26"/>
      <c r="I1758" s="26"/>
      <c r="J1758" s="26"/>
    </row>
    <row r="1759" spans="1:10" s="13" customFormat="1">
      <c r="A1759" s="26"/>
      <c r="B1759" s="26"/>
      <c r="C1759" s="26"/>
      <c r="D1759" s="26"/>
      <c r="E1759" s="26"/>
      <c r="F1759" s="26"/>
      <c r="G1759" s="26"/>
      <c r="H1759" s="26"/>
      <c r="I1759" s="26"/>
      <c r="J1759" s="26"/>
    </row>
    <row r="1760" spans="1:10" s="13" customFormat="1">
      <c r="A1760" s="26"/>
      <c r="B1760" s="26"/>
      <c r="C1760" s="26"/>
      <c r="D1760" s="26"/>
      <c r="E1760" s="26"/>
      <c r="F1760" s="26"/>
      <c r="G1760" s="26"/>
      <c r="H1760" s="26"/>
      <c r="I1760" s="26"/>
      <c r="J1760" s="26"/>
    </row>
    <row r="1761" spans="1:10" s="13" customFormat="1">
      <c r="A1761" s="26"/>
      <c r="B1761" s="26"/>
      <c r="C1761" s="26"/>
      <c r="D1761" s="26"/>
      <c r="E1761" s="26"/>
      <c r="F1761" s="26"/>
      <c r="G1761" s="26"/>
      <c r="H1761" s="26"/>
      <c r="I1761" s="26"/>
      <c r="J1761" s="26"/>
    </row>
    <row r="1762" spans="1:10" s="13" customFormat="1">
      <c r="A1762" s="26"/>
      <c r="B1762" s="26"/>
      <c r="C1762" s="26"/>
      <c r="D1762" s="26"/>
      <c r="E1762" s="26"/>
      <c r="F1762" s="26"/>
      <c r="G1762" s="26"/>
      <c r="H1762" s="26"/>
      <c r="I1762" s="26"/>
      <c r="J1762" s="26"/>
    </row>
    <row r="1763" spans="1:10" s="13" customFormat="1">
      <c r="A1763" s="26"/>
      <c r="B1763" s="26"/>
      <c r="C1763" s="26"/>
      <c r="D1763" s="26"/>
      <c r="E1763" s="26"/>
      <c r="F1763" s="26"/>
      <c r="G1763" s="26"/>
      <c r="H1763" s="26"/>
      <c r="I1763" s="26"/>
      <c r="J1763" s="26"/>
    </row>
    <row r="1764" spans="1:10" s="13" customFormat="1">
      <c r="A1764" s="26"/>
      <c r="B1764" s="26"/>
      <c r="C1764" s="26"/>
      <c r="D1764" s="26"/>
      <c r="E1764" s="26"/>
      <c r="F1764" s="26"/>
      <c r="G1764" s="26"/>
      <c r="H1764" s="26"/>
      <c r="I1764" s="26"/>
      <c r="J1764" s="26"/>
    </row>
    <row r="1765" spans="1:10" s="13" customFormat="1">
      <c r="A1765" s="26"/>
      <c r="B1765" s="26"/>
      <c r="C1765" s="26"/>
      <c r="D1765" s="26"/>
      <c r="E1765" s="26"/>
      <c r="F1765" s="26"/>
      <c r="G1765" s="26"/>
      <c r="H1765" s="26"/>
      <c r="I1765" s="26"/>
      <c r="J1765" s="26"/>
    </row>
    <row r="1766" spans="1:10" s="13" customFormat="1">
      <c r="A1766" s="26"/>
      <c r="B1766" s="26"/>
      <c r="C1766" s="26"/>
      <c r="D1766" s="26"/>
      <c r="E1766" s="26"/>
      <c r="F1766" s="26"/>
      <c r="G1766" s="26"/>
      <c r="H1766" s="26"/>
      <c r="I1766" s="26"/>
      <c r="J1766" s="26"/>
    </row>
    <row r="1767" spans="1:10" s="13" customFormat="1">
      <c r="A1767" s="26"/>
      <c r="B1767" s="26"/>
      <c r="C1767" s="26"/>
      <c r="D1767" s="26"/>
      <c r="E1767" s="26"/>
      <c r="F1767" s="26"/>
      <c r="G1767" s="26"/>
      <c r="H1767" s="26"/>
      <c r="I1767" s="26"/>
      <c r="J1767" s="26"/>
    </row>
    <row r="1768" spans="1:10" s="13" customFormat="1">
      <c r="A1768" s="26"/>
      <c r="B1768" s="26"/>
      <c r="C1768" s="26"/>
      <c r="D1768" s="26"/>
      <c r="E1768" s="26"/>
      <c r="F1768" s="26"/>
      <c r="G1768" s="26"/>
      <c r="H1768" s="26"/>
      <c r="I1768" s="26"/>
      <c r="J1768" s="26"/>
    </row>
    <row r="1769" spans="1:10" s="13" customFormat="1">
      <c r="A1769" s="26"/>
      <c r="B1769" s="26"/>
      <c r="C1769" s="26"/>
      <c r="D1769" s="26"/>
      <c r="E1769" s="26"/>
      <c r="F1769" s="26"/>
      <c r="G1769" s="26"/>
      <c r="H1769" s="26"/>
      <c r="I1769" s="26"/>
      <c r="J1769" s="26"/>
    </row>
    <row r="1770" spans="1:10" s="13" customFormat="1">
      <c r="A1770" s="26"/>
      <c r="B1770" s="26"/>
      <c r="C1770" s="26"/>
      <c r="D1770" s="26"/>
      <c r="E1770" s="26"/>
      <c r="F1770" s="26"/>
      <c r="G1770" s="26"/>
      <c r="H1770" s="26"/>
      <c r="I1770" s="26"/>
      <c r="J1770" s="26"/>
    </row>
    <row r="1771" spans="1:10" s="13" customFormat="1">
      <c r="A1771" s="26"/>
      <c r="B1771" s="26"/>
      <c r="C1771" s="26"/>
      <c r="D1771" s="26"/>
      <c r="E1771" s="26"/>
      <c r="F1771" s="26"/>
      <c r="G1771" s="26"/>
      <c r="H1771" s="26"/>
      <c r="I1771" s="26"/>
      <c r="J1771" s="26"/>
    </row>
    <row r="1772" spans="1:10" s="13" customFormat="1">
      <c r="A1772" s="26"/>
      <c r="B1772" s="26"/>
      <c r="C1772" s="26"/>
      <c r="D1772" s="26"/>
      <c r="E1772" s="26"/>
      <c r="F1772" s="26"/>
      <c r="G1772" s="26"/>
      <c r="H1772" s="26"/>
      <c r="I1772" s="26"/>
      <c r="J1772" s="26"/>
    </row>
    <row r="1773" spans="1:10" s="13" customFormat="1">
      <c r="A1773" s="26"/>
      <c r="B1773" s="26"/>
      <c r="C1773" s="26"/>
      <c r="D1773" s="26"/>
      <c r="E1773" s="26"/>
      <c r="F1773" s="26"/>
      <c r="G1773" s="26"/>
      <c r="H1773" s="26"/>
      <c r="I1773" s="26"/>
      <c r="J1773" s="26"/>
    </row>
    <row r="1774" spans="1:10" s="13" customFormat="1">
      <c r="A1774" s="26"/>
      <c r="B1774" s="26"/>
      <c r="C1774" s="26"/>
      <c r="D1774" s="26"/>
      <c r="E1774" s="26"/>
      <c r="F1774" s="26"/>
      <c r="G1774" s="26"/>
      <c r="H1774" s="26"/>
      <c r="I1774" s="26"/>
      <c r="J1774" s="26"/>
    </row>
    <row r="1775" spans="1:10" s="13" customFormat="1">
      <c r="A1775" s="26"/>
      <c r="B1775" s="26"/>
      <c r="C1775" s="26"/>
      <c r="D1775" s="26"/>
      <c r="E1775" s="26"/>
      <c r="F1775" s="26"/>
      <c r="G1775" s="26"/>
      <c r="H1775" s="26"/>
      <c r="I1775" s="26"/>
      <c r="J1775" s="26"/>
    </row>
    <row r="1776" spans="1:10" s="13" customFormat="1">
      <c r="A1776" s="26"/>
      <c r="B1776" s="26"/>
      <c r="C1776" s="26"/>
      <c r="D1776" s="26"/>
      <c r="E1776" s="26"/>
      <c r="F1776" s="26"/>
      <c r="G1776" s="26"/>
      <c r="H1776" s="26"/>
      <c r="I1776" s="26"/>
      <c r="J1776" s="26"/>
    </row>
    <row r="1777" spans="1:10" s="13" customFormat="1">
      <c r="A1777" s="26"/>
      <c r="B1777" s="26"/>
      <c r="C1777" s="26"/>
      <c r="D1777" s="26"/>
      <c r="E1777" s="26"/>
      <c r="F1777" s="26"/>
      <c r="G1777" s="26"/>
      <c r="H1777" s="26"/>
      <c r="I1777" s="26"/>
      <c r="J1777" s="26"/>
    </row>
    <row r="1778" spans="1:10" s="13" customFormat="1">
      <c r="A1778" s="26"/>
      <c r="B1778" s="26"/>
      <c r="C1778" s="26"/>
      <c r="D1778" s="26"/>
      <c r="E1778" s="26"/>
      <c r="F1778" s="26"/>
      <c r="G1778" s="26"/>
      <c r="H1778" s="26"/>
      <c r="I1778" s="26"/>
      <c r="J1778" s="26"/>
    </row>
    <row r="1779" spans="1:10" s="13" customFormat="1">
      <c r="A1779" s="26"/>
      <c r="B1779" s="26"/>
      <c r="C1779" s="26"/>
      <c r="D1779" s="26"/>
      <c r="E1779" s="26"/>
      <c r="F1779" s="26"/>
      <c r="G1779" s="26"/>
      <c r="H1779" s="26"/>
      <c r="I1779" s="26"/>
      <c r="J1779" s="26"/>
    </row>
    <row r="1780" spans="1:10" s="13" customFormat="1">
      <c r="A1780" s="26"/>
      <c r="B1780" s="26"/>
      <c r="C1780" s="26"/>
      <c r="D1780" s="26"/>
      <c r="E1780" s="26"/>
      <c r="F1780" s="26"/>
      <c r="G1780" s="26"/>
      <c r="H1780" s="26"/>
      <c r="I1780" s="26"/>
      <c r="J1780" s="26"/>
    </row>
    <row r="1781" spans="1:10" s="13" customFormat="1">
      <c r="A1781" s="26"/>
      <c r="B1781" s="26"/>
      <c r="C1781" s="26"/>
      <c r="D1781" s="26"/>
      <c r="E1781" s="26"/>
      <c r="F1781" s="26"/>
      <c r="G1781" s="26"/>
      <c r="H1781" s="26"/>
      <c r="I1781" s="26"/>
      <c r="J1781" s="26"/>
    </row>
    <row r="1782" spans="1:10" s="13" customFormat="1">
      <c r="A1782" s="26"/>
      <c r="B1782" s="26"/>
      <c r="C1782" s="26"/>
      <c r="D1782" s="26"/>
      <c r="E1782" s="26"/>
      <c r="F1782" s="26"/>
      <c r="G1782" s="26"/>
      <c r="H1782" s="26"/>
      <c r="I1782" s="26"/>
      <c r="J1782" s="26"/>
    </row>
    <row r="1783" spans="1:10" s="13" customFormat="1">
      <c r="A1783" s="26"/>
      <c r="B1783" s="26"/>
      <c r="C1783" s="26"/>
      <c r="D1783" s="26"/>
      <c r="E1783" s="26"/>
      <c r="F1783" s="26"/>
      <c r="G1783" s="26"/>
      <c r="H1783" s="26"/>
      <c r="I1783" s="26"/>
      <c r="J1783" s="26"/>
    </row>
    <row r="1784" spans="1:10" s="13" customFormat="1">
      <c r="A1784" s="26"/>
      <c r="B1784" s="26"/>
      <c r="C1784" s="26"/>
      <c r="D1784" s="26"/>
      <c r="E1784" s="26"/>
      <c r="F1784" s="26"/>
      <c r="G1784" s="26"/>
      <c r="H1784" s="26"/>
      <c r="I1784" s="26"/>
      <c r="J1784" s="26"/>
    </row>
    <row r="1785" spans="1:10" s="13" customFormat="1">
      <c r="A1785" s="26"/>
      <c r="B1785" s="26"/>
      <c r="C1785" s="26"/>
      <c r="D1785" s="26"/>
      <c r="E1785" s="26"/>
      <c r="F1785" s="26"/>
      <c r="G1785" s="26"/>
      <c r="H1785" s="26"/>
      <c r="I1785" s="26"/>
      <c r="J1785" s="26"/>
    </row>
    <row r="1786" spans="1:10" s="13" customFormat="1">
      <c r="A1786" s="26"/>
      <c r="B1786" s="26"/>
      <c r="C1786" s="26"/>
      <c r="D1786" s="26"/>
      <c r="E1786" s="26"/>
      <c r="F1786" s="26"/>
      <c r="G1786" s="26"/>
      <c r="H1786" s="26"/>
      <c r="I1786" s="26"/>
      <c r="J1786" s="26"/>
    </row>
    <row r="1787" spans="1:10" s="13" customFormat="1">
      <c r="A1787" s="26"/>
      <c r="B1787" s="26"/>
      <c r="C1787" s="26"/>
      <c r="D1787" s="26"/>
      <c r="E1787" s="26"/>
      <c r="F1787" s="26"/>
      <c r="G1787" s="26"/>
      <c r="H1787" s="26"/>
      <c r="I1787" s="26"/>
      <c r="J1787" s="26"/>
    </row>
    <row r="1788" spans="1:10" s="13" customFormat="1">
      <c r="A1788" s="26"/>
      <c r="B1788" s="26"/>
      <c r="C1788" s="26"/>
      <c r="D1788" s="26"/>
      <c r="E1788" s="26"/>
      <c r="F1788" s="26"/>
      <c r="G1788" s="26"/>
      <c r="H1788" s="26"/>
      <c r="I1788" s="26"/>
      <c r="J1788" s="26"/>
    </row>
    <row r="1789" spans="1:10" s="13" customFormat="1">
      <c r="A1789" s="26"/>
      <c r="B1789" s="26"/>
      <c r="C1789" s="26"/>
      <c r="D1789" s="26"/>
      <c r="E1789" s="26"/>
      <c r="F1789" s="26"/>
      <c r="G1789" s="26"/>
      <c r="H1789" s="26"/>
      <c r="I1789" s="26"/>
      <c r="J1789" s="26"/>
    </row>
    <row r="1790" spans="1:10" s="13" customFormat="1">
      <c r="A1790" s="26"/>
      <c r="B1790" s="26"/>
      <c r="C1790" s="26"/>
      <c r="D1790" s="26"/>
      <c r="E1790" s="26"/>
      <c r="F1790" s="26"/>
      <c r="G1790" s="26"/>
      <c r="H1790" s="26"/>
      <c r="I1790" s="26"/>
      <c r="J1790" s="26"/>
    </row>
    <row r="1791" spans="1:10" s="13" customFormat="1">
      <c r="A1791" s="26"/>
      <c r="B1791" s="26"/>
      <c r="C1791" s="26"/>
      <c r="D1791" s="26"/>
      <c r="E1791" s="26"/>
      <c r="F1791" s="26"/>
      <c r="G1791" s="26"/>
      <c r="H1791" s="26"/>
      <c r="I1791" s="26"/>
      <c r="J1791" s="26"/>
    </row>
    <row r="1792" spans="1:10" s="13" customFormat="1">
      <c r="A1792" s="26"/>
      <c r="B1792" s="26"/>
      <c r="C1792" s="26"/>
      <c r="D1792" s="26"/>
      <c r="E1792" s="26"/>
      <c r="F1792" s="26"/>
      <c r="G1792" s="26"/>
      <c r="H1792" s="26"/>
      <c r="I1792" s="26"/>
      <c r="J1792" s="26"/>
    </row>
    <row r="1793" spans="1:10" s="13" customFormat="1">
      <c r="A1793" s="26"/>
      <c r="B1793" s="26"/>
      <c r="C1793" s="26"/>
      <c r="D1793" s="26"/>
      <c r="E1793" s="26"/>
      <c r="F1793" s="26"/>
      <c r="G1793" s="26"/>
      <c r="H1793" s="26"/>
      <c r="I1793" s="26"/>
      <c r="J1793" s="26"/>
    </row>
    <row r="1794" spans="1:10" s="13" customFormat="1">
      <c r="A1794" s="26"/>
      <c r="B1794" s="26"/>
      <c r="C1794" s="26"/>
      <c r="D1794" s="26"/>
      <c r="E1794" s="26"/>
      <c r="F1794" s="26"/>
      <c r="G1794" s="26"/>
      <c r="H1794" s="26"/>
      <c r="I1794" s="26"/>
      <c r="J1794" s="26"/>
    </row>
    <row r="1795" spans="1:10" s="13" customFormat="1">
      <c r="A1795" s="26"/>
      <c r="B1795" s="26"/>
      <c r="C1795" s="26"/>
      <c r="D1795" s="26"/>
      <c r="E1795" s="26"/>
      <c r="F1795" s="26"/>
      <c r="G1795" s="26"/>
      <c r="H1795" s="26"/>
      <c r="I1795" s="26"/>
      <c r="J1795" s="26"/>
    </row>
    <row r="1796" spans="1:10" s="13" customFormat="1">
      <c r="A1796" s="26"/>
      <c r="B1796" s="26"/>
      <c r="C1796" s="26"/>
      <c r="D1796" s="26"/>
      <c r="E1796" s="26"/>
      <c r="F1796" s="26"/>
      <c r="G1796" s="26"/>
      <c r="H1796" s="26"/>
      <c r="I1796" s="26"/>
      <c r="J1796" s="26"/>
    </row>
    <row r="1797" spans="1:10" s="13" customFormat="1">
      <c r="A1797" s="26"/>
      <c r="B1797" s="26"/>
      <c r="C1797" s="26"/>
      <c r="D1797" s="26"/>
      <c r="E1797" s="26"/>
      <c r="F1797" s="26"/>
      <c r="G1797" s="26"/>
      <c r="H1797" s="26"/>
      <c r="I1797" s="26"/>
      <c r="J1797" s="26"/>
    </row>
    <row r="1798" spans="1:10" s="13" customFormat="1">
      <c r="A1798" s="26"/>
      <c r="B1798" s="26"/>
      <c r="C1798" s="26"/>
      <c r="D1798" s="26"/>
      <c r="E1798" s="26"/>
      <c r="F1798" s="26"/>
      <c r="G1798" s="26"/>
      <c r="H1798" s="26"/>
      <c r="I1798" s="26"/>
      <c r="J1798" s="26"/>
    </row>
    <row r="1799" spans="1:10" s="13" customFormat="1">
      <c r="A1799" s="26"/>
      <c r="B1799" s="26"/>
      <c r="C1799" s="26"/>
      <c r="D1799" s="26"/>
      <c r="E1799" s="26"/>
      <c r="F1799" s="26"/>
      <c r="G1799" s="26"/>
      <c r="H1799" s="26"/>
      <c r="I1799" s="26"/>
      <c r="J1799" s="26"/>
    </row>
    <row r="1800" spans="1:10" s="13" customFormat="1">
      <c r="A1800" s="26"/>
      <c r="B1800" s="26"/>
      <c r="C1800" s="26"/>
      <c r="D1800" s="26"/>
      <c r="E1800" s="26"/>
      <c r="F1800" s="26"/>
      <c r="G1800" s="26"/>
      <c r="H1800" s="26"/>
      <c r="I1800" s="26"/>
      <c r="J1800" s="26"/>
    </row>
    <row r="1801" spans="1:10" s="13" customFormat="1">
      <c r="A1801" s="26"/>
      <c r="B1801" s="26"/>
      <c r="C1801" s="26"/>
      <c r="D1801" s="26"/>
      <c r="E1801" s="26"/>
      <c r="F1801" s="26"/>
      <c r="G1801" s="26"/>
      <c r="H1801" s="26"/>
      <c r="I1801" s="26"/>
      <c r="J1801" s="26"/>
    </row>
    <row r="1802" spans="1:10" s="13" customFormat="1">
      <c r="A1802" s="26"/>
      <c r="B1802" s="26"/>
      <c r="C1802" s="26"/>
      <c r="D1802" s="26"/>
      <c r="E1802" s="26"/>
      <c r="F1802" s="26"/>
      <c r="G1802" s="26"/>
      <c r="H1802" s="26"/>
      <c r="I1802" s="26"/>
      <c r="J1802" s="26"/>
    </row>
    <row r="1803" spans="1:10" s="13" customFormat="1">
      <c r="A1803" s="26"/>
      <c r="B1803" s="26"/>
      <c r="C1803" s="26"/>
      <c r="D1803" s="26"/>
      <c r="E1803" s="26"/>
      <c r="F1803" s="26"/>
      <c r="G1803" s="26"/>
      <c r="H1803" s="26"/>
      <c r="I1803" s="26"/>
      <c r="J1803" s="26"/>
    </row>
    <row r="1804" spans="1:10" s="13" customFormat="1">
      <c r="A1804" s="26"/>
      <c r="B1804" s="26"/>
      <c r="C1804" s="26"/>
      <c r="D1804" s="26"/>
      <c r="E1804" s="26"/>
      <c r="F1804" s="26"/>
      <c r="G1804" s="26"/>
      <c r="H1804" s="26"/>
      <c r="I1804" s="26"/>
      <c r="J1804" s="26"/>
    </row>
    <row r="1805" spans="1:10" s="13" customFormat="1">
      <c r="A1805" s="26"/>
      <c r="B1805" s="26"/>
      <c r="C1805" s="26"/>
      <c r="D1805" s="26"/>
      <c r="E1805" s="26"/>
      <c r="F1805" s="26"/>
      <c r="G1805" s="26"/>
      <c r="H1805" s="26"/>
      <c r="I1805" s="26"/>
      <c r="J1805" s="26"/>
    </row>
    <row r="1806" spans="1:10" s="13" customFormat="1">
      <c r="A1806" s="26"/>
      <c r="B1806" s="26"/>
      <c r="C1806" s="26"/>
      <c r="D1806" s="26"/>
      <c r="E1806" s="26"/>
      <c r="F1806" s="26"/>
      <c r="G1806" s="26"/>
      <c r="H1806" s="26"/>
      <c r="I1806" s="26"/>
      <c r="J1806" s="26"/>
    </row>
    <row r="1807" spans="1:10" s="13" customFormat="1">
      <c r="A1807" s="26"/>
      <c r="B1807" s="26"/>
      <c r="C1807" s="26"/>
      <c r="D1807" s="26"/>
      <c r="E1807" s="26"/>
      <c r="F1807" s="26"/>
      <c r="G1807" s="26"/>
      <c r="H1807" s="26"/>
      <c r="I1807" s="26"/>
      <c r="J1807" s="26"/>
    </row>
    <row r="1808" spans="1:10" s="13" customFormat="1">
      <c r="A1808" s="26"/>
      <c r="B1808" s="26"/>
      <c r="C1808" s="26"/>
      <c r="D1808" s="26"/>
      <c r="E1808" s="26"/>
      <c r="F1808" s="26"/>
      <c r="G1808" s="26"/>
      <c r="H1808" s="26"/>
      <c r="I1808" s="26"/>
      <c r="J1808" s="26"/>
    </row>
    <row r="1809" spans="1:10" s="13" customFormat="1">
      <c r="A1809" s="26"/>
      <c r="B1809" s="26"/>
      <c r="C1809" s="26"/>
      <c r="D1809" s="26"/>
      <c r="E1809" s="26"/>
      <c r="F1809" s="26"/>
      <c r="G1809" s="26"/>
      <c r="H1809" s="26"/>
      <c r="I1809" s="26"/>
      <c r="J1809" s="26"/>
    </row>
    <row r="1810" spans="1:10" s="13" customFormat="1">
      <c r="A1810" s="26"/>
      <c r="B1810" s="26"/>
      <c r="C1810" s="26"/>
      <c r="D1810" s="26"/>
      <c r="E1810" s="26"/>
      <c r="F1810" s="26"/>
      <c r="G1810" s="26"/>
      <c r="H1810" s="26"/>
      <c r="I1810" s="26"/>
      <c r="J1810" s="26"/>
    </row>
    <row r="1811" spans="1:10" s="13" customFormat="1">
      <c r="A1811" s="26"/>
      <c r="B1811" s="26"/>
      <c r="C1811" s="26"/>
      <c r="D1811" s="26"/>
      <c r="E1811" s="26"/>
      <c r="F1811" s="26"/>
      <c r="G1811" s="26"/>
      <c r="H1811" s="26"/>
      <c r="I1811" s="26"/>
      <c r="J1811" s="26"/>
    </row>
    <row r="1812" spans="1:10" s="13" customFormat="1">
      <c r="A1812" s="26"/>
      <c r="B1812" s="26"/>
      <c r="C1812" s="26"/>
      <c r="D1812" s="26"/>
      <c r="E1812" s="26"/>
      <c r="F1812" s="26"/>
      <c r="G1812" s="26"/>
      <c r="H1812" s="26"/>
      <c r="I1812" s="26"/>
      <c r="J1812" s="26"/>
    </row>
    <row r="1813" spans="1:10" s="13" customFormat="1">
      <c r="A1813" s="26"/>
      <c r="B1813" s="26"/>
      <c r="C1813" s="26"/>
      <c r="D1813" s="26"/>
      <c r="E1813" s="26"/>
      <c r="F1813" s="26"/>
      <c r="G1813" s="26"/>
      <c r="H1813" s="26"/>
      <c r="I1813" s="26"/>
      <c r="J1813" s="26"/>
    </row>
    <row r="1814" spans="1:10" s="13" customFormat="1">
      <c r="A1814" s="26"/>
      <c r="B1814" s="26"/>
      <c r="C1814" s="26"/>
      <c r="D1814" s="26"/>
      <c r="E1814" s="26"/>
      <c r="F1814" s="26"/>
      <c r="G1814" s="26"/>
      <c r="H1814" s="26"/>
      <c r="I1814" s="26"/>
      <c r="J1814" s="26"/>
    </row>
    <row r="1815" spans="1:10" s="13" customFormat="1">
      <c r="A1815" s="26"/>
      <c r="B1815" s="26"/>
      <c r="C1815" s="26"/>
      <c r="D1815" s="26"/>
      <c r="E1815" s="26"/>
      <c r="F1815" s="26"/>
      <c r="G1815" s="26"/>
      <c r="H1815" s="26"/>
      <c r="I1815" s="26"/>
      <c r="J1815" s="26"/>
    </row>
    <row r="1816" spans="1:10" s="13" customFormat="1">
      <c r="A1816" s="26"/>
      <c r="B1816" s="26"/>
      <c r="C1816" s="26"/>
      <c r="D1816" s="26"/>
      <c r="E1816" s="26"/>
      <c r="F1816" s="26"/>
      <c r="G1816" s="26"/>
      <c r="H1816" s="26"/>
      <c r="I1816" s="26"/>
      <c r="J1816" s="26"/>
    </row>
    <row r="1817" spans="1:10" s="13" customFormat="1">
      <c r="A1817" s="26"/>
      <c r="B1817" s="26"/>
      <c r="C1817" s="26"/>
      <c r="D1817" s="26"/>
      <c r="E1817" s="26"/>
      <c r="F1817" s="26"/>
      <c r="G1817" s="26"/>
      <c r="H1817" s="26"/>
      <c r="I1817" s="26"/>
      <c r="J1817" s="26"/>
    </row>
    <row r="1818" spans="1:10" s="13" customFormat="1">
      <c r="A1818" s="26"/>
      <c r="B1818" s="26"/>
      <c r="C1818" s="26"/>
      <c r="D1818" s="26"/>
      <c r="E1818" s="26"/>
      <c r="F1818" s="26"/>
      <c r="G1818" s="26"/>
      <c r="H1818" s="26"/>
      <c r="I1818" s="26"/>
      <c r="J1818" s="26"/>
    </row>
    <row r="1819" spans="1:10" s="13" customFormat="1">
      <c r="A1819" s="26"/>
      <c r="B1819" s="26"/>
      <c r="C1819" s="26"/>
      <c r="D1819" s="26"/>
      <c r="E1819" s="26"/>
      <c r="F1819" s="26"/>
      <c r="G1819" s="26"/>
      <c r="H1819" s="26"/>
      <c r="I1819" s="26"/>
      <c r="J1819" s="26"/>
    </row>
    <row r="1820" spans="1:10" s="13" customFormat="1">
      <c r="A1820" s="26"/>
      <c r="B1820" s="26"/>
      <c r="C1820" s="26"/>
      <c r="D1820" s="26"/>
      <c r="E1820" s="26"/>
      <c r="F1820" s="26"/>
      <c r="G1820" s="26"/>
      <c r="H1820" s="26"/>
      <c r="I1820" s="26"/>
      <c r="J1820" s="26"/>
    </row>
    <row r="1821" spans="1:10" s="13" customFormat="1">
      <c r="A1821" s="26"/>
      <c r="B1821" s="26"/>
      <c r="C1821" s="26"/>
      <c r="D1821" s="26"/>
      <c r="E1821" s="26"/>
      <c r="F1821" s="26"/>
      <c r="G1821" s="26"/>
      <c r="H1821" s="26"/>
      <c r="I1821" s="26"/>
      <c r="J1821" s="26"/>
    </row>
    <row r="1822" spans="1:10" s="13" customFormat="1">
      <c r="A1822" s="26"/>
      <c r="B1822" s="26"/>
      <c r="C1822" s="26"/>
      <c r="D1822" s="26"/>
      <c r="E1822" s="26"/>
      <c r="F1822" s="26"/>
      <c r="G1822" s="26"/>
      <c r="H1822" s="26"/>
      <c r="I1822" s="26"/>
      <c r="J1822" s="26"/>
    </row>
    <row r="1823" spans="1:10" s="13" customFormat="1">
      <c r="A1823" s="26"/>
      <c r="B1823" s="26"/>
      <c r="C1823" s="26"/>
      <c r="D1823" s="26"/>
      <c r="E1823" s="26"/>
      <c r="F1823" s="26"/>
      <c r="G1823" s="26"/>
      <c r="H1823" s="26"/>
      <c r="I1823" s="26"/>
      <c r="J1823" s="26"/>
    </row>
    <row r="1824" spans="1:10" s="13" customFormat="1">
      <c r="A1824" s="26"/>
      <c r="B1824" s="26"/>
      <c r="C1824" s="26"/>
      <c r="D1824" s="26"/>
      <c r="E1824" s="26"/>
      <c r="F1824" s="26"/>
      <c r="G1824" s="26"/>
      <c r="H1824" s="26"/>
      <c r="I1824" s="26"/>
      <c r="J1824" s="26"/>
    </row>
    <row r="1825" spans="1:10" s="13" customFormat="1">
      <c r="A1825" s="26"/>
      <c r="B1825" s="26"/>
      <c r="C1825" s="26"/>
      <c r="D1825" s="26"/>
      <c r="E1825" s="26"/>
      <c r="F1825" s="26"/>
      <c r="G1825" s="26"/>
      <c r="H1825" s="26"/>
      <c r="I1825" s="26"/>
      <c r="J1825" s="26"/>
    </row>
    <row r="1826" spans="1:10" s="13" customFormat="1">
      <c r="A1826" s="26"/>
      <c r="B1826" s="26"/>
      <c r="C1826" s="26"/>
      <c r="D1826" s="26"/>
      <c r="E1826" s="26"/>
      <c r="F1826" s="26"/>
      <c r="G1826" s="26"/>
      <c r="H1826" s="26"/>
      <c r="I1826" s="26"/>
      <c r="J1826" s="26"/>
    </row>
    <row r="1827" spans="1:10" s="13" customFormat="1">
      <c r="A1827" s="26"/>
      <c r="B1827" s="26"/>
      <c r="C1827" s="26"/>
      <c r="D1827" s="26"/>
      <c r="E1827" s="26"/>
      <c r="F1827" s="26"/>
      <c r="G1827" s="26"/>
      <c r="H1827" s="26"/>
      <c r="I1827" s="26"/>
      <c r="J1827" s="26"/>
    </row>
    <row r="1828" spans="1:10" s="13" customFormat="1">
      <c r="A1828" s="26"/>
      <c r="B1828" s="26"/>
      <c r="C1828" s="26"/>
      <c r="D1828" s="26"/>
      <c r="E1828" s="26"/>
      <c r="F1828" s="26"/>
      <c r="G1828" s="26"/>
      <c r="H1828" s="26"/>
      <c r="I1828" s="26"/>
      <c r="J1828" s="26"/>
    </row>
    <row r="1829" spans="1:10" s="13" customFormat="1">
      <c r="A1829" s="26"/>
      <c r="B1829" s="26"/>
      <c r="C1829" s="26"/>
      <c r="D1829" s="26"/>
      <c r="E1829" s="26"/>
      <c r="F1829" s="26"/>
      <c r="G1829" s="26"/>
      <c r="H1829" s="26"/>
      <c r="I1829" s="26"/>
      <c r="J1829" s="26"/>
    </row>
    <row r="1830" spans="1:10" s="13" customFormat="1">
      <c r="A1830" s="26"/>
      <c r="B1830" s="26"/>
      <c r="C1830" s="26"/>
      <c r="D1830" s="26"/>
      <c r="E1830" s="26"/>
      <c r="F1830" s="26"/>
      <c r="G1830" s="26"/>
      <c r="H1830" s="26"/>
      <c r="I1830" s="26"/>
      <c r="J1830" s="26"/>
    </row>
    <row r="1831" spans="1:10" s="13" customFormat="1">
      <c r="A1831" s="26"/>
      <c r="B1831" s="26"/>
      <c r="C1831" s="26"/>
      <c r="D1831" s="26"/>
      <c r="E1831" s="26"/>
      <c r="F1831" s="26"/>
      <c r="G1831" s="26"/>
      <c r="H1831" s="26"/>
      <c r="I1831" s="26"/>
      <c r="J1831" s="26"/>
    </row>
    <row r="1832" spans="1:10" s="13" customFormat="1">
      <c r="A1832" s="26"/>
      <c r="B1832" s="26"/>
      <c r="C1832" s="26"/>
      <c r="D1832" s="26"/>
      <c r="E1832" s="26"/>
      <c r="F1832" s="26"/>
      <c r="G1832" s="26"/>
      <c r="H1832" s="26"/>
      <c r="I1832" s="26"/>
      <c r="J1832" s="26"/>
    </row>
    <row r="1833" spans="1:10" s="13" customFormat="1">
      <c r="A1833" s="26"/>
      <c r="B1833" s="26"/>
      <c r="C1833" s="26"/>
      <c r="D1833" s="26"/>
      <c r="E1833" s="26"/>
      <c r="F1833" s="26"/>
      <c r="G1833" s="26"/>
      <c r="H1833" s="26"/>
      <c r="I1833" s="26"/>
      <c r="J1833" s="26"/>
    </row>
    <row r="1834" spans="1:10" s="13" customFormat="1">
      <c r="A1834" s="26"/>
      <c r="B1834" s="26"/>
      <c r="C1834" s="26"/>
      <c r="D1834" s="26"/>
      <c r="E1834" s="26"/>
      <c r="F1834" s="26"/>
      <c r="G1834" s="26"/>
      <c r="H1834" s="26"/>
      <c r="I1834" s="26"/>
      <c r="J1834" s="26"/>
    </row>
    <row r="1835" spans="1:10" s="13" customFormat="1">
      <c r="A1835" s="26"/>
      <c r="B1835" s="26"/>
      <c r="C1835" s="26"/>
      <c r="D1835" s="26"/>
      <c r="E1835" s="26"/>
      <c r="F1835" s="26"/>
      <c r="G1835" s="26"/>
      <c r="H1835" s="26"/>
      <c r="I1835" s="26"/>
      <c r="J1835" s="26"/>
    </row>
    <row r="1836" spans="1:10" s="13" customFormat="1">
      <c r="A1836" s="26"/>
      <c r="B1836" s="26"/>
      <c r="C1836" s="26"/>
      <c r="D1836" s="26"/>
      <c r="E1836" s="26"/>
      <c r="F1836" s="26"/>
      <c r="G1836" s="26"/>
      <c r="H1836" s="26"/>
      <c r="I1836" s="26"/>
      <c r="J1836" s="26"/>
    </row>
    <row r="1837" spans="1:10" s="13" customFormat="1">
      <c r="A1837" s="26"/>
      <c r="B1837" s="26"/>
      <c r="C1837" s="26"/>
      <c r="D1837" s="26"/>
      <c r="E1837" s="26"/>
      <c r="F1837" s="26"/>
      <c r="G1837" s="26"/>
      <c r="H1837" s="26"/>
      <c r="I1837" s="26"/>
      <c r="J1837" s="26"/>
    </row>
    <row r="1838" spans="1:10" s="13" customFormat="1">
      <c r="A1838" s="26"/>
      <c r="B1838" s="26"/>
      <c r="C1838" s="26"/>
      <c r="D1838" s="26"/>
      <c r="E1838" s="26"/>
      <c r="F1838" s="26"/>
      <c r="G1838" s="26"/>
      <c r="H1838" s="26"/>
      <c r="I1838" s="26"/>
      <c r="J1838" s="26"/>
    </row>
    <row r="1839" spans="1:10" s="13" customFormat="1">
      <c r="A1839" s="26"/>
      <c r="B1839" s="26"/>
      <c r="C1839" s="26"/>
      <c r="D1839" s="26"/>
      <c r="E1839" s="26"/>
      <c r="F1839" s="26"/>
      <c r="G1839" s="26"/>
      <c r="H1839" s="26"/>
      <c r="I1839" s="26"/>
      <c r="J1839" s="26"/>
    </row>
    <row r="1840" spans="1:10" s="13" customFormat="1">
      <c r="A1840" s="26"/>
      <c r="B1840" s="26"/>
      <c r="C1840" s="26"/>
      <c r="D1840" s="26"/>
      <c r="E1840" s="26"/>
      <c r="F1840" s="26"/>
      <c r="G1840" s="26"/>
      <c r="H1840" s="26"/>
      <c r="I1840" s="26"/>
      <c r="J1840" s="26"/>
    </row>
    <row r="1841" s="13" customFormat="1"/>
    <row r="1842" s="13" customFormat="1"/>
    <row r="1843" s="13" customFormat="1"/>
    <row r="1844" s="13" customFormat="1"/>
    <row r="1845" s="13" customFormat="1"/>
    <row r="1846" s="13" customFormat="1"/>
    <row r="1847" s="13" customFormat="1"/>
    <row r="1848" s="13" customFormat="1"/>
    <row r="1849" s="13" customFormat="1"/>
    <row r="1850" s="13" customFormat="1"/>
    <row r="1851" s="13" customFormat="1"/>
    <row r="1852" s="13" customFormat="1"/>
    <row r="1853" s="13" customFormat="1"/>
    <row r="1854" s="13" customFormat="1"/>
    <row r="1855" s="13" customFormat="1"/>
    <row r="1856" s="13" customFormat="1"/>
    <row r="1857" s="13" customFormat="1"/>
    <row r="1858" s="13" customFormat="1"/>
    <row r="1859" s="13" customFormat="1"/>
    <row r="1860" s="13" customFormat="1"/>
    <row r="1861" s="13" customFormat="1"/>
    <row r="1862" s="13" customFormat="1"/>
    <row r="1863" s="13" customFormat="1"/>
    <row r="1864" s="13" customFormat="1"/>
    <row r="1865" s="13" customFormat="1"/>
    <row r="1866" s="13" customFormat="1"/>
    <row r="1867" s="13" customFormat="1"/>
    <row r="1868" s="13" customFormat="1"/>
    <row r="1869" s="13" customFormat="1"/>
    <row r="1870" s="13" customFormat="1"/>
    <row r="1871" s="13" customFormat="1"/>
    <row r="1872" s="13" customFormat="1"/>
    <row r="1873" s="13" customFormat="1"/>
    <row r="1874" s="13" customFormat="1"/>
    <row r="1875" s="13" customFormat="1"/>
    <row r="1876" s="13" customFormat="1"/>
    <row r="1877" s="13" customFormat="1"/>
    <row r="1878" s="13" customFormat="1"/>
    <row r="1879" s="13" customFormat="1"/>
    <row r="1880" s="13" customFormat="1"/>
    <row r="1881" s="13" customFormat="1"/>
    <row r="1882" s="13" customFormat="1"/>
    <row r="1883" s="13" customFormat="1"/>
    <row r="1884" s="13" customFormat="1"/>
    <row r="1885" s="13" customFormat="1"/>
    <row r="1886" s="13" customFormat="1"/>
    <row r="1887" s="13" customFormat="1"/>
    <row r="1888" s="13" customFormat="1"/>
    <row r="1889" s="13" customFormat="1"/>
    <row r="1890" s="13" customFormat="1"/>
    <row r="1891" s="13" customFormat="1"/>
    <row r="1892" s="13" customFormat="1"/>
    <row r="1893" s="13" customFormat="1"/>
    <row r="1894" s="13" customFormat="1"/>
    <row r="1895" s="13" customFormat="1"/>
    <row r="1896" s="13" customFormat="1"/>
    <row r="1897" s="13" customFormat="1"/>
    <row r="1898" s="13" customFormat="1"/>
    <row r="1899" s="13" customFormat="1"/>
    <row r="1900" s="13" customFormat="1"/>
    <row r="1901" s="13" customFormat="1"/>
    <row r="1902" s="13" customFormat="1"/>
    <row r="1903" s="13" customFormat="1"/>
    <row r="1904" s="13" customFormat="1"/>
    <row r="1905" s="13" customFormat="1"/>
    <row r="1906" s="13" customFormat="1"/>
    <row r="1907" s="13" customFormat="1"/>
    <row r="1908" s="13" customFormat="1"/>
    <row r="1909" s="13" customFormat="1"/>
    <row r="1910" s="13" customFormat="1"/>
    <row r="1911" s="13" customFormat="1"/>
    <row r="1912" s="13" customFormat="1"/>
    <row r="1913" s="13" customFormat="1"/>
    <row r="1914" s="13" customFormat="1"/>
    <row r="1915" s="13" customFormat="1"/>
    <row r="1916" s="13" customFormat="1"/>
    <row r="1917" s="13" customFormat="1"/>
    <row r="1918" s="13" customFormat="1"/>
    <row r="1919" s="13" customFormat="1"/>
    <row r="1920" s="13" customFormat="1"/>
    <row r="1921" s="13" customFormat="1"/>
    <row r="1922" s="13" customFormat="1"/>
    <row r="1923" s="13" customFormat="1"/>
    <row r="1924" s="13" customFormat="1"/>
    <row r="1925" s="13" customFormat="1"/>
    <row r="1926" s="13" customFormat="1"/>
    <row r="1927" s="13" customFormat="1"/>
    <row r="1928" s="13" customFormat="1"/>
    <row r="1929" s="13" customFormat="1"/>
    <row r="1930" s="13" customFormat="1"/>
    <row r="1931" s="13" customFormat="1"/>
    <row r="1932" s="13" customFormat="1"/>
    <row r="1933" s="13" customFormat="1"/>
    <row r="1934" s="13" customFormat="1"/>
    <row r="1935" s="13" customFormat="1"/>
    <row r="1936" s="13" customFormat="1"/>
    <row r="1937" s="13" customFormat="1"/>
    <row r="1938" s="13" customFormat="1"/>
    <row r="1939" s="13" customFormat="1"/>
    <row r="1940" s="13" customFormat="1"/>
    <row r="1941" s="13" customFormat="1"/>
    <row r="1942" s="13" customFormat="1"/>
    <row r="1943" s="13" customFormat="1"/>
    <row r="1944" s="13" customFormat="1"/>
    <row r="1945" s="13" customFormat="1"/>
    <row r="1946" s="13" customFormat="1"/>
    <row r="1947" s="13" customFormat="1"/>
    <row r="1948" s="13" customFormat="1"/>
    <row r="1949" s="13" customFormat="1"/>
    <row r="1950" s="13" customFormat="1"/>
    <row r="1951" s="13" customFormat="1"/>
    <row r="1952" s="13" customFormat="1"/>
    <row r="1953" s="13" customFormat="1"/>
    <row r="1954" s="13" customFormat="1"/>
    <row r="1955" s="13" customFormat="1"/>
    <row r="1956" s="13" customFormat="1"/>
    <row r="1957" s="13" customFormat="1"/>
    <row r="1958" s="13" customFormat="1"/>
    <row r="1959" s="13" customFormat="1"/>
    <row r="1960" s="13" customFormat="1"/>
    <row r="1961" s="13" customFormat="1"/>
    <row r="1962" s="13" customFormat="1"/>
    <row r="1963" s="13" customFormat="1"/>
    <row r="1964" s="13" customFormat="1"/>
    <row r="1965" s="13" customFormat="1"/>
    <row r="1966" s="13" customFormat="1"/>
    <row r="1967" s="13" customFormat="1"/>
    <row r="1968" s="13" customFormat="1"/>
    <row r="1969" s="13" customFormat="1"/>
    <row r="1970" s="13" customFormat="1"/>
    <row r="1971" s="13" customFormat="1"/>
    <row r="1972" s="13" customFormat="1"/>
    <row r="1973" s="13" customFormat="1"/>
    <row r="1974" s="13" customFormat="1"/>
    <row r="1975" s="13" customFormat="1"/>
    <row r="1976" s="13" customFormat="1"/>
    <row r="1977" s="13" customFormat="1"/>
    <row r="1978" s="13" customFormat="1"/>
    <row r="1979" s="13" customFormat="1"/>
    <row r="1980" s="13" customFormat="1"/>
    <row r="1981" s="13" customFormat="1"/>
    <row r="1982" s="13" customFormat="1"/>
    <row r="1983" s="13" customFormat="1"/>
    <row r="1984" s="13" customFormat="1"/>
    <row r="1985" s="13" customFormat="1"/>
    <row r="1986" s="13" customFormat="1"/>
    <row r="1987" s="13" customFormat="1"/>
    <row r="1988" s="13" customFormat="1"/>
    <row r="1989" s="13" customFormat="1"/>
    <row r="1990" s="13" customFormat="1"/>
    <row r="1991" s="13" customFormat="1"/>
    <row r="1992" s="13" customFormat="1"/>
    <row r="1993" s="13" customFormat="1"/>
    <row r="1994" s="13" customFormat="1"/>
    <row r="1995" s="13" customFormat="1"/>
    <row r="1996" s="13" customFormat="1"/>
    <row r="1997" s="13" customFormat="1"/>
    <row r="1998" s="13" customFormat="1"/>
    <row r="1999" s="13" customFormat="1"/>
    <row r="2000" s="13" customFormat="1"/>
    <row r="2001" s="13" customFormat="1"/>
    <row r="2002" s="13" customFormat="1"/>
    <row r="2003" s="13" customFormat="1"/>
    <row r="2004" s="13" customFormat="1"/>
    <row r="2005" s="13" customFormat="1"/>
    <row r="2006" s="13" customFormat="1"/>
    <row r="2007" s="13" customFormat="1"/>
    <row r="2008" s="13" customFormat="1"/>
    <row r="2009" s="13" customFormat="1"/>
    <row r="2010" s="13" customFormat="1"/>
    <row r="2011" s="13" customFormat="1"/>
    <row r="2012" s="13" customFormat="1"/>
    <row r="2013" s="13" customFormat="1"/>
    <row r="2014" s="13" customFormat="1"/>
    <row r="2015" s="13" customFormat="1"/>
    <row r="2016" s="13" customFormat="1"/>
    <row r="2017" s="13" customFormat="1"/>
    <row r="2018" s="13" customFormat="1"/>
    <row r="2019" s="13" customFormat="1"/>
    <row r="2020" s="13" customFormat="1"/>
    <row r="2021" s="13" customFormat="1"/>
    <row r="2022" s="13" customFormat="1"/>
    <row r="2023" s="13" customFormat="1"/>
    <row r="2024" s="13" customFormat="1"/>
    <row r="2025" s="13" customFormat="1"/>
    <row r="2026" s="13" customFormat="1"/>
    <row r="2027" s="13" customFormat="1"/>
    <row r="2028" s="13" customFormat="1"/>
    <row r="2029" s="13" customFormat="1"/>
    <row r="2030" s="13" customFormat="1"/>
    <row r="2031" s="13" customFormat="1"/>
    <row r="2032" s="13" customFormat="1"/>
    <row r="2033" s="13" customFormat="1"/>
    <row r="2034" s="13" customFormat="1"/>
    <row r="2035" s="13" customFormat="1"/>
    <row r="2036" s="13" customFormat="1"/>
    <row r="2037" s="13" customFormat="1"/>
    <row r="2038" s="13" customFormat="1"/>
    <row r="2039" s="13" customFormat="1"/>
    <row r="2040" s="13" customFormat="1"/>
    <row r="2041" s="13" customFormat="1"/>
    <row r="2042" s="13" customFormat="1"/>
    <row r="2043" s="13" customFormat="1"/>
    <row r="2044" s="13" customFormat="1"/>
    <row r="2045" s="13" customFormat="1"/>
    <row r="2046" s="13" customFormat="1"/>
    <row r="2047" s="13" customFormat="1"/>
    <row r="2048" s="13" customFormat="1"/>
    <row r="2049" s="13" customFormat="1"/>
    <row r="2050" s="13" customFormat="1"/>
    <row r="2051" s="13" customFormat="1"/>
    <row r="2052" s="13" customFormat="1"/>
    <row r="2053" s="13" customFormat="1"/>
    <row r="2054" s="13" customFormat="1"/>
    <row r="2055" s="13" customFormat="1"/>
    <row r="2056" s="13" customFormat="1"/>
    <row r="2057" s="13" customFormat="1"/>
    <row r="2058" s="13" customFormat="1"/>
    <row r="2059" s="13" customFormat="1"/>
    <row r="2060" s="13" customFormat="1"/>
    <row r="2061" s="13" customFormat="1"/>
    <row r="2062" s="13" customFormat="1"/>
    <row r="2063" s="13" customFormat="1"/>
    <row r="2064" s="13" customFormat="1"/>
    <row r="2065" s="13" customFormat="1"/>
    <row r="2066" s="13" customFormat="1"/>
    <row r="2067" s="13" customFormat="1"/>
    <row r="2068" s="13" customFormat="1"/>
    <row r="2069" s="13" customFormat="1"/>
    <row r="2070" s="13" customFormat="1"/>
    <row r="2071" s="13" customFormat="1"/>
    <row r="2072" s="13" customFormat="1"/>
    <row r="2073" s="13" customFormat="1"/>
    <row r="2074" s="13" customFormat="1"/>
    <row r="2075" s="13" customFormat="1"/>
    <row r="2076" s="13" customFormat="1"/>
    <row r="2077" s="13" customFormat="1"/>
    <row r="2078" s="13" customFormat="1"/>
    <row r="2079" s="13" customFormat="1"/>
    <row r="2080" s="13" customFormat="1"/>
    <row r="2081" s="13" customFormat="1"/>
    <row r="2082" s="13" customFormat="1"/>
    <row r="2083" s="13" customFormat="1"/>
    <row r="2084" s="13" customFormat="1"/>
    <row r="2085" s="13" customFormat="1"/>
    <row r="2086" s="13" customFormat="1"/>
    <row r="2087" s="13" customFormat="1"/>
    <row r="2088" s="13" customFormat="1"/>
    <row r="2089" s="13" customFormat="1"/>
    <row r="2090" s="13" customFormat="1"/>
    <row r="2091" s="13" customFormat="1"/>
    <row r="2092" s="13" customFormat="1"/>
    <row r="2093" s="13" customFormat="1"/>
    <row r="2094" s="13" customFormat="1"/>
    <row r="2095" s="13" customFormat="1"/>
    <row r="2096" s="13" customFormat="1"/>
    <row r="2097" s="13" customFormat="1"/>
    <row r="2098" s="13" customFormat="1"/>
    <row r="2099" s="13" customFormat="1"/>
    <row r="2100" s="13" customFormat="1"/>
    <row r="2101" s="13" customFormat="1"/>
    <row r="2102" s="13" customFormat="1"/>
    <row r="2103" s="13" customFormat="1"/>
    <row r="2104" s="13" customFormat="1"/>
    <row r="2105" s="13" customFormat="1"/>
    <row r="2106" s="13" customFormat="1"/>
    <row r="2107" s="13" customFormat="1"/>
    <row r="2108" s="13" customFormat="1"/>
    <row r="2109" s="13" customFormat="1"/>
    <row r="2110" s="13" customFormat="1"/>
    <row r="2111" s="13" customFormat="1"/>
    <row r="2112" s="13" customFormat="1"/>
    <row r="2113" s="13" customFormat="1"/>
    <row r="2114" s="13" customFormat="1"/>
    <row r="2115" s="13" customFormat="1"/>
    <row r="2116" s="13" customFormat="1"/>
    <row r="2117" s="13" customFormat="1"/>
    <row r="2118" s="13" customFormat="1"/>
    <row r="2119" s="13" customFormat="1"/>
    <row r="2120" s="13" customFormat="1"/>
    <row r="2121" s="13" customFormat="1"/>
    <row r="2122" s="13" customFormat="1"/>
    <row r="2123" s="13" customFormat="1"/>
    <row r="2124" s="13" customFormat="1"/>
    <row r="2125" s="13" customFormat="1"/>
    <row r="2126" s="13" customFormat="1"/>
    <row r="2127" s="13" customFormat="1"/>
    <row r="2128" s="13" customFormat="1"/>
    <row r="2129" s="13" customFormat="1"/>
    <row r="2130" s="13" customFormat="1"/>
    <row r="2131" s="13" customFormat="1"/>
    <row r="2132" s="13" customFormat="1"/>
    <row r="2133" s="13" customFormat="1"/>
    <row r="2134" s="13" customFormat="1"/>
    <row r="2135" s="13" customFormat="1"/>
    <row r="2136" s="13" customFormat="1"/>
    <row r="2137" s="13" customFormat="1"/>
    <row r="2138" s="13" customFormat="1"/>
    <row r="2139" s="13" customFormat="1"/>
    <row r="2140" s="13" customFormat="1"/>
    <row r="2141" s="13" customFormat="1"/>
    <row r="2142" s="13" customFormat="1"/>
    <row r="2143" s="13" customFormat="1"/>
    <row r="2144" s="13" customFormat="1"/>
    <row r="2145" s="13" customFormat="1"/>
    <row r="2146" s="13" customFormat="1"/>
    <row r="2147" s="13" customFormat="1"/>
    <row r="2148" s="13" customFormat="1"/>
    <row r="2149" s="13" customFormat="1"/>
    <row r="2150" s="13" customFormat="1"/>
    <row r="2151" s="13" customFormat="1"/>
    <row r="2152" s="13" customFormat="1"/>
    <row r="2153" s="13" customFormat="1"/>
    <row r="2154" s="13" customFormat="1"/>
    <row r="2155" s="13" customFormat="1"/>
    <row r="2156" s="13" customFormat="1"/>
    <row r="2157" s="13" customFormat="1"/>
    <row r="2158" s="13" customFormat="1"/>
    <row r="2159" s="13" customFormat="1"/>
    <row r="2160" s="13" customFormat="1"/>
    <row r="2161" s="13" customFormat="1"/>
    <row r="2162" s="13" customFormat="1"/>
    <row r="2163" s="13" customFormat="1"/>
    <row r="2164" s="13" customFormat="1"/>
    <row r="2165" s="13" customFormat="1"/>
    <row r="2166" s="13" customFormat="1"/>
    <row r="2167" s="13" customFormat="1"/>
    <row r="2168" s="13" customFormat="1"/>
    <row r="2169" s="13" customFormat="1"/>
    <row r="2170" s="13" customFormat="1"/>
    <row r="2171" s="13" customFormat="1"/>
    <row r="2172" s="13" customFormat="1"/>
    <row r="2173" s="13" customFormat="1"/>
    <row r="2174" s="13" customFormat="1"/>
    <row r="2175" s="13" customFormat="1"/>
    <row r="2176" s="13" customFormat="1"/>
    <row r="2177" s="13" customFormat="1"/>
    <row r="2178" s="13" customFormat="1"/>
    <row r="2179" s="13" customFormat="1"/>
    <row r="2180" s="13" customFormat="1"/>
    <row r="2181" s="13" customFormat="1"/>
    <row r="2182" s="13" customFormat="1"/>
    <row r="2183" s="13" customFormat="1"/>
    <row r="2184" s="13" customFormat="1"/>
    <row r="2185" s="13" customFormat="1"/>
    <row r="2186" s="13" customFormat="1"/>
    <row r="2187" s="13" customFormat="1"/>
    <row r="2188" s="13" customFormat="1"/>
    <row r="2189" s="13" customFormat="1"/>
    <row r="2190" s="13" customFormat="1"/>
    <row r="2191" s="13" customFormat="1"/>
    <row r="2192" s="13" customFormat="1"/>
    <row r="2193" s="13" customFormat="1"/>
    <row r="2194" s="13" customFormat="1"/>
    <row r="2195" s="13" customFormat="1"/>
    <row r="2196" s="13" customFormat="1"/>
    <row r="2197" s="13" customFormat="1"/>
    <row r="2198" s="13" customFormat="1"/>
    <row r="2199" s="13" customFormat="1"/>
    <row r="2200" s="13" customFormat="1"/>
    <row r="2201" s="13" customFormat="1"/>
    <row r="2202" s="13" customFormat="1"/>
    <row r="2203" s="13" customFormat="1"/>
    <row r="2204" s="13" customFormat="1"/>
    <row r="2205" s="13" customFormat="1"/>
    <row r="2206" s="13" customFormat="1"/>
    <row r="2207" s="13" customFormat="1"/>
    <row r="2208" s="13" customFormat="1"/>
    <row r="2209" s="13" customFormat="1"/>
    <row r="2210" s="13" customFormat="1"/>
    <row r="2211" s="13" customFormat="1"/>
    <row r="2212" s="13" customFormat="1"/>
    <row r="2213" s="13" customFormat="1"/>
    <row r="2214" s="13" customFormat="1"/>
    <row r="2215" s="13" customFormat="1"/>
    <row r="2216" s="13" customFormat="1"/>
    <row r="2217" s="13" customFormat="1"/>
    <row r="2218" s="13" customFormat="1"/>
    <row r="2219" s="13" customFormat="1"/>
    <row r="2220" s="13" customFormat="1"/>
    <row r="2221" s="13" customFormat="1"/>
    <row r="2222" s="13" customFormat="1"/>
    <row r="2223" s="13" customFormat="1"/>
    <row r="2224" s="13" customFormat="1"/>
    <row r="2225" s="13" customFormat="1"/>
    <row r="2226" s="13" customFormat="1"/>
    <row r="2227" s="13" customFormat="1"/>
    <row r="2228" s="13" customFormat="1"/>
    <row r="2229" s="13" customFormat="1"/>
    <row r="2230" s="13" customFormat="1"/>
    <row r="2231" s="13" customFormat="1"/>
    <row r="2232" s="13" customFormat="1"/>
    <row r="2233" s="13" customFormat="1"/>
    <row r="2234" s="13" customFormat="1"/>
    <row r="2235" s="13" customFormat="1"/>
    <row r="2236" s="13" customFormat="1"/>
    <row r="2237" s="13" customFormat="1"/>
    <row r="2238" s="13" customFormat="1"/>
    <row r="2239" s="13" customFormat="1"/>
    <row r="2240" s="13" customFormat="1"/>
    <row r="2241" s="13" customFormat="1"/>
    <row r="2242" s="13" customFormat="1"/>
    <row r="2243" s="13" customFormat="1"/>
    <row r="2244" s="13" customFormat="1"/>
    <row r="2245" s="13" customFormat="1"/>
    <row r="2246" s="13" customFormat="1"/>
    <row r="2247" s="13" customFormat="1"/>
    <row r="2248" s="13" customFormat="1"/>
    <row r="2249" s="13" customFormat="1"/>
    <row r="2250" s="13" customFormat="1"/>
    <row r="2251" s="13" customFormat="1"/>
    <row r="2252" s="13" customFormat="1"/>
    <row r="2253" s="13" customFormat="1"/>
    <row r="2254" s="13" customFormat="1"/>
    <row r="2255" s="13" customFormat="1"/>
    <row r="2256" s="13" customFormat="1"/>
    <row r="2257" s="13" customFormat="1"/>
    <row r="2258" s="13" customFormat="1"/>
    <row r="2259" s="13" customFormat="1"/>
    <row r="2260" s="13" customFormat="1"/>
    <row r="2261" s="13" customFormat="1"/>
    <row r="2262" s="13" customFormat="1"/>
    <row r="2263" s="13" customFormat="1"/>
    <row r="2264" s="13" customFormat="1"/>
    <row r="2265" s="13" customFormat="1"/>
    <row r="2266" s="13" customFormat="1"/>
    <row r="2267" s="13" customFormat="1"/>
    <row r="2268" s="13" customFormat="1"/>
    <row r="2269" s="13" customFormat="1"/>
    <row r="2270" s="13" customFormat="1"/>
    <row r="2271" s="13" customFormat="1"/>
    <row r="2272" s="13" customFormat="1"/>
    <row r="2273" s="13" customFormat="1"/>
    <row r="2274" s="13" customFormat="1"/>
    <row r="2275" s="13" customFormat="1"/>
    <row r="2276" s="13" customFormat="1"/>
    <row r="2277" s="13" customFormat="1"/>
    <row r="2278" s="13" customFormat="1"/>
    <row r="2279" s="13" customFormat="1"/>
    <row r="2280" s="13" customFormat="1"/>
    <row r="2281" s="13" customFormat="1"/>
    <row r="2282" s="13" customFormat="1"/>
    <row r="2283" s="13" customFormat="1"/>
    <row r="2284" s="13" customFormat="1"/>
    <row r="2285" s="13" customFormat="1"/>
    <row r="2286" s="13" customFormat="1"/>
    <row r="2287" s="13" customFormat="1"/>
    <row r="2288" s="13" customFormat="1"/>
    <row r="2289" s="13" customFormat="1"/>
    <row r="2290" s="13" customFormat="1"/>
    <row r="2291" s="13" customFormat="1"/>
    <row r="2292" s="13" customFormat="1"/>
    <row r="2293" s="13" customFormat="1"/>
    <row r="2294" s="13" customFormat="1"/>
    <row r="2295" s="13" customFormat="1"/>
    <row r="2296" s="13" customFormat="1"/>
    <row r="2297" s="13" customFormat="1"/>
    <row r="2298" s="13" customFormat="1"/>
    <row r="2299" s="13" customFormat="1"/>
    <row r="2300" s="13" customFormat="1"/>
    <row r="2301" s="13" customFormat="1"/>
    <row r="2302" s="13" customFormat="1"/>
    <row r="2303" s="13" customFormat="1"/>
    <row r="2304" s="13" customFormat="1"/>
    <row r="2305" s="13" customFormat="1"/>
    <row r="2306" s="13" customFormat="1"/>
    <row r="2307" s="13" customFormat="1"/>
    <row r="2308" s="13" customFormat="1"/>
    <row r="2309" s="13" customFormat="1"/>
    <row r="2310" s="13" customFormat="1"/>
    <row r="2311" s="13" customFormat="1"/>
    <row r="2312" s="13" customFormat="1"/>
    <row r="2313" s="13" customFormat="1"/>
    <row r="2314" s="13" customFormat="1"/>
    <row r="2315" s="13" customFormat="1"/>
    <row r="2316" s="13" customFormat="1"/>
    <row r="2317" s="13" customFormat="1"/>
    <row r="2318" s="13" customFormat="1"/>
    <row r="2319" s="13" customFormat="1"/>
    <row r="2320" s="13" customFormat="1"/>
    <row r="2321" s="13" customFormat="1"/>
    <row r="2322" s="13" customFormat="1"/>
    <row r="2323" s="13" customFormat="1"/>
    <row r="2324" s="13" customFormat="1"/>
    <row r="2325" s="13" customFormat="1"/>
    <row r="2326" s="13" customFormat="1"/>
    <row r="2327" s="13" customFormat="1"/>
    <row r="2328" s="13" customFormat="1"/>
    <row r="2329" s="13" customFormat="1"/>
    <row r="2330" s="13" customFormat="1"/>
    <row r="2331" s="13" customFormat="1"/>
    <row r="2332" s="13" customFormat="1"/>
    <row r="2333" s="13" customFormat="1"/>
    <row r="2334" s="13" customFormat="1"/>
    <row r="2335" s="13" customFormat="1"/>
    <row r="2336" s="13" customFormat="1"/>
    <row r="2337" s="13" customFormat="1"/>
    <row r="2338" s="13" customFormat="1"/>
    <row r="2339" s="13" customFormat="1"/>
    <row r="2340" s="13" customFormat="1"/>
    <row r="2341" s="13" customFormat="1"/>
    <row r="2342" s="13" customFormat="1"/>
    <row r="2343" s="13" customFormat="1"/>
    <row r="2344" s="13" customFormat="1"/>
    <row r="2345" s="13" customFormat="1"/>
    <row r="2346" s="13" customFormat="1"/>
    <row r="2347" s="13" customFormat="1"/>
    <row r="2348" s="13" customFormat="1"/>
    <row r="2349" s="13" customFormat="1"/>
    <row r="2350" s="13" customFormat="1"/>
    <row r="2351" s="13" customFormat="1"/>
    <row r="2352" s="13" customFormat="1"/>
    <row r="2353" s="13" customFormat="1"/>
    <row r="2354" s="13" customFormat="1"/>
    <row r="2355" s="13" customFormat="1"/>
    <row r="2356" s="13" customFormat="1"/>
    <row r="2357" s="13" customFormat="1"/>
    <row r="2358" s="13" customFormat="1"/>
    <row r="2359" s="13" customFormat="1"/>
    <row r="2360" s="13" customFormat="1"/>
    <row r="2361" s="13" customFormat="1"/>
    <row r="2362" s="13" customFormat="1"/>
    <row r="2363" s="13" customFormat="1"/>
    <row r="2364" s="13" customFormat="1"/>
    <row r="2365" s="13" customFormat="1"/>
    <row r="2366" s="13" customFormat="1"/>
    <row r="2367" s="13" customFormat="1"/>
    <row r="2368" s="13" customFormat="1"/>
    <row r="2369" s="13" customFormat="1"/>
    <row r="2370" s="13" customFormat="1"/>
    <row r="2371" s="13" customFormat="1"/>
    <row r="2372" s="13" customFormat="1"/>
    <row r="2373" s="13" customFormat="1"/>
    <row r="2374" s="13" customFormat="1"/>
    <row r="2375" s="13" customFormat="1"/>
    <row r="2376" s="13" customFormat="1"/>
    <row r="2377" s="13" customFormat="1"/>
    <row r="2378" s="13" customFormat="1"/>
    <row r="2379" s="13" customFormat="1"/>
    <row r="2380" s="13" customFormat="1"/>
    <row r="2381" s="13" customFormat="1"/>
    <row r="2382" s="13" customFormat="1"/>
    <row r="2383" s="13" customFormat="1"/>
    <row r="2384" s="13" customFormat="1"/>
    <row r="2385" s="13" customFormat="1"/>
    <row r="2386" s="13" customFormat="1"/>
    <row r="2387" s="13" customFormat="1"/>
    <row r="2388" s="13" customFormat="1"/>
    <row r="2389" s="13" customFormat="1"/>
    <row r="2390" s="13" customFormat="1"/>
    <row r="2391" s="13" customFormat="1"/>
    <row r="2392" s="13" customFormat="1"/>
    <row r="2393" s="13" customFormat="1"/>
    <row r="2394" s="13" customFormat="1"/>
    <row r="2395" s="13" customFormat="1"/>
    <row r="2396" s="13" customFormat="1"/>
    <row r="2397" s="13" customFormat="1"/>
    <row r="2398" s="13" customFormat="1"/>
    <row r="2399" s="13" customFormat="1"/>
    <row r="2400" s="13" customFormat="1"/>
    <row r="2401" s="13" customFormat="1"/>
    <row r="2402" s="13" customFormat="1"/>
    <row r="2403" s="13" customFormat="1"/>
    <row r="2404" s="13" customFormat="1"/>
    <row r="2405" s="13" customFormat="1"/>
    <row r="2406" s="13" customFormat="1"/>
    <row r="2407" s="13" customFormat="1"/>
    <row r="2408" s="13" customFormat="1"/>
    <row r="2409" s="13" customFormat="1"/>
    <row r="2410" s="13" customFormat="1"/>
    <row r="2411" s="13" customFormat="1"/>
    <row r="2412" s="13" customFormat="1"/>
    <row r="2413" s="13" customFormat="1"/>
    <row r="2414" s="13" customFormat="1"/>
    <row r="2415" s="13" customFormat="1"/>
    <row r="2416" s="13" customFormat="1"/>
    <row r="2417" s="13" customFormat="1"/>
    <row r="2418" s="13" customFormat="1"/>
    <row r="2419" s="13" customFormat="1"/>
    <row r="2420" s="13" customFormat="1"/>
    <row r="2421" s="13" customFormat="1"/>
    <row r="2422" s="13" customFormat="1"/>
    <row r="2423" s="13" customFormat="1"/>
    <row r="2424" s="13" customFormat="1"/>
    <row r="2425" s="13" customFormat="1"/>
    <row r="2426" s="13" customFormat="1"/>
    <row r="2427" s="13" customFormat="1"/>
    <row r="2428" s="13" customFormat="1"/>
    <row r="2429" s="13" customFormat="1"/>
    <row r="2430" s="13" customFormat="1"/>
    <row r="2431" s="13" customFormat="1"/>
    <row r="2432" s="13" customFormat="1"/>
    <row r="2433" s="13" customFormat="1"/>
    <row r="2434" s="13" customFormat="1"/>
    <row r="2435" s="13" customFormat="1"/>
    <row r="2436" s="13" customFormat="1"/>
    <row r="2437" s="13" customFormat="1"/>
    <row r="2438" s="13" customFormat="1"/>
    <row r="2439" s="13" customFormat="1"/>
    <row r="2440" s="13" customFormat="1"/>
    <row r="2441" s="13" customFormat="1"/>
    <row r="2442" s="13" customFormat="1"/>
    <row r="2443" s="13" customFormat="1"/>
    <row r="2444" s="13" customFormat="1"/>
    <row r="2445" s="13" customFormat="1"/>
    <row r="2446" s="13" customFormat="1"/>
    <row r="2447" s="13" customFormat="1"/>
    <row r="2448" s="13" customFormat="1"/>
    <row r="2449" s="13" customFormat="1"/>
    <row r="2450" s="13" customFormat="1"/>
    <row r="2451" s="13" customFormat="1"/>
    <row r="2452" s="13" customFormat="1"/>
    <row r="2453" s="13" customFormat="1"/>
    <row r="2454" s="13" customFormat="1"/>
    <row r="2455" s="13" customFormat="1"/>
    <row r="2456" s="13" customFormat="1"/>
    <row r="2457" s="13" customFormat="1"/>
    <row r="2458" s="13" customFormat="1"/>
    <row r="2459" s="13" customFormat="1"/>
    <row r="2460" s="13" customFormat="1"/>
    <row r="2461" s="13" customFormat="1"/>
    <row r="2462" s="13" customFormat="1"/>
    <row r="2463" s="13" customFormat="1"/>
    <row r="2464" s="13" customFormat="1"/>
    <row r="2465" s="13" customFormat="1"/>
    <row r="2466" s="13" customFormat="1"/>
    <row r="2467" s="13" customFormat="1"/>
    <row r="2468" s="13" customFormat="1"/>
    <row r="2469" s="13" customFormat="1"/>
    <row r="2470" s="13" customFormat="1"/>
    <row r="2471" s="13" customFormat="1"/>
    <row r="2472" s="13" customFormat="1"/>
    <row r="2473" s="13" customFormat="1"/>
    <row r="2474" s="13" customFormat="1"/>
    <row r="2475" s="13" customFormat="1"/>
    <row r="2476" s="13" customFormat="1"/>
    <row r="2477" s="13" customFormat="1"/>
    <row r="2478" s="13" customFormat="1"/>
    <row r="2479" s="13" customFormat="1"/>
    <row r="2480" s="13" customFormat="1"/>
    <row r="2481" s="13" customFormat="1"/>
    <row r="2482" s="13" customFormat="1"/>
    <row r="2483" s="13" customFormat="1"/>
    <row r="2484" s="13" customFormat="1"/>
    <row r="2485" s="13" customFormat="1"/>
    <row r="2486" s="13" customFormat="1"/>
    <row r="2487" s="13" customFormat="1"/>
    <row r="2488" s="13" customFormat="1"/>
    <row r="2489" s="13" customFormat="1"/>
    <row r="2490" s="13" customFormat="1"/>
    <row r="2491" s="13" customFormat="1"/>
    <row r="2492" s="13" customFormat="1"/>
    <row r="2493" s="13" customFormat="1"/>
    <row r="2494" s="13" customFormat="1"/>
    <row r="2495" s="13" customFormat="1"/>
    <row r="2496" s="13" customFormat="1"/>
    <row r="2497" s="13" customFormat="1"/>
    <row r="2498" s="13" customFormat="1"/>
    <row r="2499" s="13" customFormat="1"/>
    <row r="2500" s="13" customFormat="1"/>
    <row r="2501" s="13" customFormat="1"/>
    <row r="2502" s="13" customFormat="1"/>
    <row r="2503" s="13" customFormat="1"/>
    <row r="2504" s="13" customFormat="1"/>
    <row r="2505" s="13" customFormat="1"/>
    <row r="2506" s="13" customFormat="1"/>
    <row r="2507" s="13" customFormat="1"/>
    <row r="2508" s="13" customFormat="1"/>
    <row r="2509" s="13" customFormat="1"/>
    <row r="2510" s="13" customFormat="1"/>
    <row r="2511" s="13" customFormat="1"/>
    <row r="2512" s="13" customFormat="1"/>
    <row r="2513" s="13" customFormat="1"/>
    <row r="2514" s="13" customFormat="1"/>
    <row r="2515" s="13" customFormat="1"/>
    <row r="2516" s="13" customFormat="1"/>
    <row r="2517" s="13" customFormat="1"/>
    <row r="2518" s="13" customFormat="1"/>
    <row r="2519" s="13" customFormat="1"/>
    <row r="2520" s="13" customFormat="1"/>
    <row r="2521" s="13" customFormat="1"/>
    <row r="2522" s="13" customFormat="1"/>
    <row r="2523" s="13" customFormat="1"/>
    <row r="2524" s="13" customFormat="1"/>
    <row r="2525" s="13" customFormat="1"/>
    <row r="2526" s="13" customFormat="1"/>
    <row r="2527" s="13" customFormat="1"/>
    <row r="2528" s="13" customFormat="1"/>
    <row r="2529" s="13" customFormat="1"/>
    <row r="2530" s="13" customFormat="1"/>
    <row r="2531" s="13" customFormat="1"/>
    <row r="2532" s="13" customFormat="1"/>
    <row r="2533" s="13" customFormat="1"/>
    <row r="2534" s="13" customFormat="1"/>
    <row r="2535" s="13" customFormat="1"/>
    <row r="2536" s="13" customFormat="1"/>
    <row r="2537" s="13" customFormat="1"/>
    <row r="2538" s="13" customFormat="1"/>
    <row r="2539" s="13" customFormat="1"/>
    <row r="2540" s="13" customFormat="1"/>
    <row r="2541" s="13" customFormat="1"/>
    <row r="2542" s="13" customFormat="1"/>
    <row r="2543" s="13" customFormat="1"/>
    <row r="2544" s="13" customFormat="1"/>
    <row r="2545" s="13" customFormat="1"/>
    <row r="2546" s="13" customFormat="1"/>
    <row r="2547" s="13" customFormat="1"/>
    <row r="2548" s="13" customFormat="1"/>
    <row r="2549" s="13" customFormat="1"/>
    <row r="2550" s="13" customFormat="1"/>
    <row r="2551" s="13" customFormat="1"/>
    <row r="2552" s="13" customFormat="1"/>
    <row r="2553" s="13" customFormat="1"/>
    <row r="2554" s="13" customFormat="1"/>
    <row r="2555" s="13" customFormat="1"/>
    <row r="2556" s="13" customFormat="1"/>
    <row r="2557" s="13" customFormat="1"/>
    <row r="2558" s="13" customFormat="1"/>
    <row r="2559" s="13" customFormat="1"/>
    <row r="2560" s="13" customFormat="1"/>
    <row r="2561" s="13" customFormat="1"/>
    <row r="2562" s="13" customFormat="1"/>
    <row r="2563" s="13" customFormat="1"/>
    <row r="2564" s="13" customFormat="1"/>
    <row r="2565" s="13" customFormat="1"/>
    <row r="2566" s="13" customFormat="1"/>
    <row r="2567" s="13" customFormat="1"/>
    <row r="2568" s="13" customFormat="1"/>
    <row r="2569" s="13" customFormat="1"/>
    <row r="2570" s="13" customFormat="1"/>
    <row r="2571" s="13" customFormat="1"/>
    <row r="2572" s="13" customFormat="1"/>
    <row r="2573" s="13" customFormat="1"/>
    <row r="2574" s="13" customFormat="1"/>
    <row r="2575" s="13" customFormat="1"/>
    <row r="2576" s="13" customFormat="1"/>
    <row r="2577" s="13" customFormat="1"/>
    <row r="2578" s="13" customFormat="1"/>
    <row r="2579" s="13" customFormat="1"/>
    <row r="2580" s="13" customFormat="1"/>
    <row r="2581" s="13" customFormat="1"/>
    <row r="2582" s="13" customFormat="1"/>
    <row r="2583" s="13" customFormat="1"/>
    <row r="2584" s="13" customFormat="1"/>
    <row r="2585" s="13" customFormat="1"/>
    <row r="2586" s="13" customFormat="1"/>
    <row r="2587" s="13" customFormat="1"/>
    <row r="2588" s="13" customFormat="1"/>
    <row r="2589" s="13" customFormat="1"/>
    <row r="2590" s="13" customFormat="1"/>
    <row r="2591" s="13" customFormat="1"/>
    <row r="2592" s="13" customFormat="1"/>
    <row r="2593" s="13" customFormat="1"/>
    <row r="2594" s="13" customFormat="1"/>
    <row r="2595" s="13" customFormat="1"/>
    <row r="2596" s="13" customFormat="1"/>
    <row r="2597" s="13" customFormat="1"/>
    <row r="2598" s="13" customFormat="1"/>
    <row r="2599" s="13" customFormat="1"/>
    <row r="2600" s="13" customFormat="1"/>
    <row r="2601" s="13" customFormat="1"/>
    <row r="2602" s="13" customFormat="1"/>
    <row r="2603" s="13" customFormat="1"/>
    <row r="2604" s="13" customFormat="1"/>
    <row r="2605" s="13" customFormat="1"/>
    <row r="2606" s="13" customFormat="1"/>
    <row r="2607" s="13" customFormat="1"/>
    <row r="2608" s="13" customFormat="1"/>
    <row r="2609" s="13" customFormat="1"/>
    <row r="2610" s="13" customFormat="1"/>
    <row r="2611" s="13" customFormat="1"/>
    <row r="2612" s="13" customFormat="1"/>
    <row r="2613" s="13" customFormat="1"/>
    <row r="2614" s="13" customFormat="1"/>
    <row r="2615" s="13" customFormat="1"/>
    <row r="2616" s="13" customFormat="1"/>
    <row r="2617" s="13" customFormat="1"/>
    <row r="2618" s="13" customFormat="1"/>
    <row r="2619" s="13" customFormat="1"/>
    <row r="2620" s="13" customFormat="1"/>
    <row r="2621" s="13" customFormat="1"/>
    <row r="2622" s="13" customFormat="1"/>
    <row r="2623" s="13" customFormat="1"/>
    <row r="2624" s="13" customFormat="1"/>
    <row r="2625" s="13" customFormat="1"/>
    <row r="2626" s="13" customFormat="1"/>
    <row r="2627" s="13" customFormat="1"/>
    <row r="2628" s="13" customFormat="1"/>
    <row r="2629" s="13" customFormat="1"/>
    <row r="2630" s="13" customFormat="1"/>
    <row r="2631" s="13" customFormat="1"/>
    <row r="2632" s="13" customFormat="1"/>
    <row r="2633" s="13" customFormat="1"/>
    <row r="2634" s="13" customFormat="1"/>
    <row r="2635" s="13" customFormat="1"/>
    <row r="2636" s="13" customFormat="1"/>
    <row r="2637" s="13" customFormat="1"/>
    <row r="2638" s="13" customFormat="1"/>
    <row r="2639" s="13" customFormat="1"/>
    <row r="2640" s="13" customFormat="1"/>
    <row r="2641" s="13" customFormat="1"/>
    <row r="2642" s="13" customFormat="1"/>
    <row r="2643" s="13" customFormat="1"/>
    <row r="2644" s="13" customFormat="1"/>
    <row r="2645" s="13" customFormat="1"/>
    <row r="2646" s="13" customFormat="1"/>
    <row r="2647" s="13" customFormat="1"/>
    <row r="2648" s="13" customFormat="1"/>
    <row r="2649" s="13" customFormat="1"/>
    <row r="2650" s="13" customFormat="1"/>
    <row r="2651" s="13" customFormat="1"/>
    <row r="2652" s="13" customFormat="1"/>
    <row r="2653" s="13" customFormat="1"/>
    <row r="2654" s="13" customFormat="1"/>
    <row r="2655" s="13" customFormat="1"/>
    <row r="2656" s="13" customFormat="1"/>
    <row r="2657" s="13" customFormat="1"/>
    <row r="2658" s="13" customFormat="1"/>
    <row r="2659" s="13" customFormat="1"/>
    <row r="2660" s="13" customFormat="1"/>
    <row r="2661" s="13" customFormat="1"/>
    <row r="2662" s="13" customFormat="1"/>
    <row r="2663" s="13" customFormat="1"/>
    <row r="2664" s="13" customFormat="1"/>
    <row r="2665" s="13" customFormat="1"/>
    <row r="2666" s="13" customFormat="1"/>
    <row r="2667" s="13" customFormat="1"/>
    <row r="2668" s="13" customFormat="1"/>
    <row r="2669" s="13" customFormat="1"/>
    <row r="2670" s="13" customFormat="1"/>
    <row r="2671" s="13" customFormat="1"/>
    <row r="2672" s="13" customFormat="1"/>
    <row r="2673" s="13" customFormat="1"/>
    <row r="2674" s="13" customFormat="1"/>
    <row r="2675" s="13" customFormat="1"/>
    <row r="2676" s="13" customFormat="1"/>
    <row r="2677" s="13" customFormat="1"/>
    <row r="2678" s="13" customFormat="1"/>
    <row r="2679" s="13" customFormat="1"/>
    <row r="2680" s="13" customFormat="1"/>
    <row r="2681" s="13" customFormat="1"/>
    <row r="2682" s="13" customFormat="1"/>
    <row r="2683" s="13" customFormat="1"/>
    <row r="2684" s="13" customFormat="1"/>
    <row r="2685" s="13" customFormat="1"/>
    <row r="2686" s="13" customFormat="1"/>
    <row r="2687" s="13" customFormat="1"/>
    <row r="2688" s="13" customFormat="1"/>
    <row r="2689" s="13" customFormat="1"/>
    <row r="2690" s="13" customFormat="1"/>
    <row r="2691" s="13" customFormat="1"/>
    <row r="2692" s="13" customFormat="1"/>
    <row r="2693" s="13" customFormat="1"/>
    <row r="2694" s="13" customFormat="1"/>
    <row r="2695" s="13" customFormat="1"/>
    <row r="2696" s="13" customFormat="1"/>
    <row r="2697" s="13" customFormat="1"/>
    <row r="2698" s="13" customFormat="1"/>
    <row r="2699" s="13" customFormat="1"/>
    <row r="2700" s="13" customFormat="1"/>
    <row r="2701" s="13" customFormat="1"/>
    <row r="2702" s="13" customFormat="1"/>
    <row r="2703" s="13" customFormat="1"/>
    <row r="2704" s="13" customFormat="1"/>
    <row r="2705" s="13" customFormat="1"/>
    <row r="2706" s="13" customFormat="1"/>
    <row r="2707" s="13" customFormat="1"/>
    <row r="2708" s="13" customFormat="1"/>
    <row r="2709" s="13" customFormat="1"/>
    <row r="2710" s="13" customFormat="1"/>
    <row r="2711" s="13" customFormat="1"/>
    <row r="2712" s="13" customFormat="1"/>
    <row r="2713" s="13" customFormat="1"/>
    <row r="2714" s="13" customFormat="1"/>
    <row r="2715" s="13" customFormat="1"/>
    <row r="2716" s="13" customFormat="1"/>
    <row r="2717" s="13" customFormat="1"/>
    <row r="2718" s="13" customFormat="1"/>
    <row r="2719" s="13" customFormat="1"/>
    <row r="2720" s="13" customFormat="1"/>
    <row r="2721" s="13" customFormat="1"/>
    <row r="2722" s="13" customFormat="1"/>
    <row r="2723" s="13" customFormat="1"/>
    <row r="2724" s="13" customFormat="1"/>
    <row r="2725" s="13" customFormat="1"/>
    <row r="2726" s="13" customFormat="1"/>
    <row r="2727" s="13" customFormat="1"/>
    <row r="2728" s="13" customFormat="1"/>
    <row r="2729" s="13" customFormat="1"/>
    <row r="2730" s="13" customFormat="1"/>
    <row r="2731" s="13" customFormat="1"/>
    <row r="2732" s="13" customFormat="1"/>
    <row r="2733" s="13" customFormat="1"/>
    <row r="2734" s="13" customFormat="1"/>
    <row r="2735" s="13" customFormat="1"/>
    <row r="2736" s="13" customFormat="1"/>
    <row r="2737" s="13" customFormat="1"/>
    <row r="2738" s="13" customFormat="1"/>
    <row r="2739" s="13" customFormat="1"/>
    <row r="2740" s="13" customFormat="1"/>
    <row r="2741" s="13" customFormat="1"/>
    <row r="2742" s="13" customFormat="1"/>
    <row r="2743" s="13" customFormat="1"/>
    <row r="2744" s="13" customFormat="1"/>
    <row r="2745" s="13" customFormat="1"/>
    <row r="2746" s="13" customFormat="1"/>
    <row r="2747" s="13" customFormat="1"/>
    <row r="2748" s="13" customFormat="1"/>
    <row r="2749" s="13" customFormat="1"/>
    <row r="2750" s="13" customFormat="1"/>
    <row r="2751" s="13" customFormat="1"/>
    <row r="2752" s="13" customFormat="1"/>
    <row r="2753" s="13" customFormat="1"/>
    <row r="2754" s="13" customFormat="1"/>
    <row r="2755" s="13" customFormat="1"/>
    <row r="2756" s="13" customFormat="1"/>
    <row r="2757" s="13" customFormat="1"/>
    <row r="2758" s="13" customFormat="1"/>
    <row r="2759" s="13" customFormat="1"/>
    <row r="2760" s="13" customFormat="1"/>
    <row r="2761" s="13" customFormat="1"/>
    <row r="2762" s="13" customFormat="1"/>
    <row r="2763" s="13" customFormat="1"/>
    <row r="2764" s="13" customFormat="1"/>
    <row r="2765" s="13" customFormat="1"/>
    <row r="2766" s="13" customFormat="1"/>
    <row r="2767" s="13" customFormat="1"/>
    <row r="2768" s="13" customFormat="1"/>
    <row r="2769" s="13" customFormat="1"/>
    <row r="2770" s="13" customFormat="1"/>
    <row r="2771" s="13" customFormat="1"/>
    <row r="2772" s="13" customFormat="1"/>
    <row r="2773" s="13" customFormat="1"/>
    <row r="2774" s="13" customFormat="1"/>
    <row r="2775" s="13" customFormat="1"/>
    <row r="2776" s="13" customFormat="1"/>
    <row r="2777" s="13" customFormat="1"/>
    <row r="2778" s="13" customFormat="1"/>
    <row r="2779" s="13" customFormat="1"/>
    <row r="2780" s="13" customFormat="1"/>
    <row r="2781" s="13" customFormat="1"/>
    <row r="2782" s="13" customFormat="1"/>
    <row r="2783" s="13" customFormat="1"/>
    <row r="2784" s="13" customFormat="1"/>
    <row r="2785" s="13" customFormat="1"/>
    <row r="2786" s="13" customFormat="1"/>
    <row r="2787" s="13" customFormat="1"/>
    <row r="2788" s="13" customFormat="1"/>
    <row r="2789" s="13" customFormat="1"/>
    <row r="2790" s="13" customFormat="1"/>
    <row r="2791" s="13" customFormat="1"/>
    <row r="2792" s="13" customFormat="1"/>
    <row r="2793" s="13" customFormat="1"/>
    <row r="2794" s="13" customFormat="1"/>
    <row r="2795" s="13" customFormat="1"/>
    <row r="2796" s="13" customFormat="1"/>
    <row r="2797" s="13" customFormat="1"/>
    <row r="2798" s="13" customFormat="1"/>
    <row r="2799" s="13" customFormat="1"/>
    <row r="2800" s="13" customFormat="1"/>
    <row r="2801" s="13" customFormat="1"/>
    <row r="2802" s="13" customFormat="1"/>
    <row r="2803" s="13" customFormat="1"/>
    <row r="2804" s="13" customFormat="1"/>
    <row r="2805" s="13" customFormat="1"/>
    <row r="2806" s="13" customFormat="1"/>
    <row r="2807" s="13" customFormat="1"/>
    <row r="2808" s="13" customFormat="1"/>
    <row r="2809" s="13" customFormat="1"/>
    <row r="2810" s="13" customFormat="1"/>
    <row r="2811" s="13" customFormat="1"/>
    <row r="2812" s="13" customFormat="1"/>
    <row r="2813" s="13" customFormat="1"/>
    <row r="2814" s="13" customFormat="1"/>
    <row r="2815" s="13" customFormat="1"/>
    <row r="2816" s="13" customFormat="1"/>
    <row r="2817" s="13" customFormat="1"/>
    <row r="2818" s="13" customFormat="1"/>
    <row r="2819" s="13" customFormat="1"/>
    <row r="2820" s="13" customFormat="1"/>
    <row r="2821" s="13" customFormat="1"/>
    <row r="2822" s="13" customFormat="1"/>
    <row r="2823" s="13" customFormat="1"/>
    <row r="2824" s="13" customFormat="1"/>
    <row r="2825" s="13" customFormat="1"/>
    <row r="2826" s="13" customFormat="1"/>
    <row r="2827" s="13" customFormat="1"/>
    <row r="2828" s="13" customFormat="1"/>
    <row r="2829" s="13" customFormat="1"/>
    <row r="2830" s="13" customFormat="1"/>
    <row r="2831" s="13" customFormat="1"/>
    <row r="2832" s="13" customFormat="1"/>
    <row r="2833" s="13" customFormat="1"/>
    <row r="2834" s="13" customFormat="1"/>
    <row r="2835" s="13" customFormat="1"/>
    <row r="2836" s="13" customFormat="1"/>
    <row r="2837" s="13" customFormat="1"/>
    <row r="2838" s="13" customFormat="1"/>
    <row r="2839" s="13" customFormat="1"/>
    <row r="2840" s="13" customFormat="1"/>
    <row r="2841" s="13" customFormat="1"/>
    <row r="2842" s="13" customFormat="1"/>
    <row r="2843" s="13" customFormat="1"/>
    <row r="2844" s="13" customFormat="1"/>
    <row r="2845" s="13" customFormat="1"/>
    <row r="2846" s="13" customFormat="1"/>
    <row r="2847" s="13" customFormat="1"/>
    <row r="2848" s="13" customFormat="1"/>
    <row r="2849" s="13" customFormat="1"/>
    <row r="2850" s="13" customFormat="1"/>
    <row r="2851" s="13" customFormat="1"/>
    <row r="2852" s="13" customFormat="1"/>
    <row r="2853" s="13" customFormat="1"/>
    <row r="2854" s="13" customFormat="1"/>
    <row r="2855" s="13" customFormat="1"/>
    <row r="2856" s="13" customFormat="1"/>
    <row r="2857" s="13" customFormat="1"/>
    <row r="2858" s="13" customFormat="1"/>
    <row r="2859" s="13" customFormat="1"/>
    <row r="2860" s="13" customFormat="1"/>
    <row r="2861" s="13" customFormat="1"/>
    <row r="2862" s="13" customFormat="1"/>
    <row r="2863" s="13" customFormat="1"/>
    <row r="2864" s="13" customFormat="1"/>
    <row r="2865" s="13" customFormat="1"/>
    <row r="2866" s="13" customFormat="1"/>
    <row r="2867" s="13" customFormat="1"/>
    <row r="2868" s="13" customFormat="1"/>
    <row r="2869" s="13" customFormat="1"/>
    <row r="2870" s="13" customFormat="1"/>
    <row r="2871" s="13" customFormat="1"/>
    <row r="2872" s="13" customFormat="1"/>
    <row r="2873" s="13" customFormat="1"/>
    <row r="2874" s="13" customFormat="1"/>
    <row r="2875" s="13" customFormat="1"/>
    <row r="2876" s="13" customFormat="1"/>
    <row r="2877" s="13" customFormat="1"/>
    <row r="2878" s="13" customFormat="1"/>
    <row r="2879" s="13" customFormat="1"/>
    <row r="2880" s="13" customFormat="1"/>
    <row r="2881" s="13" customFormat="1"/>
    <row r="2882" s="13" customFormat="1"/>
    <row r="2883" s="13" customFormat="1"/>
    <row r="2884" s="13" customFormat="1"/>
    <row r="2885" s="13" customFormat="1"/>
    <row r="2886" s="13" customFormat="1"/>
    <row r="2887" s="13" customFormat="1"/>
    <row r="2888" s="13" customFormat="1"/>
    <row r="2889" s="13" customFormat="1"/>
    <row r="2890" s="13" customFormat="1"/>
    <row r="2891" s="13" customFormat="1"/>
    <row r="2892" s="13" customFormat="1"/>
    <row r="2893" s="13" customFormat="1"/>
    <row r="2894" s="13" customFormat="1"/>
    <row r="2895" s="13" customFormat="1"/>
    <row r="2896" s="13" customFormat="1"/>
    <row r="2897" s="13" customFormat="1"/>
    <row r="2898" s="13" customFormat="1"/>
    <row r="2899" s="13" customFormat="1"/>
    <row r="2900" s="13" customFormat="1"/>
    <row r="2901" s="13" customFormat="1"/>
    <row r="2902" s="13" customFormat="1"/>
    <row r="2903" s="13" customFormat="1"/>
    <row r="2904" s="13" customFormat="1"/>
    <row r="2905" s="13" customFormat="1"/>
    <row r="2906" s="13" customFormat="1"/>
    <row r="2907" s="13" customFormat="1"/>
    <row r="2908" s="13" customFormat="1"/>
    <row r="2909" s="13" customFormat="1"/>
    <row r="2910" s="13" customFormat="1"/>
    <row r="2911" s="13" customFormat="1"/>
    <row r="2912" s="13" customFormat="1"/>
    <row r="2913" s="13" customFormat="1"/>
    <row r="2914" s="13" customFormat="1"/>
    <row r="2915" s="13" customFormat="1"/>
    <row r="2916" s="13" customFormat="1"/>
    <row r="2917" s="13" customFormat="1"/>
    <row r="2918" s="13" customFormat="1"/>
    <row r="2919" s="13" customFormat="1"/>
    <row r="2920" s="13" customFormat="1"/>
    <row r="2921" s="13" customFormat="1"/>
    <row r="2922" s="13" customFormat="1"/>
    <row r="2923" s="13" customFormat="1"/>
    <row r="2924" s="13" customFormat="1"/>
    <row r="2925" s="13" customFormat="1"/>
    <row r="2926" s="13" customFormat="1"/>
    <row r="2927" s="13" customFormat="1"/>
    <row r="2928" s="13" customFormat="1"/>
    <row r="2929" s="13" customFormat="1"/>
    <row r="2930" s="13" customFormat="1"/>
    <row r="2931" s="13" customFormat="1"/>
    <row r="2932" s="13" customFormat="1"/>
    <row r="2933" s="13" customFormat="1"/>
    <row r="2934" s="13" customFormat="1"/>
    <row r="2935" s="13" customFormat="1"/>
    <row r="2936" s="13" customFormat="1"/>
    <row r="2937" s="13" customFormat="1"/>
    <row r="2938" s="13" customFormat="1"/>
    <row r="2939" s="13" customFormat="1"/>
    <row r="2940" s="13" customFormat="1"/>
    <row r="2941" s="13" customFormat="1"/>
    <row r="2942" s="13" customFormat="1"/>
    <row r="2943" s="13" customFormat="1"/>
    <row r="2944" s="13" customFormat="1"/>
    <row r="2945" s="13" customFormat="1"/>
    <row r="2946" s="13" customFormat="1"/>
    <row r="2947" s="13" customFormat="1"/>
    <row r="2948" s="13" customFormat="1"/>
    <row r="2949" s="13" customFormat="1"/>
    <row r="2950" s="13" customFormat="1"/>
    <row r="2951" s="13" customFormat="1"/>
    <row r="2952" s="13" customFormat="1"/>
    <row r="2953" s="13" customFormat="1"/>
    <row r="2954" s="13" customFormat="1"/>
    <row r="2955" s="13" customFormat="1"/>
    <row r="2956" s="13" customFormat="1"/>
    <row r="2957" s="13" customFormat="1"/>
    <row r="2958" s="13" customFormat="1"/>
    <row r="2959" s="13" customFormat="1"/>
    <row r="2960" s="13" customFormat="1"/>
    <row r="2961" s="13" customFormat="1"/>
    <row r="2962" s="13" customFormat="1"/>
    <row r="2963" s="13" customFormat="1"/>
    <row r="2964" s="13" customFormat="1"/>
    <row r="2965" s="13" customFormat="1"/>
    <row r="2966" s="13" customFormat="1"/>
    <row r="2967" s="13" customFormat="1"/>
    <row r="2968" s="13" customFormat="1"/>
    <row r="2969" s="13" customFormat="1"/>
    <row r="2970" s="13" customFormat="1"/>
    <row r="2971" s="13" customFormat="1"/>
    <row r="2972" s="13" customFormat="1"/>
    <row r="2973" s="13" customFormat="1"/>
    <row r="2974" s="13" customFormat="1"/>
    <row r="2975" s="13" customFormat="1"/>
    <row r="2976" s="13" customFormat="1"/>
    <row r="2977" s="13" customFormat="1"/>
    <row r="2978" s="13" customFormat="1"/>
    <row r="2979" s="13" customFormat="1"/>
    <row r="2980" s="13" customFormat="1"/>
    <row r="2981" s="13" customFormat="1"/>
    <row r="2982" s="13" customFormat="1"/>
    <row r="2983" s="13" customFormat="1"/>
    <row r="2984" s="13" customFormat="1"/>
    <row r="2985" s="13" customFormat="1"/>
    <row r="2986" s="13" customFormat="1"/>
    <row r="2987" s="13" customFormat="1"/>
    <row r="2988" s="13" customFormat="1"/>
    <row r="2989" s="13" customFormat="1"/>
    <row r="2990" s="13" customFormat="1"/>
    <row r="2991" s="13" customFormat="1"/>
    <row r="2992" s="13" customFormat="1"/>
    <row r="2993" s="13" customFormat="1"/>
    <row r="2994" s="13" customFormat="1"/>
    <row r="2995" s="13" customFormat="1"/>
    <row r="2996" s="13" customFormat="1"/>
    <row r="2997" s="13" customFormat="1"/>
    <row r="2998" s="13" customFormat="1"/>
    <row r="2999" s="13" customFormat="1"/>
    <row r="3000" s="13" customFormat="1"/>
    <row r="3001" s="13" customFormat="1"/>
    <row r="3002" s="13" customFormat="1"/>
    <row r="3003" s="13" customFormat="1"/>
    <row r="3004" s="13" customFormat="1"/>
    <row r="3005" s="13" customFormat="1"/>
    <row r="3006" s="13" customFormat="1"/>
    <row r="3007" s="13" customFormat="1"/>
    <row r="3008" s="13" customFormat="1"/>
    <row r="3009" s="13" customFormat="1"/>
    <row r="3010" s="13" customFormat="1"/>
    <row r="3011" s="13" customFormat="1"/>
    <row r="3012" s="13" customFormat="1"/>
    <row r="3013" s="13" customFormat="1"/>
    <row r="3014" s="13" customFormat="1"/>
    <row r="3015" s="13" customFormat="1"/>
    <row r="3016" s="13" customFormat="1"/>
    <row r="3017" s="13" customFormat="1"/>
    <row r="3018" s="13" customFormat="1"/>
    <row r="3019" s="13" customFormat="1"/>
    <row r="3020" s="13" customFormat="1"/>
    <row r="3021" s="13" customFormat="1"/>
    <row r="3022" s="13" customFormat="1"/>
    <row r="3023" s="13" customFormat="1"/>
    <row r="3024" s="13" customFormat="1"/>
    <row r="3025" s="13" customFormat="1"/>
    <row r="3026" s="13" customFormat="1"/>
    <row r="3027" s="13" customFormat="1"/>
    <row r="3028" s="13" customFormat="1"/>
    <row r="3029" s="13" customFormat="1"/>
    <row r="3030" s="13" customFormat="1"/>
    <row r="3031" s="13" customFormat="1"/>
    <row r="3032" s="13" customFormat="1"/>
    <row r="3033" s="13" customFormat="1"/>
    <row r="3034" s="13" customFormat="1"/>
    <row r="3035" s="13" customFormat="1"/>
    <row r="3036" s="13" customFormat="1"/>
    <row r="3037" s="13" customFormat="1"/>
    <row r="3038" s="13" customFormat="1"/>
    <row r="3039" s="13" customFormat="1"/>
    <row r="3040" s="13" customFormat="1"/>
    <row r="3041" s="13" customFormat="1"/>
    <row r="3042" s="13" customFormat="1"/>
    <row r="3043" s="13" customFormat="1"/>
    <row r="3044" s="13" customFormat="1"/>
    <row r="3045" s="13" customFormat="1"/>
    <row r="3046" s="13" customFormat="1"/>
    <row r="3047" s="13" customFormat="1"/>
    <row r="3048" s="13" customFormat="1"/>
    <row r="3049" s="13" customFormat="1"/>
    <row r="3050" s="13" customFormat="1"/>
    <row r="3051" s="13" customFormat="1"/>
    <row r="3052" s="13" customFormat="1"/>
    <row r="3053" s="13" customFormat="1"/>
    <row r="3054" s="13" customFormat="1"/>
    <row r="3055" s="13" customFormat="1"/>
    <row r="3056" s="13" customFormat="1"/>
    <row r="3057" s="13" customFormat="1"/>
    <row r="3058" s="13" customFormat="1"/>
    <row r="3059" s="13" customFormat="1"/>
    <row r="3060" s="13" customFormat="1"/>
    <row r="3061" s="13" customFormat="1"/>
    <row r="3062" s="13" customFormat="1"/>
    <row r="3063" s="13" customFormat="1"/>
    <row r="3064" s="13" customFormat="1"/>
    <row r="3065" s="13" customFormat="1"/>
    <row r="3066" s="13" customFormat="1"/>
    <row r="3067" s="13" customFormat="1"/>
    <row r="3068" s="13" customFormat="1"/>
    <row r="3069" s="13" customFormat="1"/>
    <row r="3070" s="13" customFormat="1"/>
    <row r="3071" s="13" customFormat="1"/>
    <row r="3072" s="13" customFormat="1"/>
    <row r="3073" s="13" customFormat="1"/>
    <row r="3074" s="13" customFormat="1"/>
    <row r="3075" s="13" customFormat="1"/>
    <row r="3076" s="13" customFormat="1"/>
    <row r="3077" s="13" customFormat="1"/>
    <row r="3078" s="13" customFormat="1"/>
    <row r="3079" s="13" customFormat="1"/>
    <row r="3080" s="13" customFormat="1"/>
    <row r="3081" s="13" customFormat="1"/>
    <row r="3082" s="13" customFormat="1"/>
    <row r="3083" s="13" customFormat="1"/>
    <row r="3084" s="13" customFormat="1"/>
    <row r="3085" s="13" customFormat="1"/>
    <row r="3086" s="13" customFormat="1"/>
    <row r="3087" s="13" customFormat="1"/>
    <row r="3088" s="13" customFormat="1"/>
    <row r="3089" s="13" customFormat="1"/>
    <row r="3090" s="13" customFormat="1"/>
    <row r="3091" s="13" customFormat="1"/>
    <row r="3092" s="13" customFormat="1"/>
    <row r="3093" s="13" customFormat="1"/>
    <row r="3094" s="13" customFormat="1"/>
    <row r="3095" s="13" customFormat="1"/>
    <row r="3096" s="13" customFormat="1"/>
    <row r="3097" s="13" customFormat="1"/>
    <row r="3098" s="13" customFormat="1"/>
    <row r="3099" s="13" customFormat="1"/>
    <row r="3100" s="13" customFormat="1"/>
    <row r="3101" s="13" customFormat="1"/>
    <row r="3102" s="13" customFormat="1"/>
    <row r="3103" s="13" customFormat="1"/>
    <row r="3104" s="13" customFormat="1"/>
    <row r="3105" s="13" customFormat="1"/>
    <row r="3106" s="13" customFormat="1"/>
    <row r="3107" s="13" customFormat="1"/>
    <row r="3108" s="13" customFormat="1"/>
    <row r="3109" s="13" customFormat="1"/>
    <row r="3110" s="13" customFormat="1"/>
    <row r="3111" s="13" customFormat="1"/>
    <row r="3112" s="13" customFormat="1"/>
    <row r="3113" s="13" customFormat="1"/>
    <row r="3114" s="13" customFormat="1"/>
    <row r="3115" s="13" customFormat="1"/>
    <row r="3116" s="13" customFormat="1"/>
    <row r="3117" s="13" customFormat="1"/>
    <row r="3118" s="13" customFormat="1"/>
    <row r="3119" s="13" customFormat="1"/>
    <row r="3120" s="13" customFormat="1"/>
    <row r="3121" s="13" customFormat="1"/>
    <row r="3122" s="13" customFormat="1"/>
    <row r="3123" s="13" customFormat="1"/>
    <row r="3124" s="13" customFormat="1"/>
    <row r="3125" s="13" customFormat="1"/>
    <row r="3126" s="13" customFormat="1"/>
    <row r="3127" s="13" customFormat="1"/>
    <row r="3128" s="13" customFormat="1"/>
    <row r="3129" s="13" customFormat="1"/>
    <row r="3130" s="13" customFormat="1"/>
    <row r="3131" s="13" customFormat="1"/>
    <row r="3132" s="13" customFormat="1"/>
    <row r="3133" s="13" customFormat="1"/>
    <row r="3134" s="13" customFormat="1"/>
    <row r="3135" s="13" customFormat="1"/>
    <row r="3136" s="13" customFormat="1"/>
    <row r="3137" s="13" customFormat="1"/>
    <row r="3138" s="13" customFormat="1"/>
    <row r="3139" s="13" customFormat="1"/>
    <row r="3140" s="13" customFormat="1"/>
    <row r="3141" s="13" customFormat="1"/>
    <row r="3142" s="13" customFormat="1"/>
    <row r="3143" s="13" customFormat="1"/>
    <row r="3144" s="13" customFormat="1"/>
    <row r="3145" s="13" customFormat="1"/>
    <row r="3146" s="13" customFormat="1"/>
    <row r="3147" s="13" customFormat="1"/>
    <row r="3148" s="13" customFormat="1"/>
    <row r="3149" s="13" customFormat="1"/>
    <row r="3150" s="13" customFormat="1"/>
    <row r="3151" s="13" customFormat="1"/>
    <row r="3152" s="13" customFormat="1"/>
    <row r="3153" s="13" customFormat="1"/>
    <row r="3154" s="13" customFormat="1"/>
    <row r="3155" s="13" customFormat="1"/>
    <row r="3156" s="13" customFormat="1"/>
    <row r="3157" s="13" customFormat="1"/>
    <row r="3158" s="13" customFormat="1"/>
    <row r="3159" s="13" customFormat="1"/>
    <row r="3160" s="13" customFormat="1"/>
    <row r="3161" s="13" customFormat="1"/>
    <row r="3162" s="13" customFormat="1"/>
    <row r="3163" s="13" customFormat="1"/>
    <row r="3164" s="13" customFormat="1"/>
    <row r="3165" s="13" customFormat="1"/>
    <row r="3166" s="13" customFormat="1"/>
    <row r="3167" s="13" customFormat="1"/>
    <row r="3168" s="13" customFormat="1"/>
    <row r="3169" s="13" customFormat="1"/>
    <row r="3170" s="13" customFormat="1"/>
    <row r="3171" s="13" customFormat="1"/>
    <row r="3172" s="13" customFormat="1"/>
    <row r="3173" s="13" customFormat="1"/>
    <row r="3174" s="13" customFormat="1"/>
    <row r="3175" s="13" customFormat="1"/>
    <row r="3176" s="13" customFormat="1"/>
    <row r="3177" s="13" customFormat="1"/>
    <row r="3178" s="13" customFormat="1"/>
    <row r="3179" s="13" customFormat="1"/>
    <row r="3180" s="13" customFormat="1"/>
    <row r="3181" s="13" customFormat="1"/>
    <row r="3182" s="13" customFormat="1"/>
    <row r="3183" s="13" customFormat="1"/>
    <row r="3184" s="13" customFormat="1"/>
    <row r="3185" s="13" customFormat="1"/>
    <row r="3186" s="13" customFormat="1"/>
    <row r="3187" s="13" customFormat="1"/>
    <row r="3188" s="13" customFormat="1"/>
    <row r="3189" s="13" customFormat="1"/>
    <row r="3190" s="13" customFormat="1"/>
    <row r="3191" s="13" customFormat="1"/>
    <row r="3192" s="13" customFormat="1"/>
    <row r="3193" s="13" customFormat="1"/>
    <row r="3194" s="13" customFormat="1"/>
    <row r="3195" s="13" customFormat="1"/>
    <row r="3196" s="13" customFormat="1"/>
    <row r="3197" s="13" customFormat="1"/>
    <row r="3198" s="13" customFormat="1"/>
    <row r="3199" s="13" customFormat="1"/>
    <row r="3200" s="13" customFormat="1"/>
    <row r="3201" s="13" customFormat="1"/>
    <row r="3202" s="13" customFormat="1"/>
    <row r="3203" s="13" customFormat="1"/>
    <row r="3204" s="13" customFormat="1"/>
    <row r="3205" s="13" customFormat="1"/>
    <row r="3206" s="13" customFormat="1"/>
    <row r="3207" s="13" customFormat="1"/>
    <row r="3208" s="13" customFormat="1"/>
    <row r="3209" s="13" customFormat="1"/>
    <row r="3210" s="13" customFormat="1"/>
    <row r="3211" s="13" customFormat="1"/>
    <row r="3212" s="13" customFormat="1"/>
    <row r="3213" s="13" customFormat="1"/>
    <row r="3214" s="13" customFormat="1"/>
    <row r="3215" s="13" customFormat="1"/>
    <row r="3216" s="13" customFormat="1"/>
    <row r="3217" s="13" customFormat="1"/>
    <row r="3218" s="13" customFormat="1"/>
    <row r="3219" s="13" customFormat="1"/>
    <row r="3220" s="13" customFormat="1"/>
    <row r="3221" s="13" customFormat="1"/>
    <row r="3222" s="13" customFormat="1"/>
    <row r="3223" s="13" customFormat="1"/>
    <row r="3224" s="13" customFormat="1"/>
    <row r="3225" s="13" customFormat="1"/>
    <row r="3226" s="13" customFormat="1"/>
    <row r="3227" s="13" customFormat="1"/>
    <row r="3228" s="13" customFormat="1"/>
    <row r="3229" s="13" customFormat="1"/>
    <row r="3230" s="13" customFormat="1"/>
    <row r="3231" s="13" customFormat="1"/>
    <row r="3232" s="13" customFormat="1"/>
    <row r="3233" s="13" customFormat="1"/>
    <row r="3234" s="13" customFormat="1"/>
    <row r="3235" s="13" customFormat="1"/>
    <row r="3236" s="13" customFormat="1"/>
    <row r="3237" s="13" customFormat="1"/>
    <row r="3238" s="13" customFormat="1"/>
    <row r="3239" s="13" customFormat="1"/>
    <row r="3240" s="13" customFormat="1"/>
    <row r="3241" s="13" customFormat="1"/>
    <row r="3242" s="13" customFormat="1"/>
    <row r="3243" s="13" customFormat="1"/>
    <row r="3244" s="13" customFormat="1"/>
    <row r="3245" s="13" customFormat="1"/>
    <row r="3246" s="13" customFormat="1"/>
    <row r="3247" s="13" customFormat="1"/>
    <row r="3248" s="13" customFormat="1"/>
    <row r="3249" s="13" customFormat="1"/>
    <row r="3250" s="13" customFormat="1"/>
    <row r="3251" s="13" customFormat="1"/>
    <row r="3252" s="13" customFormat="1"/>
    <row r="3253" s="13" customFormat="1"/>
    <row r="3254" s="13" customFormat="1"/>
    <row r="3255" s="13" customFormat="1"/>
    <row r="3256" s="13" customFormat="1"/>
    <row r="3257" s="13" customFormat="1"/>
    <row r="3258" s="13" customFormat="1"/>
    <row r="3259" s="13" customFormat="1"/>
    <row r="3260" s="13" customFormat="1"/>
    <row r="3261" s="13" customFormat="1"/>
    <row r="3262" s="13" customFormat="1"/>
    <row r="3263" s="13" customFormat="1"/>
    <row r="3264" s="13" customFormat="1"/>
    <row r="3265" s="13" customFormat="1"/>
    <row r="3266" s="13" customFormat="1"/>
    <row r="3267" s="13" customFormat="1"/>
    <row r="3268" s="13" customFormat="1"/>
    <row r="3269" s="13" customFormat="1"/>
    <row r="3270" s="13" customFormat="1"/>
    <row r="3271" s="13" customFormat="1"/>
    <row r="3272" s="13" customFormat="1"/>
    <row r="3273" s="13" customFormat="1"/>
    <row r="3274" s="13" customFormat="1"/>
    <row r="3275" s="13" customFormat="1"/>
    <row r="3276" s="13" customFormat="1"/>
    <row r="3277" s="13" customFormat="1"/>
    <row r="3278" s="13" customFormat="1"/>
    <row r="3279" s="13" customFormat="1"/>
    <row r="3280" s="13" customFormat="1"/>
    <row r="3281" s="13" customFormat="1"/>
    <row r="3282" s="13" customFormat="1"/>
    <row r="3283" s="13" customFormat="1"/>
    <row r="3284" s="13" customFormat="1"/>
    <row r="3285" s="13" customFormat="1"/>
    <row r="3286" s="13" customFormat="1"/>
    <row r="3287" s="13" customFormat="1"/>
    <row r="3288" s="13" customFormat="1"/>
    <row r="3289" s="13" customFormat="1"/>
    <row r="3290" s="13" customFormat="1"/>
    <row r="3291" s="13" customFormat="1"/>
    <row r="3292" s="13" customFormat="1"/>
    <row r="3293" s="13" customFormat="1"/>
    <row r="3294" s="13" customFormat="1"/>
    <row r="3295" s="13" customFormat="1"/>
    <row r="3296" s="13" customFormat="1"/>
    <row r="3297" s="13" customFormat="1"/>
    <row r="3298" s="13" customFormat="1"/>
    <row r="3299" s="13" customFormat="1"/>
    <row r="3300" s="13" customFormat="1"/>
    <row r="3301" s="13" customFormat="1"/>
    <row r="3302" s="13" customFormat="1"/>
    <row r="3303" s="13" customFormat="1"/>
    <row r="3304" s="13" customFormat="1"/>
    <row r="3305" s="13" customFormat="1"/>
    <row r="3306" s="13" customFormat="1"/>
    <row r="3307" s="13" customFormat="1"/>
    <row r="3308" s="13" customFormat="1"/>
    <row r="3309" s="13" customFormat="1"/>
    <row r="3310" s="13" customFormat="1"/>
    <row r="3311" s="13" customFormat="1"/>
    <row r="3312" s="13" customFormat="1"/>
    <row r="3313" s="13" customFormat="1"/>
    <row r="3314" s="13" customFormat="1"/>
    <row r="3315" s="13" customFormat="1"/>
    <row r="3316" s="13" customFormat="1"/>
    <row r="3317" s="13" customFormat="1"/>
    <row r="3318" s="13" customFormat="1"/>
    <row r="3319" s="13" customFormat="1"/>
    <row r="3320" s="13" customFormat="1"/>
    <row r="3321" s="13" customFormat="1"/>
    <row r="3322" s="13" customFormat="1"/>
    <row r="3323" s="13" customFormat="1"/>
    <row r="3324" s="13" customFormat="1"/>
    <row r="3325" s="13" customFormat="1"/>
    <row r="3326" s="13" customFormat="1"/>
    <row r="3327" s="13" customFormat="1"/>
    <row r="3328" s="13" customFormat="1"/>
    <row r="3329" s="13" customFormat="1"/>
    <row r="3330" s="13" customFormat="1"/>
    <row r="3331" s="13" customFormat="1"/>
    <row r="3332" s="13" customFormat="1"/>
    <row r="3333" s="13" customFormat="1"/>
    <row r="3334" s="13" customFormat="1"/>
    <row r="3335" s="13" customFormat="1"/>
    <row r="3336" s="13" customFormat="1"/>
    <row r="3337" s="13" customFormat="1"/>
    <row r="3338" s="13" customFormat="1"/>
    <row r="3339" s="13" customFormat="1"/>
    <row r="3340" s="13" customFormat="1"/>
    <row r="3341" s="13" customFormat="1"/>
    <row r="3342" s="13" customFormat="1"/>
    <row r="3343" s="13" customFormat="1"/>
    <row r="3344" s="13" customFormat="1"/>
    <row r="3345" s="13" customFormat="1"/>
    <row r="3346" s="13" customFormat="1"/>
    <row r="3347" s="13" customFormat="1"/>
    <row r="3348" s="13" customFormat="1"/>
    <row r="3349" s="13" customFormat="1"/>
    <row r="3350" s="13" customFormat="1"/>
    <row r="3351" s="13" customFormat="1"/>
    <row r="3352" s="13" customFormat="1"/>
    <row r="3353" s="13" customFormat="1"/>
    <row r="3354" s="13" customFormat="1"/>
    <row r="3355" s="13" customFormat="1"/>
    <row r="3356" s="13" customFormat="1"/>
    <row r="3357" s="13" customFormat="1"/>
    <row r="3358" s="13" customFormat="1"/>
    <row r="3359" s="13" customFormat="1"/>
    <row r="3360" s="13" customFormat="1"/>
    <row r="3361" s="13" customFormat="1"/>
    <row r="3362" s="13" customFormat="1"/>
    <row r="3363" s="13" customFormat="1"/>
    <row r="3364" s="13" customFormat="1"/>
    <row r="3365" s="13" customFormat="1"/>
    <row r="3366" s="13" customFormat="1"/>
    <row r="3367" s="13" customFormat="1"/>
    <row r="3368" s="13" customFormat="1"/>
    <row r="3369" s="13" customFormat="1"/>
    <row r="3370" s="13" customFormat="1"/>
    <row r="3371" s="13" customFormat="1"/>
    <row r="3372" s="13" customFormat="1"/>
    <row r="3373" s="13" customFormat="1"/>
    <row r="3374" s="13" customFormat="1"/>
    <row r="3375" s="13" customFormat="1"/>
    <row r="3376" s="13" customFormat="1"/>
    <row r="3377" s="13" customFormat="1"/>
    <row r="3378" s="13" customFormat="1"/>
    <row r="3379" s="13" customFormat="1"/>
    <row r="3380" s="13" customFormat="1"/>
    <row r="3381" s="13" customFormat="1"/>
    <row r="3382" s="13" customFormat="1"/>
    <row r="3383" s="13" customFormat="1"/>
    <row r="3384" s="13" customFormat="1"/>
    <row r="3385" s="13" customFormat="1"/>
    <row r="3386" s="13" customFormat="1"/>
    <row r="3387" s="13" customFormat="1"/>
    <row r="3388" s="13" customFormat="1"/>
    <row r="3389" s="13" customFormat="1"/>
    <row r="3390" s="13" customFormat="1"/>
    <row r="3391" s="13" customFormat="1"/>
    <row r="3392" s="13" customFormat="1"/>
    <row r="3393" s="13" customFormat="1"/>
    <row r="3394" s="13" customFormat="1"/>
    <row r="3395" s="13" customFormat="1"/>
    <row r="3396" s="13" customFormat="1"/>
    <row r="3397" s="13" customFormat="1"/>
    <row r="3398" s="13" customFormat="1"/>
    <row r="3399" s="13" customFormat="1"/>
    <row r="3400" s="13" customFormat="1"/>
    <row r="3401" s="13" customFormat="1"/>
    <row r="3402" s="13" customFormat="1"/>
    <row r="3403" s="13" customFormat="1"/>
    <row r="3404" s="13" customFormat="1"/>
    <row r="3405" s="13" customFormat="1"/>
    <row r="3406" s="13" customFormat="1"/>
    <row r="3407" s="13" customFormat="1"/>
    <row r="3408" s="13" customFormat="1"/>
    <row r="3409" s="13" customFormat="1"/>
    <row r="3410" s="13" customFormat="1"/>
    <row r="3411" s="13" customFormat="1"/>
    <row r="3412" s="13" customFormat="1"/>
    <row r="3413" s="13" customFormat="1"/>
    <row r="3414" s="13" customFormat="1"/>
    <row r="3415" s="13" customFormat="1"/>
    <row r="3416" s="13" customFormat="1"/>
    <row r="3417" s="13" customFormat="1"/>
    <row r="3418" s="13" customFormat="1"/>
    <row r="3419" s="13" customFormat="1"/>
    <row r="3420" s="13" customFormat="1"/>
    <row r="3421" s="13" customFormat="1"/>
    <row r="3422" s="13" customFormat="1"/>
    <row r="3423" s="13" customFormat="1"/>
    <row r="3424" s="13" customFormat="1"/>
    <row r="3425" s="13" customFormat="1"/>
    <row r="3426" s="13" customFormat="1"/>
    <row r="3427" s="13" customFormat="1"/>
    <row r="3428" s="13" customFormat="1"/>
    <row r="3429" s="13" customFormat="1"/>
    <row r="3430" s="13" customFormat="1"/>
    <row r="3431" s="13" customFormat="1"/>
    <row r="3432" s="13" customFormat="1"/>
    <row r="3433" s="13" customFormat="1"/>
    <row r="3434" s="13" customFormat="1"/>
    <row r="3435" s="13" customFormat="1"/>
    <row r="3436" s="13" customFormat="1"/>
    <row r="3437" s="13" customFormat="1"/>
    <row r="3438" s="13" customFormat="1"/>
    <row r="3439" s="13" customFormat="1"/>
    <row r="3440" s="13" customFormat="1"/>
    <row r="3441" s="13" customFormat="1"/>
    <row r="3442" s="13" customFormat="1"/>
    <row r="3443" s="13" customFormat="1"/>
    <row r="3444" s="13" customFormat="1"/>
    <row r="3445" s="13" customFormat="1"/>
    <row r="3446" s="13" customFormat="1"/>
    <row r="3447" s="13" customFormat="1"/>
    <row r="3448" s="13" customFormat="1"/>
    <row r="3449" s="13" customFormat="1"/>
    <row r="3450" s="13" customFormat="1"/>
    <row r="3451" s="13" customFormat="1"/>
    <row r="3452" s="13" customFormat="1"/>
    <row r="3453" s="13" customFormat="1"/>
    <row r="3454" s="13" customFormat="1"/>
    <row r="3455" s="13" customFormat="1"/>
    <row r="3456" s="13" customFormat="1"/>
    <row r="3457" s="13" customFormat="1"/>
    <row r="3458" s="13" customFormat="1"/>
    <row r="3459" s="13" customFormat="1"/>
    <row r="3460" s="13" customFormat="1"/>
    <row r="3461" s="13" customFormat="1"/>
    <row r="3462" s="13" customFormat="1"/>
    <row r="3463" s="13" customFormat="1"/>
    <row r="3464" s="13" customFormat="1"/>
    <row r="3465" s="13" customFormat="1"/>
    <row r="3466" s="13" customFormat="1"/>
    <row r="3467" s="13" customFormat="1"/>
    <row r="3468" s="13" customFormat="1"/>
    <row r="3469" s="13" customFormat="1"/>
    <row r="3470" s="13" customFormat="1"/>
    <row r="3471" s="13" customFormat="1"/>
    <row r="3472" s="13" customFormat="1"/>
    <row r="3473" s="13" customFormat="1"/>
    <row r="3474" s="13" customFormat="1"/>
    <row r="3475" s="13" customFormat="1"/>
    <row r="3476" s="13" customFormat="1"/>
    <row r="3477" s="13" customFormat="1"/>
    <row r="3478" s="13" customFormat="1"/>
    <row r="3479" s="13" customFormat="1"/>
    <row r="3480" s="13" customFormat="1"/>
    <row r="3481" s="13" customFormat="1"/>
    <row r="3482" s="13" customFormat="1"/>
    <row r="3483" s="13" customFormat="1"/>
    <row r="3484" s="13" customFormat="1"/>
    <row r="3485" s="13" customFormat="1"/>
    <row r="3486" s="13" customFormat="1"/>
    <row r="3487" s="13" customFormat="1"/>
    <row r="3488" s="13" customFormat="1"/>
    <row r="3489" s="13" customFormat="1"/>
    <row r="3490" s="13" customFormat="1"/>
    <row r="3491" s="13" customFormat="1"/>
    <row r="3492" s="13" customFormat="1"/>
    <row r="3493" s="13" customFormat="1"/>
    <row r="3494" s="13" customFormat="1"/>
    <row r="3495" s="13" customFormat="1"/>
    <row r="3496" s="13" customFormat="1"/>
    <row r="3497" s="13" customFormat="1"/>
    <row r="3498" s="13" customFormat="1"/>
    <row r="3499" s="13" customFormat="1"/>
    <row r="3500" s="13" customFormat="1"/>
    <row r="3501" s="13" customFormat="1"/>
    <row r="3502" s="13" customFormat="1"/>
    <row r="3503" s="13" customFormat="1"/>
    <row r="3504" s="13" customFormat="1"/>
    <row r="3505" s="13" customFormat="1"/>
    <row r="3506" s="13" customFormat="1"/>
    <row r="3507" s="13" customFormat="1"/>
    <row r="3508" s="13" customFormat="1"/>
    <row r="3509" s="13" customFormat="1"/>
    <row r="3510" s="13" customFormat="1"/>
    <row r="3511" s="13" customFormat="1"/>
    <row r="3512" s="13" customFormat="1"/>
    <row r="3513" s="13" customFormat="1"/>
    <row r="3514" s="13" customFormat="1"/>
    <row r="3515" s="13" customFormat="1"/>
    <row r="3516" s="13" customFormat="1"/>
    <row r="3517" s="13" customFormat="1"/>
    <row r="3518" s="13" customFormat="1"/>
    <row r="3519" s="13" customFormat="1"/>
    <row r="3520" s="13" customFormat="1"/>
    <row r="3521" s="13" customFormat="1"/>
    <row r="3522" s="13" customFormat="1"/>
    <row r="3523" s="13" customFormat="1"/>
    <row r="3524" s="13" customFormat="1"/>
    <row r="3525" s="13" customFormat="1"/>
    <row r="3526" s="13" customFormat="1"/>
    <row r="3527" s="13" customFormat="1"/>
    <row r="3528" s="13" customFormat="1"/>
    <row r="3529" s="13" customFormat="1"/>
    <row r="3530" s="13" customFormat="1"/>
    <row r="3531" s="13" customFormat="1"/>
    <row r="3532" s="13" customFormat="1"/>
    <row r="3533" s="13" customFormat="1"/>
    <row r="3534" s="13" customFormat="1"/>
    <row r="3535" s="13" customFormat="1"/>
    <row r="3536" s="13" customFormat="1"/>
    <row r="3537" s="13" customFormat="1"/>
    <row r="3538" s="13" customFormat="1"/>
    <row r="3539" s="13" customFormat="1"/>
    <row r="3540" s="13" customFormat="1"/>
    <row r="3541" s="13" customFormat="1"/>
    <row r="3542" s="13" customFormat="1"/>
    <row r="3543" s="13" customFormat="1"/>
    <row r="3544" s="13" customFormat="1"/>
    <row r="3545" s="13" customFormat="1"/>
    <row r="3546" s="13" customFormat="1"/>
    <row r="3547" s="13" customFormat="1"/>
    <row r="3548" s="13" customFormat="1"/>
    <row r="3549" s="13" customFormat="1"/>
    <row r="3550" s="13" customFormat="1"/>
    <row r="3551" s="13" customFormat="1"/>
    <row r="3552" s="13" customFormat="1"/>
    <row r="3553" s="13" customFormat="1"/>
    <row r="3554" s="13" customFormat="1"/>
    <row r="3555" s="13" customFormat="1"/>
    <row r="3556" s="13" customFormat="1"/>
    <row r="3557" s="13" customFormat="1"/>
    <row r="3558" s="13" customFormat="1"/>
    <row r="3559" s="13" customFormat="1"/>
    <row r="3560" s="13" customFormat="1"/>
    <row r="3561" s="13" customFormat="1"/>
    <row r="3562" s="13" customFormat="1"/>
    <row r="3563" s="13" customFormat="1"/>
    <row r="3564" s="13" customFormat="1"/>
    <row r="3565" s="13" customFormat="1"/>
    <row r="3566" s="13" customFormat="1"/>
    <row r="3567" s="13" customFormat="1"/>
    <row r="3568" s="13" customFormat="1"/>
    <row r="3569" s="13" customFormat="1"/>
    <row r="3570" s="13" customFormat="1"/>
    <row r="3571" s="13" customFormat="1"/>
    <row r="3572" s="13" customFormat="1"/>
    <row r="3573" s="13" customFormat="1"/>
    <row r="3574" s="13" customFormat="1"/>
    <row r="3575" s="13" customFormat="1"/>
    <row r="3576" s="13" customFormat="1"/>
    <row r="3577" s="13" customFormat="1"/>
    <row r="3578" s="13" customFormat="1"/>
    <row r="3579" s="13" customFormat="1"/>
    <row r="3580" s="13" customFormat="1"/>
    <row r="3581" s="13" customFormat="1"/>
    <row r="3582" s="13" customFormat="1"/>
    <row r="3583" s="13" customFormat="1"/>
    <row r="3584" s="13" customFormat="1"/>
    <row r="3585" s="13" customFormat="1"/>
    <row r="3586" s="13" customFormat="1"/>
    <row r="3587" s="13" customFormat="1"/>
    <row r="3588" s="13" customFormat="1"/>
    <row r="3589" s="13" customFormat="1"/>
    <row r="3590" s="13" customFormat="1"/>
    <row r="3591" s="13" customFormat="1"/>
    <row r="3592" s="13" customFormat="1"/>
    <row r="3593" s="13" customFormat="1"/>
    <row r="3594" s="13" customFormat="1"/>
    <row r="3595" s="13" customFormat="1"/>
    <row r="3596" s="13" customFormat="1"/>
    <row r="3597" s="13" customFormat="1"/>
    <row r="3598" s="13" customFormat="1"/>
    <row r="3599" s="13" customFormat="1"/>
    <row r="3600" s="13" customFormat="1"/>
    <row r="3601" s="13" customFormat="1"/>
    <row r="3602" s="13" customFormat="1"/>
    <row r="3603" s="13" customFormat="1"/>
    <row r="3604" s="13" customFormat="1"/>
    <row r="3605" s="13" customFormat="1"/>
    <row r="3606" s="13" customFormat="1"/>
    <row r="3607" s="13" customFormat="1"/>
    <row r="3608" s="13" customFormat="1"/>
    <row r="3609" s="13" customFormat="1"/>
    <row r="3610" s="13" customFormat="1"/>
    <row r="3611" s="13" customFormat="1"/>
    <row r="3612" s="13" customFormat="1"/>
    <row r="3613" s="13" customFormat="1"/>
    <row r="3614" s="13" customFormat="1"/>
    <row r="3615" s="13" customFormat="1"/>
    <row r="3616" s="13" customFormat="1"/>
    <row r="3617" s="13" customFormat="1"/>
    <row r="3618" s="13" customFormat="1"/>
    <row r="3619" s="13" customFormat="1"/>
    <row r="3620" s="13" customFormat="1"/>
    <row r="3621" s="13" customFormat="1"/>
    <row r="3622" s="13" customFormat="1"/>
    <row r="3623" s="13" customFormat="1"/>
    <row r="3624" s="13" customFormat="1"/>
    <row r="3625" s="13" customFormat="1"/>
    <row r="3626" s="13" customFormat="1"/>
    <row r="3627" s="13" customFormat="1"/>
    <row r="3628" s="13" customFormat="1"/>
    <row r="3629" s="13" customFormat="1"/>
    <row r="3630" s="13" customFormat="1"/>
    <row r="3631" s="13" customFormat="1"/>
    <row r="3632" s="13" customFormat="1"/>
    <row r="3633" s="13" customFormat="1"/>
    <row r="3634" s="13" customFormat="1"/>
    <row r="3635" s="13" customFormat="1"/>
    <row r="3636" s="13" customFormat="1"/>
    <row r="3637" s="13" customFormat="1"/>
    <row r="3638" s="13" customFormat="1"/>
    <row r="3639" s="13" customFormat="1"/>
    <row r="3640" s="13" customFormat="1"/>
    <row r="3641" s="13" customFormat="1"/>
    <row r="3642" s="13" customFormat="1"/>
    <row r="3643" s="13" customFormat="1"/>
    <row r="3644" s="13" customFormat="1"/>
    <row r="3645" s="13" customFormat="1"/>
    <row r="3646" s="13" customFormat="1"/>
    <row r="3647" s="13" customFormat="1"/>
    <row r="3648" s="13" customFormat="1"/>
    <row r="3649" s="13" customFormat="1"/>
    <row r="3650" s="13" customFormat="1"/>
    <row r="3651" s="13" customFormat="1"/>
    <row r="3652" s="13" customFormat="1"/>
    <row r="3653" s="13" customFormat="1"/>
    <row r="3654" s="13" customFormat="1"/>
    <row r="3655" s="13" customFormat="1"/>
    <row r="3656" s="13" customFormat="1"/>
    <row r="3657" s="13" customFormat="1"/>
    <row r="3658" s="13" customFormat="1"/>
    <row r="3659" s="13" customFormat="1"/>
    <row r="3660" s="13" customFormat="1"/>
    <row r="3661" s="13" customFormat="1"/>
    <row r="3662" s="13" customFormat="1"/>
    <row r="3663" s="13" customFormat="1"/>
    <row r="3664" s="13" customFormat="1"/>
    <row r="3665" s="13" customFormat="1"/>
    <row r="3666" s="13" customFormat="1"/>
    <row r="3667" s="13" customFormat="1"/>
    <row r="3668" s="13" customFormat="1"/>
    <row r="3669" s="13" customFormat="1"/>
    <row r="3670" s="13" customFormat="1"/>
    <row r="3671" s="13" customFormat="1"/>
    <row r="3672" s="13" customFormat="1"/>
    <row r="3673" s="13" customFormat="1"/>
    <row r="3674" s="13" customFormat="1"/>
    <row r="3675" s="13" customFormat="1"/>
    <row r="3676" s="13" customFormat="1"/>
    <row r="3677" s="13" customFormat="1"/>
    <row r="3678" s="13" customFormat="1"/>
    <row r="3679" s="13" customFormat="1"/>
    <row r="3680" s="13" customFormat="1"/>
    <row r="3681" s="13" customFormat="1"/>
    <row r="3682" s="13" customFormat="1"/>
    <row r="3683" s="13" customFormat="1"/>
    <row r="3684" s="13" customFormat="1"/>
    <row r="3685" s="13" customFormat="1"/>
    <row r="3686" s="13" customFormat="1"/>
    <row r="3687" s="13" customFormat="1"/>
    <row r="3688" s="13" customFormat="1"/>
    <row r="3689" s="13" customFormat="1"/>
    <row r="3690" s="13" customFormat="1"/>
    <row r="3691" s="13" customFormat="1"/>
    <row r="3692" s="13" customFormat="1"/>
    <row r="3693" s="13" customFormat="1"/>
    <row r="3694" s="13" customFormat="1"/>
    <row r="3695" s="13" customFormat="1"/>
    <row r="3696" s="13" customFormat="1"/>
    <row r="3697" s="13" customFormat="1"/>
    <row r="3698" s="13" customFormat="1"/>
    <row r="3699" s="13" customFormat="1"/>
    <row r="3700" s="13" customFormat="1"/>
    <row r="3701" s="13" customFormat="1"/>
    <row r="3702" s="13" customFormat="1"/>
    <row r="3703" s="13" customFormat="1"/>
    <row r="3704" s="13" customFormat="1"/>
    <row r="3705" s="13" customFormat="1"/>
    <row r="3706" s="13" customFormat="1"/>
    <row r="3707" s="13" customFormat="1"/>
    <row r="3708" s="13" customFormat="1"/>
    <row r="3709" s="13" customFormat="1"/>
    <row r="3710" s="13" customFormat="1"/>
    <row r="3711" s="13" customFormat="1"/>
    <row r="3712" s="13" customFormat="1"/>
    <row r="3713" s="13" customFormat="1"/>
    <row r="3714" s="13" customFormat="1"/>
    <row r="3715" s="13" customFormat="1"/>
    <row r="3716" s="13" customFormat="1"/>
    <row r="3717" s="13" customFormat="1"/>
    <row r="3718" s="13" customFormat="1"/>
    <row r="3719" s="13" customFormat="1"/>
    <row r="3720" s="13" customFormat="1"/>
    <row r="3721" s="13" customFormat="1"/>
    <row r="3722" s="13" customFormat="1"/>
    <row r="3723" s="13" customFormat="1"/>
    <row r="3724" s="13" customFormat="1"/>
    <row r="3725" s="13" customFormat="1"/>
    <row r="3726" s="13" customFormat="1"/>
    <row r="3727" s="13" customFormat="1"/>
    <row r="3728" s="13" customFormat="1"/>
    <row r="3729" s="13" customFormat="1"/>
    <row r="3730" s="13" customFormat="1"/>
    <row r="3731" s="13" customFormat="1"/>
    <row r="3732" s="13" customFormat="1"/>
    <row r="3733" s="13" customFormat="1"/>
    <row r="3734" s="13" customFormat="1"/>
    <row r="3735" s="13" customFormat="1"/>
    <row r="3736" s="13" customFormat="1"/>
    <row r="3737" s="13" customFormat="1"/>
    <row r="3738" s="13" customFormat="1"/>
    <row r="3739" s="13" customFormat="1"/>
    <row r="3740" s="13" customFormat="1"/>
    <row r="3741" s="13" customFormat="1"/>
    <row r="3742" s="13" customFormat="1"/>
    <row r="3743" s="13" customFormat="1"/>
    <row r="3744" s="13" customFormat="1"/>
    <row r="3745" s="13" customFormat="1"/>
    <row r="3746" s="13" customFormat="1"/>
    <row r="3747" s="13" customFormat="1"/>
    <row r="3748" s="13" customFormat="1"/>
    <row r="3749" s="13" customFormat="1"/>
    <row r="3750" s="13" customFormat="1"/>
    <row r="3751" s="13" customFormat="1"/>
    <row r="3752" s="13" customFormat="1"/>
    <row r="3753" s="13" customFormat="1"/>
    <row r="3754" s="13" customFormat="1"/>
    <row r="3755" s="13" customFormat="1"/>
    <row r="3756" s="13" customFormat="1"/>
    <row r="3757" s="13" customFormat="1"/>
    <row r="3758" s="13" customFormat="1"/>
    <row r="3759" s="13" customFormat="1"/>
    <row r="3760" s="13" customFormat="1"/>
    <row r="3761" s="13" customFormat="1"/>
    <row r="3762" s="13" customFormat="1"/>
    <row r="3763" s="13" customFormat="1"/>
    <row r="3764" s="13" customFormat="1"/>
    <row r="3765" s="13" customFormat="1"/>
    <row r="3766" s="13" customFormat="1"/>
    <row r="3767" s="13" customFormat="1"/>
    <row r="3768" s="13" customFormat="1"/>
    <row r="3769" s="13" customFormat="1"/>
    <row r="3770" s="13" customFormat="1"/>
    <row r="3771" s="13" customFormat="1"/>
    <row r="3772" s="13" customFormat="1"/>
    <row r="3773" s="13" customFormat="1"/>
    <row r="3774" s="13" customFormat="1"/>
    <row r="3775" s="13" customFormat="1"/>
    <row r="3776" s="13" customFormat="1"/>
    <row r="3777" s="13" customFormat="1"/>
    <row r="3778" s="13" customFormat="1"/>
    <row r="3779" s="13" customFormat="1"/>
    <row r="3780" s="13" customFormat="1"/>
    <row r="3781" s="13" customFormat="1"/>
    <row r="3782" s="13" customFormat="1"/>
    <row r="3783" s="13" customFormat="1"/>
    <row r="3784" s="13" customFormat="1"/>
    <row r="3785" s="13" customFormat="1"/>
    <row r="3786" s="13" customFormat="1"/>
    <row r="3787" s="13" customFormat="1"/>
    <row r="3788" s="13" customFormat="1"/>
    <row r="3789" s="13" customFormat="1"/>
    <row r="3790" s="13" customFormat="1"/>
    <row r="3791" s="13" customFormat="1"/>
    <row r="3792" s="13" customFormat="1"/>
    <row r="3793" s="13" customFormat="1"/>
    <row r="3794" s="13" customFormat="1"/>
    <row r="3795" s="13" customFormat="1"/>
    <row r="3796" s="13" customFormat="1"/>
    <row r="3797" s="13" customFormat="1"/>
    <row r="3798" s="13" customFormat="1"/>
    <row r="3799" s="13" customFormat="1"/>
    <row r="3800" s="13" customFormat="1"/>
    <row r="3801" s="13" customFormat="1"/>
    <row r="3802" s="13" customFormat="1"/>
    <row r="3803" s="13" customFormat="1"/>
    <row r="3804" s="13" customFormat="1"/>
    <row r="3805" s="13" customFormat="1"/>
    <row r="3806" s="13" customFormat="1"/>
    <row r="3807" s="13" customFormat="1"/>
    <row r="3808" s="13" customFormat="1"/>
    <row r="3809" s="13" customFormat="1"/>
    <row r="3810" s="13" customFormat="1"/>
    <row r="3811" s="13" customFormat="1"/>
    <row r="3812" s="13" customFormat="1"/>
    <row r="3813" s="13" customFormat="1"/>
    <row r="3814" s="13" customFormat="1"/>
    <row r="3815" s="13" customFormat="1"/>
    <row r="3816" s="13" customFormat="1"/>
    <row r="3817" s="13" customFormat="1"/>
    <row r="3818" s="13" customFormat="1"/>
    <row r="3819" s="13" customFormat="1"/>
    <row r="3820" s="13" customFormat="1"/>
    <row r="3821" s="13" customFormat="1"/>
    <row r="3822" s="13" customFormat="1"/>
    <row r="3823" s="13" customFormat="1"/>
    <row r="3824" s="13" customFormat="1"/>
    <row r="3825" s="13" customFormat="1"/>
    <row r="3826" s="13" customFormat="1"/>
    <row r="3827" s="13" customFormat="1"/>
    <row r="3828" s="13" customFormat="1"/>
    <row r="3829" s="13" customFormat="1"/>
    <row r="3830" s="13" customFormat="1"/>
    <row r="3831" s="13" customFormat="1"/>
    <row r="3832" s="13" customFormat="1"/>
    <row r="3833" s="13" customFormat="1"/>
    <row r="3834" s="13" customFormat="1"/>
    <row r="3835" s="13" customFormat="1"/>
    <row r="3836" s="13" customFormat="1"/>
    <row r="3837" s="13" customFormat="1"/>
    <row r="3838" s="13" customFormat="1"/>
    <row r="3839" s="13" customFormat="1"/>
    <row r="3840" s="13" customFormat="1"/>
    <row r="3841" s="13" customFormat="1"/>
    <row r="3842" s="13" customFormat="1"/>
    <row r="3843" s="13" customFormat="1"/>
    <row r="3844" s="13" customFormat="1"/>
    <row r="3845" s="13" customFormat="1"/>
    <row r="3846" s="13" customFormat="1"/>
    <row r="3847" s="13" customFormat="1"/>
    <row r="3848" s="13" customFormat="1"/>
    <row r="3849" s="13" customFormat="1"/>
    <row r="3850" s="13" customFormat="1"/>
    <row r="3851" s="13" customFormat="1"/>
    <row r="3852" s="13" customFormat="1"/>
    <row r="3853" s="13" customFormat="1"/>
    <row r="3854" s="13" customFormat="1"/>
    <row r="3855" s="13" customFormat="1"/>
    <row r="3856" s="13" customFormat="1"/>
    <row r="3857" s="13" customFormat="1"/>
    <row r="3858" s="13" customFormat="1"/>
    <row r="3859" s="13" customFormat="1"/>
    <row r="3860" s="13" customFormat="1"/>
    <row r="3861" s="13" customFormat="1"/>
    <row r="3862" s="13" customFormat="1"/>
    <row r="3863" s="13" customFormat="1"/>
    <row r="3864" s="13" customFormat="1"/>
    <row r="3865" s="13" customFormat="1"/>
    <row r="3866" s="13" customFormat="1"/>
    <row r="3867" s="13" customFormat="1"/>
    <row r="3868" s="13" customFormat="1"/>
    <row r="3869" s="13" customFormat="1"/>
    <row r="3870" s="13" customFormat="1"/>
    <row r="3871" s="13" customFormat="1"/>
    <row r="3872" s="13" customFormat="1"/>
    <row r="3873" spans="1:10" s="13" customFormat="1"/>
    <row r="3874" spans="1:10" s="13" customFormat="1"/>
    <row r="3875" spans="1:10" s="13" customFormat="1">
      <c r="A3875" s="12"/>
      <c r="B3875" s="12"/>
      <c r="C3875" s="12"/>
      <c r="D3875" s="12"/>
      <c r="E3875" s="12"/>
      <c r="F3875" s="12"/>
      <c r="G3875" s="12"/>
      <c r="H3875" s="12"/>
      <c r="I3875" s="12"/>
      <c r="J3875" s="12"/>
    </row>
    <row r="3876" spans="1:10" s="13" customFormat="1">
      <c r="A3876" s="12"/>
      <c r="B3876" s="12"/>
      <c r="C3876" s="12"/>
      <c r="D3876" s="12"/>
      <c r="E3876" s="12"/>
      <c r="F3876" s="12"/>
      <c r="G3876" s="12"/>
      <c r="H3876" s="12"/>
      <c r="I3876" s="12"/>
      <c r="J3876" s="12"/>
    </row>
    <row r="3877" spans="1:10" s="13" customFormat="1">
      <c r="A3877" s="12"/>
      <c r="B3877" s="12"/>
      <c r="C3877" s="12"/>
      <c r="D3877" s="12"/>
      <c r="E3877" s="12"/>
      <c r="F3877" s="12"/>
      <c r="G3877" s="12"/>
      <c r="H3877" s="12"/>
      <c r="I3877" s="12"/>
      <c r="J3877" s="12"/>
    </row>
  </sheetData>
  <mergeCells count="5">
    <mergeCell ref="A5:A7"/>
    <mergeCell ref="B5:B7"/>
    <mergeCell ref="C5:J5"/>
    <mergeCell ref="C6:C7"/>
    <mergeCell ref="G6:G7"/>
  </mergeCells>
  <phoneticPr fontId="9" type="noConversion"/>
  <printOptions horizontalCentered="1"/>
  <pageMargins left="0.55118110236220474" right="0.55118110236220474" top="0.78740157480314965" bottom="0.78740157480314965" header="0.39370078740157483" footer="0.39370078740157483"/>
  <pageSetup paperSize="9" scale="4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1:P144"/>
  <sheetViews>
    <sheetView zoomScale="85" zoomScaleNormal="85" zoomScaleSheetLayoutView="70" workbookViewId="0">
      <pane xSplit="1" ySplit="7" topLeftCell="B128" activePane="bottomRight" state="frozen"/>
      <selection activeCell="E91" sqref="E91"/>
      <selection pane="topRight" activeCell="E91" sqref="E91"/>
      <selection pane="bottomLeft" activeCell="E91" sqref="E91"/>
      <selection pane="bottomRight" activeCell="B139" sqref="B139"/>
    </sheetView>
  </sheetViews>
  <sheetFormatPr defaultColWidth="8.88671875" defaultRowHeight="13.5"/>
  <cols>
    <col min="1" max="1" width="10.77734375" style="12" customWidth="1"/>
    <col min="2" max="8" width="11.77734375" style="12" customWidth="1"/>
    <col min="9" max="16384" width="8.88671875" style="12"/>
  </cols>
  <sheetData>
    <row r="1" spans="1:9" s="1" customFormat="1" ht="12">
      <c r="A1" s="52" t="s">
        <v>104</v>
      </c>
      <c r="B1" s="52"/>
      <c r="C1" s="52"/>
      <c r="D1" s="52"/>
      <c r="E1" s="52"/>
      <c r="F1" s="52"/>
      <c r="G1" s="52"/>
      <c r="H1" s="52"/>
    </row>
    <row r="2" spans="1:9" s="1" customFormat="1" ht="12">
      <c r="A2" s="52"/>
      <c r="B2" s="52"/>
      <c r="C2" s="52"/>
      <c r="D2" s="52"/>
      <c r="E2" s="52"/>
      <c r="F2" s="52"/>
      <c r="G2" s="52"/>
      <c r="H2" s="52"/>
    </row>
    <row r="3" spans="1:9" s="1" customFormat="1" ht="12">
      <c r="A3" s="52" t="s">
        <v>105</v>
      </c>
      <c r="B3" s="52"/>
      <c r="C3" s="52"/>
      <c r="D3" s="52"/>
      <c r="E3" s="52"/>
      <c r="F3" s="52"/>
      <c r="G3" s="52"/>
      <c r="H3" s="52"/>
    </row>
    <row r="4" spans="1:9" s="1" customFormat="1" ht="12">
      <c r="A4" s="1" t="s">
        <v>98</v>
      </c>
      <c r="B4" s="49"/>
      <c r="C4" s="49"/>
      <c r="D4" s="49"/>
      <c r="E4" s="49"/>
      <c r="F4" s="49"/>
      <c r="G4" s="4"/>
      <c r="H4" s="4" t="s">
        <v>99</v>
      </c>
    </row>
    <row r="5" spans="1:9" ht="19.5" customHeight="1">
      <c r="A5" s="276" t="s">
        <v>21</v>
      </c>
      <c r="B5" s="287" t="s">
        <v>55</v>
      </c>
      <c r="C5" s="271" t="s">
        <v>60</v>
      </c>
      <c r="D5" s="272"/>
      <c r="E5" s="272"/>
      <c r="F5" s="272"/>
      <c r="G5" s="275"/>
      <c r="H5" s="284" t="s">
        <v>62</v>
      </c>
      <c r="I5" s="13"/>
    </row>
    <row r="6" spans="1:9" ht="12" customHeight="1">
      <c r="A6" s="282"/>
      <c r="B6" s="283"/>
      <c r="C6" s="288" t="s">
        <v>56</v>
      </c>
      <c r="D6" s="290" t="s">
        <v>57</v>
      </c>
      <c r="E6" s="287" t="s">
        <v>58</v>
      </c>
      <c r="F6" s="287" t="s">
        <v>59</v>
      </c>
      <c r="G6" s="293" t="s">
        <v>61</v>
      </c>
      <c r="H6" s="286"/>
    </row>
    <row r="7" spans="1:9" ht="23.25" customHeight="1">
      <c r="A7" s="277"/>
      <c r="B7" s="280"/>
      <c r="C7" s="289"/>
      <c r="D7" s="291"/>
      <c r="E7" s="292"/>
      <c r="F7" s="292"/>
      <c r="G7" s="294"/>
      <c r="H7" s="285"/>
    </row>
    <row r="8" spans="1:9" s="37" customFormat="1" ht="13.5" customHeight="1">
      <c r="A8" s="67">
        <v>2012</v>
      </c>
      <c r="B8" s="32">
        <v>121442.65</v>
      </c>
      <c r="C8" s="32">
        <v>114056.77</v>
      </c>
      <c r="D8" s="32">
        <v>529.59</v>
      </c>
      <c r="E8" s="32">
        <v>158.38999999999999</v>
      </c>
      <c r="F8" s="32">
        <v>90895.69</v>
      </c>
      <c r="G8" s="32">
        <v>22473.100000000006</v>
      </c>
      <c r="H8" s="71">
        <v>7385.88</v>
      </c>
      <c r="I8" s="84"/>
    </row>
    <row r="9" spans="1:9" s="34" customFormat="1" ht="13.5" customHeight="1">
      <c r="A9" s="67">
        <v>2013</v>
      </c>
      <c r="B9" s="32">
        <v>132598.88</v>
      </c>
      <c r="C9" s="32">
        <v>125662.68</v>
      </c>
      <c r="D9" s="32">
        <v>527.73</v>
      </c>
      <c r="E9" s="32">
        <v>83.49</v>
      </c>
      <c r="F9" s="32">
        <v>99605.39</v>
      </c>
      <c r="G9" s="32">
        <v>25446.069999999992</v>
      </c>
      <c r="H9" s="71">
        <v>6936.2</v>
      </c>
      <c r="I9" s="30"/>
    </row>
    <row r="10" spans="1:9" s="34" customFormat="1" ht="13.5" customHeight="1">
      <c r="A10" s="67">
        <v>2014</v>
      </c>
      <c r="B10" s="32">
        <v>141847.45000000001</v>
      </c>
      <c r="C10" s="32">
        <v>135418.32</v>
      </c>
      <c r="D10" s="32">
        <v>492.75</v>
      </c>
      <c r="E10" s="32">
        <v>104.14</v>
      </c>
      <c r="F10" s="32">
        <v>106505.77</v>
      </c>
      <c r="G10" s="32">
        <v>28315.66</v>
      </c>
      <c r="H10" s="71">
        <v>6429.13</v>
      </c>
      <c r="I10" s="30"/>
    </row>
    <row r="11" spans="1:9" s="34" customFormat="1" ht="13.5" customHeight="1">
      <c r="A11" s="67">
        <v>2015</v>
      </c>
      <c r="B11" s="32">
        <v>154648.95000000001</v>
      </c>
      <c r="C11" s="32">
        <v>148465.17000000001</v>
      </c>
      <c r="D11" s="32">
        <v>334.93</v>
      </c>
      <c r="E11" s="32">
        <v>226.86</v>
      </c>
      <c r="F11" s="32">
        <v>117986.26</v>
      </c>
      <c r="G11" s="32">
        <v>29917.119999999999</v>
      </c>
      <c r="H11" s="71">
        <v>6183.78</v>
      </c>
      <c r="I11" s="30"/>
    </row>
    <row r="12" spans="1:9" s="34" customFormat="1" ht="13.5" customHeight="1">
      <c r="A12" s="94"/>
      <c r="B12" s="32"/>
      <c r="C12" s="32"/>
      <c r="D12" s="32"/>
      <c r="E12" s="32"/>
      <c r="F12" s="32"/>
      <c r="G12" s="32"/>
      <c r="H12" s="71"/>
      <c r="I12" s="30"/>
    </row>
    <row r="13" spans="1:9" s="34" customFormat="1" ht="13.5" customHeight="1">
      <c r="A13" s="73" t="s">
        <v>134</v>
      </c>
      <c r="B13" s="32">
        <v>164154.28</v>
      </c>
      <c r="C13" s="32">
        <v>157936.87</v>
      </c>
      <c r="D13" s="32">
        <v>218.76</v>
      </c>
      <c r="E13" s="32">
        <v>375.18</v>
      </c>
      <c r="F13" s="32">
        <v>124783.67</v>
      </c>
      <c r="G13" s="32">
        <v>32559.26</v>
      </c>
      <c r="H13" s="71">
        <v>6217.42</v>
      </c>
      <c r="I13" s="30"/>
    </row>
    <row r="14" spans="1:9" s="34" customFormat="1" ht="13.5" customHeight="1">
      <c r="A14" s="73">
        <v>2017</v>
      </c>
      <c r="B14" s="32">
        <v>175875.98</v>
      </c>
      <c r="C14" s="32">
        <v>169021.34</v>
      </c>
      <c r="D14" s="32">
        <v>237.04</v>
      </c>
      <c r="E14" s="32">
        <v>363.67</v>
      </c>
      <c r="F14" s="32">
        <v>133148.01999999999</v>
      </c>
      <c r="G14" s="32">
        <v>35272.610000000015</v>
      </c>
      <c r="H14" s="71">
        <v>6854.67</v>
      </c>
      <c r="I14" s="30"/>
    </row>
    <row r="15" spans="1:9" s="34" customFormat="1" ht="13.5" customHeight="1">
      <c r="A15" s="115">
        <v>2018</v>
      </c>
      <c r="B15" s="32">
        <v>192005.38</v>
      </c>
      <c r="C15" s="32">
        <v>184508.38</v>
      </c>
      <c r="D15" s="32">
        <v>172.46</v>
      </c>
      <c r="E15" s="32">
        <v>196.56</v>
      </c>
      <c r="F15" s="32">
        <v>144196.25</v>
      </c>
      <c r="G15" s="32">
        <v>39943.11</v>
      </c>
      <c r="H15" s="71">
        <v>7497.03</v>
      </c>
      <c r="I15" s="30"/>
    </row>
    <row r="16" spans="1:9" s="34" customFormat="1" ht="13.5" customHeight="1">
      <c r="A16" s="115">
        <v>2019</v>
      </c>
      <c r="B16" s="32">
        <v>209913.63</v>
      </c>
      <c r="C16" s="32">
        <v>202036.53</v>
      </c>
      <c r="D16" s="32">
        <v>149.41</v>
      </c>
      <c r="E16" s="32">
        <v>52.52</v>
      </c>
      <c r="F16" s="32">
        <v>156867.92000000001</v>
      </c>
      <c r="G16" s="32">
        <v>44966.68</v>
      </c>
      <c r="H16" s="71">
        <v>7877.09</v>
      </c>
      <c r="I16" s="30"/>
    </row>
    <row r="17" spans="1:16" s="34" customFormat="1" ht="13.5" customHeight="1">
      <c r="A17" s="115">
        <v>2020</v>
      </c>
      <c r="B17" s="32">
        <v>228314.4</v>
      </c>
      <c r="C17" s="32">
        <v>218531.61</v>
      </c>
      <c r="D17" s="32">
        <v>89.77</v>
      </c>
      <c r="E17" s="32">
        <v>258.66000000000003</v>
      </c>
      <c r="F17" s="32">
        <v>169292.04</v>
      </c>
      <c r="G17" s="32">
        <v>48891.14</v>
      </c>
      <c r="H17" s="71">
        <v>9782.7800000000007</v>
      </c>
      <c r="I17" s="30"/>
    </row>
    <row r="18" spans="1:16" ht="13.5" customHeight="1">
      <c r="A18" s="60"/>
      <c r="B18" s="214"/>
      <c r="C18" s="214"/>
      <c r="D18" s="214"/>
      <c r="E18" s="214"/>
      <c r="F18" s="214"/>
      <c r="G18" s="214"/>
      <c r="H18" s="215"/>
      <c r="I18" s="45"/>
    </row>
    <row r="19" spans="1:16" ht="13.5" customHeight="1">
      <c r="A19" s="216">
        <v>2021</v>
      </c>
      <c r="B19" s="214">
        <v>238862.84</v>
      </c>
      <c r="C19" s="214">
        <v>229437.78</v>
      </c>
      <c r="D19" s="214">
        <v>103.72</v>
      </c>
      <c r="E19" s="214">
        <v>50.46</v>
      </c>
      <c r="F19" s="214">
        <v>177231.8</v>
      </c>
      <c r="G19" s="214">
        <v>52051.8</v>
      </c>
      <c r="H19" s="215">
        <v>9425.06</v>
      </c>
      <c r="I19" s="45"/>
    </row>
    <row r="20" spans="1:16" ht="13.5" customHeight="1">
      <c r="A20" s="216" t="s">
        <v>210</v>
      </c>
      <c r="B20" s="214">
        <v>245910.74</v>
      </c>
      <c r="C20" s="214">
        <v>236311.5</v>
      </c>
      <c r="D20" s="214">
        <v>102.48</v>
      </c>
      <c r="E20" s="214">
        <v>55.43</v>
      </c>
      <c r="F20" s="214">
        <v>179870.61</v>
      </c>
      <c r="G20" s="214">
        <v>56282.98</v>
      </c>
      <c r="H20" s="215">
        <v>9599.25</v>
      </c>
      <c r="I20" s="45"/>
    </row>
    <row r="21" spans="1:16" ht="13.5" customHeight="1">
      <c r="A21" s="216" t="s">
        <v>238</v>
      </c>
      <c r="B21" s="214">
        <v>252982.92</v>
      </c>
      <c r="C21" s="214">
        <v>243475.02</v>
      </c>
      <c r="D21" s="214">
        <v>179.65</v>
      </c>
      <c r="E21" s="214">
        <v>41.58</v>
      </c>
      <c r="F21" s="214">
        <v>183619.6</v>
      </c>
      <c r="G21" s="214">
        <v>59634.19</v>
      </c>
      <c r="H21" s="215">
        <v>9507.86</v>
      </c>
      <c r="I21" s="45"/>
    </row>
    <row r="22" spans="1:16" ht="13.5" customHeight="1">
      <c r="A22" s="216">
        <v>2024</v>
      </c>
      <c r="B22" s="214">
        <f>B119</f>
        <v>261436.54</v>
      </c>
      <c r="C22" s="214">
        <f t="shared" ref="C22:H22" si="0">C119</f>
        <v>252044.11</v>
      </c>
      <c r="D22" s="214">
        <f t="shared" si="0"/>
        <v>132.55000000000001</v>
      </c>
      <c r="E22" s="214">
        <f t="shared" si="0"/>
        <v>42.39</v>
      </c>
      <c r="F22" s="214">
        <f t="shared" si="0"/>
        <v>185731.99</v>
      </c>
      <c r="G22" s="214">
        <f t="shared" si="0"/>
        <v>66137.179999999993</v>
      </c>
      <c r="H22" s="215">
        <f t="shared" si="0"/>
        <v>9392.4500000000007</v>
      </c>
      <c r="I22" s="45"/>
      <c r="J22" s="261"/>
      <c r="K22" s="261"/>
      <c r="L22" s="261"/>
      <c r="M22" s="261"/>
      <c r="N22" s="261"/>
      <c r="O22" s="261"/>
      <c r="P22" s="261"/>
    </row>
    <row r="23" spans="1:16" ht="13.5" customHeight="1">
      <c r="A23" s="216" t="s">
        <v>264</v>
      </c>
      <c r="B23" s="214">
        <v>274874.90999999997</v>
      </c>
      <c r="C23" s="214">
        <v>265057.86</v>
      </c>
      <c r="D23" s="214">
        <v>105.98</v>
      </c>
      <c r="E23" s="214">
        <v>37.799999999999997</v>
      </c>
      <c r="F23" s="214">
        <v>188841.49</v>
      </c>
      <c r="G23" s="214">
        <v>76072.59</v>
      </c>
      <c r="H23" s="215">
        <v>9817.0499999999993</v>
      </c>
      <c r="I23" s="45"/>
      <c r="J23" s="261"/>
      <c r="K23" s="261"/>
      <c r="L23" s="261"/>
      <c r="M23" s="261"/>
      <c r="N23" s="261"/>
      <c r="O23" s="261"/>
      <c r="P23" s="261"/>
    </row>
    <row r="24" spans="1:16" ht="13.5" customHeight="1">
      <c r="A24" s="60"/>
      <c r="B24" s="32"/>
      <c r="C24" s="32"/>
      <c r="D24" s="32"/>
      <c r="E24" s="32"/>
      <c r="F24" s="32"/>
      <c r="G24" s="32"/>
      <c r="H24" s="71"/>
      <c r="I24" s="45"/>
    </row>
    <row r="25" spans="1:16" ht="13.5" customHeight="1">
      <c r="A25" s="60">
        <v>2019.1</v>
      </c>
      <c r="B25" s="32">
        <v>193238.64</v>
      </c>
      <c r="C25" s="32">
        <v>185736.34</v>
      </c>
      <c r="D25" s="32">
        <v>183.33</v>
      </c>
      <c r="E25" s="32">
        <v>76.510000000000005</v>
      </c>
      <c r="F25" s="32">
        <v>145100.99</v>
      </c>
      <c r="G25" s="32">
        <v>40375.51</v>
      </c>
      <c r="H25" s="71">
        <v>7502.35</v>
      </c>
      <c r="I25" s="45"/>
    </row>
    <row r="26" spans="1:16" ht="13.5" customHeight="1">
      <c r="A26" s="60">
        <v>2</v>
      </c>
      <c r="B26" s="32">
        <v>194285.15</v>
      </c>
      <c r="C26" s="32">
        <v>186675.77</v>
      </c>
      <c r="D26" s="32">
        <v>186.04</v>
      </c>
      <c r="E26" s="32">
        <v>78.3</v>
      </c>
      <c r="F26" s="32">
        <v>146131.06</v>
      </c>
      <c r="G26" s="32">
        <v>40280.370000000003</v>
      </c>
      <c r="H26" s="71">
        <v>7609.34</v>
      </c>
      <c r="I26" s="45"/>
    </row>
    <row r="27" spans="1:16" ht="13.5" customHeight="1">
      <c r="A27" s="60">
        <v>3</v>
      </c>
      <c r="B27" s="32">
        <v>195607.67</v>
      </c>
      <c r="C27" s="32">
        <v>188042.53</v>
      </c>
      <c r="D27" s="32">
        <v>181.95</v>
      </c>
      <c r="E27" s="32">
        <v>68.8</v>
      </c>
      <c r="F27" s="32">
        <v>147646.29</v>
      </c>
      <c r="G27" s="32">
        <v>40145.49</v>
      </c>
      <c r="H27" s="71">
        <v>7565.13</v>
      </c>
      <c r="I27" s="45"/>
    </row>
    <row r="28" spans="1:16" ht="13.5" customHeight="1">
      <c r="A28" s="60"/>
      <c r="B28" s="32"/>
      <c r="C28" s="32"/>
      <c r="D28" s="32"/>
      <c r="E28" s="32"/>
      <c r="F28" s="32"/>
      <c r="G28" s="32"/>
      <c r="H28" s="71"/>
      <c r="I28" s="45"/>
    </row>
    <row r="29" spans="1:16" ht="13.5" customHeight="1">
      <c r="A29" s="60">
        <v>4</v>
      </c>
      <c r="B29" s="32">
        <v>197531.81</v>
      </c>
      <c r="C29" s="32">
        <v>189945.07</v>
      </c>
      <c r="D29" s="32">
        <v>151.76</v>
      </c>
      <c r="E29" s="32">
        <v>70.53</v>
      </c>
      <c r="F29" s="32">
        <v>150264.26</v>
      </c>
      <c r="G29" s="32">
        <v>39458.519999999997</v>
      </c>
      <c r="H29" s="71">
        <v>7586.72</v>
      </c>
      <c r="I29" s="45"/>
    </row>
    <row r="30" spans="1:16" ht="13.5" customHeight="1">
      <c r="A30" s="60">
        <v>5</v>
      </c>
      <c r="B30" s="32">
        <v>199519.73</v>
      </c>
      <c r="C30" s="32">
        <v>191663.95</v>
      </c>
      <c r="D30" s="32">
        <v>151.9</v>
      </c>
      <c r="E30" s="32">
        <v>72.61</v>
      </c>
      <c r="F30" s="32">
        <v>151328.59</v>
      </c>
      <c r="G30" s="32">
        <v>40110.85</v>
      </c>
      <c r="H30" s="71">
        <v>7855.78</v>
      </c>
      <c r="I30" s="45"/>
    </row>
    <row r="31" spans="1:16" ht="13.5" customHeight="1">
      <c r="A31" s="60">
        <v>6</v>
      </c>
      <c r="B31" s="32">
        <v>200133.56</v>
      </c>
      <c r="C31" s="32">
        <v>192284.73</v>
      </c>
      <c r="D31" s="32">
        <v>180.69</v>
      </c>
      <c r="E31" s="32">
        <v>58.38</v>
      </c>
      <c r="F31" s="32">
        <v>151896.76999999999</v>
      </c>
      <c r="G31" s="32">
        <v>40148.89</v>
      </c>
      <c r="H31" s="71">
        <v>7848.87</v>
      </c>
      <c r="I31" s="45"/>
    </row>
    <row r="32" spans="1:16" ht="13.5" customHeight="1">
      <c r="A32" s="60"/>
      <c r="B32" s="32"/>
      <c r="C32" s="32"/>
      <c r="D32" s="32"/>
      <c r="E32" s="32"/>
      <c r="F32" s="32"/>
      <c r="G32" s="32"/>
      <c r="H32" s="71"/>
      <c r="I32" s="45"/>
    </row>
    <row r="33" spans="1:9" ht="13.5" customHeight="1">
      <c r="A33" s="60">
        <v>7</v>
      </c>
      <c r="B33" s="32">
        <v>202348.99</v>
      </c>
      <c r="C33" s="32">
        <v>194513.95</v>
      </c>
      <c r="D33" s="32">
        <v>145.21</v>
      </c>
      <c r="E33" s="32">
        <v>70.87</v>
      </c>
      <c r="F33" s="32">
        <v>153528.37</v>
      </c>
      <c r="G33" s="32">
        <v>40769.5</v>
      </c>
      <c r="H33" s="71">
        <v>7835.1</v>
      </c>
      <c r="I33" s="45"/>
    </row>
    <row r="34" spans="1:9" ht="13.5" customHeight="1">
      <c r="A34" s="60">
        <v>8</v>
      </c>
      <c r="B34" s="32">
        <v>204215.51</v>
      </c>
      <c r="C34" s="32">
        <v>196353.64</v>
      </c>
      <c r="D34" s="32">
        <v>159.4</v>
      </c>
      <c r="E34" s="32">
        <v>55.48</v>
      </c>
      <c r="F34" s="32">
        <v>154884.54999999999</v>
      </c>
      <c r="G34" s="32">
        <v>41254.21</v>
      </c>
      <c r="H34" s="71">
        <v>7861.84</v>
      </c>
      <c r="I34" s="45"/>
    </row>
    <row r="35" spans="1:9" ht="13.5" customHeight="1">
      <c r="A35" s="60">
        <v>9</v>
      </c>
      <c r="B35" s="32">
        <v>205384.99</v>
      </c>
      <c r="C35" s="32">
        <v>197512.05</v>
      </c>
      <c r="D35" s="32">
        <v>148.77000000000001</v>
      </c>
      <c r="E35" s="32">
        <v>67.06</v>
      </c>
      <c r="F35" s="32">
        <v>155671.9</v>
      </c>
      <c r="G35" s="32">
        <v>41624.32</v>
      </c>
      <c r="H35" s="71">
        <v>7872.91</v>
      </c>
      <c r="I35" s="45"/>
    </row>
    <row r="36" spans="1:9" ht="13.5" customHeight="1">
      <c r="A36" s="60"/>
      <c r="B36" s="32"/>
      <c r="C36" s="32"/>
      <c r="D36" s="32"/>
      <c r="E36" s="32"/>
      <c r="F36" s="32"/>
      <c r="G36" s="32"/>
      <c r="H36" s="71"/>
      <c r="I36" s="45"/>
    </row>
    <row r="37" spans="1:9" ht="13.5" customHeight="1">
      <c r="A37" s="60">
        <v>10</v>
      </c>
      <c r="B37" s="32">
        <v>207650.02</v>
      </c>
      <c r="C37" s="32">
        <v>199749.68</v>
      </c>
      <c r="D37" s="32">
        <v>155.58000000000001</v>
      </c>
      <c r="E37" s="32">
        <v>64.260000000000005</v>
      </c>
      <c r="F37" s="32">
        <v>156394.23000000001</v>
      </c>
      <c r="G37" s="32">
        <v>43135.61</v>
      </c>
      <c r="H37" s="71">
        <v>7900.34</v>
      </c>
      <c r="I37" s="45"/>
    </row>
    <row r="38" spans="1:9" ht="13.5" customHeight="1">
      <c r="A38" s="60">
        <v>11</v>
      </c>
      <c r="B38" s="32">
        <v>210487.97</v>
      </c>
      <c r="C38" s="32">
        <v>202550.16</v>
      </c>
      <c r="D38" s="32">
        <v>161.52000000000001</v>
      </c>
      <c r="E38" s="32">
        <v>156.15</v>
      </c>
      <c r="F38" s="32">
        <v>157362.67000000001</v>
      </c>
      <c r="G38" s="32">
        <v>44869.82</v>
      </c>
      <c r="H38" s="71">
        <v>7937.81</v>
      </c>
      <c r="I38" s="45"/>
    </row>
    <row r="39" spans="1:9" ht="13.5" customHeight="1">
      <c r="A39" s="60">
        <v>12</v>
      </c>
      <c r="B39" s="32">
        <v>209913.63</v>
      </c>
      <c r="C39" s="32">
        <v>202036.53</v>
      </c>
      <c r="D39" s="32">
        <v>149.41</v>
      </c>
      <c r="E39" s="32">
        <v>52.52</v>
      </c>
      <c r="F39" s="32">
        <v>156867.92000000001</v>
      </c>
      <c r="G39" s="32">
        <v>44966.68</v>
      </c>
      <c r="H39" s="71">
        <v>7877.09</v>
      </c>
      <c r="I39" s="45"/>
    </row>
    <row r="40" spans="1:9" ht="13.5" customHeight="1">
      <c r="A40" s="60"/>
      <c r="B40" s="32"/>
      <c r="C40" s="32"/>
      <c r="D40" s="32"/>
      <c r="E40" s="32"/>
      <c r="F40" s="32"/>
      <c r="G40" s="32"/>
      <c r="H40" s="71"/>
      <c r="I40" s="45"/>
    </row>
    <row r="41" spans="1:9" ht="13.5" customHeight="1">
      <c r="A41" s="60">
        <v>2020.1</v>
      </c>
      <c r="B41" s="32">
        <v>209759.37</v>
      </c>
      <c r="C41" s="32">
        <v>201927.12</v>
      </c>
      <c r="D41" s="32">
        <v>152.62</v>
      </c>
      <c r="E41" s="32">
        <v>49.96</v>
      </c>
      <c r="F41" s="32">
        <v>155522.89000000001</v>
      </c>
      <c r="G41" s="32">
        <v>46201.65</v>
      </c>
      <c r="H41" s="71">
        <v>7832.24</v>
      </c>
      <c r="I41" s="45"/>
    </row>
    <row r="42" spans="1:9" ht="13.5" customHeight="1">
      <c r="A42" s="60">
        <v>2</v>
      </c>
      <c r="B42" s="32">
        <v>210466.6</v>
      </c>
      <c r="C42" s="32">
        <v>202548.65</v>
      </c>
      <c r="D42" s="32">
        <v>170.46</v>
      </c>
      <c r="E42" s="32">
        <v>54.4</v>
      </c>
      <c r="F42" s="32">
        <v>155285.26999999999</v>
      </c>
      <c r="G42" s="32">
        <v>47038.52</v>
      </c>
      <c r="H42" s="71">
        <v>7917.95</v>
      </c>
      <c r="I42" s="45"/>
    </row>
    <row r="43" spans="1:9" ht="13.5" customHeight="1">
      <c r="A43" s="60">
        <v>3</v>
      </c>
      <c r="B43" s="32">
        <v>213028.75</v>
      </c>
      <c r="C43" s="32">
        <v>204471.11</v>
      </c>
      <c r="D43" s="32">
        <v>125.29</v>
      </c>
      <c r="E43" s="32">
        <v>70.56</v>
      </c>
      <c r="F43" s="32">
        <v>156615.45000000001</v>
      </c>
      <c r="G43" s="32">
        <v>47659.81</v>
      </c>
      <c r="H43" s="71">
        <v>8557.6200000000008</v>
      </c>
      <c r="I43" s="45"/>
    </row>
    <row r="44" spans="1:9" ht="13.5" customHeight="1">
      <c r="A44" s="60"/>
      <c r="B44" s="32"/>
      <c r="C44" s="32"/>
      <c r="D44" s="32"/>
      <c r="E44" s="32"/>
      <c r="F44" s="32"/>
      <c r="G44" s="32"/>
      <c r="H44" s="71"/>
      <c r="I44" s="45"/>
    </row>
    <row r="45" spans="1:9" ht="13.5" customHeight="1">
      <c r="A45" s="60">
        <v>4</v>
      </c>
      <c r="B45" s="32">
        <v>216954.93</v>
      </c>
      <c r="C45" s="32">
        <v>207386.5</v>
      </c>
      <c r="D45" s="32">
        <v>126.02</v>
      </c>
      <c r="E45" s="32">
        <v>60.86</v>
      </c>
      <c r="F45" s="32">
        <v>158924.18</v>
      </c>
      <c r="G45" s="32">
        <v>48275.44</v>
      </c>
      <c r="H45" s="71">
        <v>9568.41</v>
      </c>
      <c r="I45" s="45"/>
    </row>
    <row r="46" spans="1:9" ht="13.5" customHeight="1">
      <c r="A46" s="60">
        <v>5</v>
      </c>
      <c r="B46" s="32">
        <v>219717.13</v>
      </c>
      <c r="C46" s="32">
        <v>209928.84</v>
      </c>
      <c r="D46" s="32">
        <v>133.08000000000001</v>
      </c>
      <c r="E46" s="32">
        <v>49.07</v>
      </c>
      <c r="F46" s="32">
        <v>161242.29</v>
      </c>
      <c r="G46" s="32">
        <v>48504.4</v>
      </c>
      <c r="H46" s="71">
        <v>9788.2800000000007</v>
      </c>
      <c r="I46" s="45"/>
    </row>
    <row r="47" spans="1:9" ht="13.5" customHeight="1">
      <c r="A47" s="60">
        <v>6</v>
      </c>
      <c r="B47" s="32">
        <v>219933.48</v>
      </c>
      <c r="C47" s="32">
        <v>210104.22</v>
      </c>
      <c r="D47" s="32">
        <v>107.33</v>
      </c>
      <c r="E47" s="32">
        <v>58.5</v>
      </c>
      <c r="F47" s="32">
        <v>162590.66</v>
      </c>
      <c r="G47" s="32">
        <v>47347.73</v>
      </c>
      <c r="H47" s="71">
        <v>9829.24</v>
      </c>
      <c r="I47" s="45"/>
    </row>
    <row r="48" spans="1:9" ht="13.5" customHeight="1">
      <c r="A48" s="60"/>
      <c r="B48" s="32"/>
      <c r="C48" s="32"/>
      <c r="D48" s="32"/>
      <c r="E48" s="32"/>
      <c r="F48" s="32"/>
      <c r="G48" s="32"/>
      <c r="H48" s="71"/>
      <c r="I48" s="45"/>
    </row>
    <row r="49" spans="1:9" ht="13.5" customHeight="1">
      <c r="A49" s="60">
        <v>7</v>
      </c>
      <c r="B49" s="32">
        <v>220039.67999999999</v>
      </c>
      <c r="C49" s="32">
        <v>210138.75</v>
      </c>
      <c r="D49" s="32">
        <v>112.8</v>
      </c>
      <c r="E49" s="32">
        <v>56.4</v>
      </c>
      <c r="F49" s="32">
        <v>163391.45000000001</v>
      </c>
      <c r="G49" s="32">
        <v>46578.1</v>
      </c>
      <c r="H49" s="71">
        <v>9900.9500000000007</v>
      </c>
      <c r="I49" s="45"/>
    </row>
    <row r="50" spans="1:9" ht="13.5" customHeight="1">
      <c r="A50" s="60">
        <v>8</v>
      </c>
      <c r="B50" s="32">
        <v>221448.36</v>
      </c>
      <c r="C50" s="32">
        <v>211571.47</v>
      </c>
      <c r="D50" s="32">
        <v>111.43</v>
      </c>
      <c r="E50" s="32">
        <v>58.05</v>
      </c>
      <c r="F50" s="32">
        <v>164912.20000000001</v>
      </c>
      <c r="G50" s="32">
        <v>46489.79</v>
      </c>
      <c r="H50" s="71">
        <v>9876.85</v>
      </c>
      <c r="I50" s="45"/>
    </row>
    <row r="51" spans="1:9" ht="13.5" customHeight="1">
      <c r="A51" s="60">
        <v>9</v>
      </c>
      <c r="B51" s="32">
        <v>223333.39</v>
      </c>
      <c r="C51" s="32">
        <v>213519.51</v>
      </c>
      <c r="D51" s="32">
        <v>113.8</v>
      </c>
      <c r="E51" s="32">
        <v>58.24</v>
      </c>
      <c r="F51" s="32">
        <v>166655.45000000001</v>
      </c>
      <c r="G51" s="32">
        <v>46692.02</v>
      </c>
      <c r="H51" s="71">
        <v>9813.8799999999992</v>
      </c>
      <c r="I51" s="45"/>
    </row>
    <row r="52" spans="1:9" ht="13.5" customHeight="1">
      <c r="A52" s="60"/>
      <c r="B52" s="32"/>
      <c r="C52" s="32"/>
      <c r="D52" s="32"/>
      <c r="E52" s="32"/>
      <c r="F52" s="32"/>
      <c r="G52" s="32"/>
      <c r="H52" s="71"/>
      <c r="I52" s="45"/>
    </row>
    <row r="53" spans="1:9" ht="13.5" customHeight="1">
      <c r="A53" s="60">
        <v>10</v>
      </c>
      <c r="B53" s="32">
        <v>226023.9</v>
      </c>
      <c r="C53" s="32">
        <v>216209.16</v>
      </c>
      <c r="D53" s="32">
        <v>93.5</v>
      </c>
      <c r="E53" s="32">
        <v>60.5</v>
      </c>
      <c r="F53" s="32">
        <v>167949.25</v>
      </c>
      <c r="G53" s="32">
        <v>48105.91</v>
      </c>
      <c r="H53" s="71">
        <v>9814.75</v>
      </c>
      <c r="I53" s="45"/>
    </row>
    <row r="54" spans="1:9" ht="13.5" customHeight="1">
      <c r="A54" s="60">
        <v>11</v>
      </c>
      <c r="B54" s="32">
        <v>228103.94</v>
      </c>
      <c r="C54" s="32">
        <v>218251.73</v>
      </c>
      <c r="D54" s="32">
        <v>79.39</v>
      </c>
      <c r="E54" s="32">
        <v>56.87</v>
      </c>
      <c r="F54" s="32">
        <v>169847.77</v>
      </c>
      <c r="G54" s="32">
        <v>48267.7</v>
      </c>
      <c r="H54" s="71">
        <v>9852.25</v>
      </c>
      <c r="I54" s="45"/>
    </row>
    <row r="55" spans="1:9" ht="13.5" customHeight="1">
      <c r="A55" s="60">
        <v>12</v>
      </c>
      <c r="B55" s="32">
        <v>228314.4</v>
      </c>
      <c r="C55" s="32">
        <v>218531.61</v>
      </c>
      <c r="D55" s="32">
        <v>89.77</v>
      </c>
      <c r="E55" s="32">
        <v>258.66000000000003</v>
      </c>
      <c r="F55" s="32">
        <v>169292.04</v>
      </c>
      <c r="G55" s="32">
        <v>48891.14</v>
      </c>
      <c r="H55" s="71">
        <v>9782.7800000000007</v>
      </c>
      <c r="I55" s="45"/>
    </row>
    <row r="56" spans="1:9" ht="13.5" customHeight="1">
      <c r="A56" s="60"/>
      <c r="B56" s="32"/>
      <c r="C56" s="32"/>
      <c r="D56" s="32"/>
      <c r="E56" s="32"/>
      <c r="F56" s="32"/>
      <c r="G56" s="32"/>
      <c r="H56" s="71"/>
      <c r="I56" s="45"/>
    </row>
    <row r="57" spans="1:9" ht="13.5" customHeight="1">
      <c r="A57" s="60">
        <v>2021.1</v>
      </c>
      <c r="B57" s="32">
        <v>229583.81</v>
      </c>
      <c r="C57" s="32">
        <v>219829.94</v>
      </c>
      <c r="D57" s="32">
        <v>92.78</v>
      </c>
      <c r="E57" s="32">
        <v>62.06</v>
      </c>
      <c r="F57" s="32">
        <v>170197.49</v>
      </c>
      <c r="G57" s="32">
        <v>49477.61</v>
      </c>
      <c r="H57" s="71">
        <v>9753.85</v>
      </c>
      <c r="I57" s="45"/>
    </row>
    <row r="58" spans="1:9" ht="13.5" customHeight="1">
      <c r="A58" s="60">
        <v>2</v>
      </c>
      <c r="B58" s="32">
        <v>231284.7</v>
      </c>
      <c r="C58" s="32">
        <v>221513.7</v>
      </c>
      <c r="D58" s="32">
        <v>109.72</v>
      </c>
      <c r="E58" s="32">
        <v>58.49</v>
      </c>
      <c r="F58" s="32">
        <v>171091.54</v>
      </c>
      <c r="G58" s="32">
        <v>50253.95</v>
      </c>
      <c r="H58" s="71">
        <v>9770.98</v>
      </c>
      <c r="I58" s="45"/>
    </row>
    <row r="59" spans="1:9" ht="13.5" customHeight="1">
      <c r="A59" s="60">
        <v>3</v>
      </c>
      <c r="B59" s="32">
        <v>232431.45</v>
      </c>
      <c r="C59" s="32">
        <v>222682.17</v>
      </c>
      <c r="D59" s="32">
        <v>102.79</v>
      </c>
      <c r="E59" s="32">
        <v>48.95</v>
      </c>
      <c r="F59" s="32">
        <v>171635.94</v>
      </c>
      <c r="G59" s="32">
        <v>50894.49</v>
      </c>
      <c r="H59" s="71">
        <v>9749.27</v>
      </c>
      <c r="I59" s="45"/>
    </row>
    <row r="60" spans="1:9" ht="13.5" customHeight="1">
      <c r="A60" s="60"/>
      <c r="B60" s="32"/>
      <c r="C60" s="32"/>
      <c r="D60" s="32"/>
      <c r="E60" s="32"/>
      <c r="F60" s="32"/>
      <c r="G60" s="32"/>
      <c r="H60" s="71"/>
      <c r="I60" s="45"/>
    </row>
    <row r="61" spans="1:9" ht="13.5" customHeight="1">
      <c r="A61" s="60">
        <v>4</v>
      </c>
      <c r="B61" s="32">
        <v>233535.57</v>
      </c>
      <c r="C61" s="32">
        <v>223805.31</v>
      </c>
      <c r="D61" s="32">
        <v>94.94</v>
      </c>
      <c r="E61" s="32">
        <v>54.82</v>
      </c>
      <c r="F61" s="32">
        <v>172551.92</v>
      </c>
      <c r="G61" s="32">
        <v>51103.63</v>
      </c>
      <c r="H61" s="71">
        <v>9730.27</v>
      </c>
      <c r="I61" s="45"/>
    </row>
    <row r="62" spans="1:9" ht="13.5" customHeight="1">
      <c r="A62" s="60">
        <v>5</v>
      </c>
      <c r="B62" s="32">
        <v>233204.84</v>
      </c>
      <c r="C62" s="32">
        <v>223444.64</v>
      </c>
      <c r="D62" s="32">
        <v>103.14</v>
      </c>
      <c r="E62" s="32">
        <v>54.89</v>
      </c>
      <c r="F62" s="32">
        <v>172404.47</v>
      </c>
      <c r="G62" s="32">
        <v>50882.14</v>
      </c>
      <c r="H62" s="71">
        <v>9760.2099999999991</v>
      </c>
      <c r="I62" s="45"/>
    </row>
    <row r="63" spans="1:9" ht="13.5" customHeight="1">
      <c r="A63" s="60">
        <v>6</v>
      </c>
      <c r="B63" s="32">
        <v>233353.21</v>
      </c>
      <c r="C63" s="32">
        <v>223685.21</v>
      </c>
      <c r="D63" s="32">
        <v>102.1</v>
      </c>
      <c r="E63" s="32">
        <v>56.36</v>
      </c>
      <c r="F63" s="32">
        <v>173679.37</v>
      </c>
      <c r="G63" s="32">
        <v>49847.38</v>
      </c>
      <c r="H63" s="71">
        <v>9668.0300000000007</v>
      </c>
      <c r="I63" s="45"/>
    </row>
    <row r="64" spans="1:9" ht="13.5" customHeight="1">
      <c r="A64" s="60"/>
      <c r="B64" s="32"/>
      <c r="C64" s="32"/>
      <c r="D64" s="32"/>
      <c r="E64" s="32"/>
      <c r="F64" s="32"/>
      <c r="G64" s="32"/>
      <c r="H64" s="71"/>
      <c r="I64" s="45"/>
    </row>
    <row r="65" spans="1:9" ht="13.5" customHeight="1">
      <c r="A65" s="60">
        <v>7</v>
      </c>
      <c r="B65" s="32">
        <v>233875.57</v>
      </c>
      <c r="C65" s="32">
        <v>224175.41</v>
      </c>
      <c r="D65" s="32">
        <v>107.02</v>
      </c>
      <c r="E65" s="32">
        <v>135.96</v>
      </c>
      <c r="F65" s="32">
        <v>173594.14</v>
      </c>
      <c r="G65" s="32">
        <v>50338.29</v>
      </c>
      <c r="H65" s="71">
        <v>9700.14</v>
      </c>
      <c r="I65" s="45"/>
    </row>
    <row r="66" spans="1:9" ht="13.5" customHeight="1">
      <c r="A66" s="60">
        <v>8</v>
      </c>
      <c r="B66" s="32">
        <v>234836.19</v>
      </c>
      <c r="C66" s="32">
        <v>225137.01</v>
      </c>
      <c r="D66" s="32">
        <v>92.83</v>
      </c>
      <c r="E66" s="32">
        <v>56.36</v>
      </c>
      <c r="F66" s="32">
        <v>175051.33</v>
      </c>
      <c r="G66" s="32">
        <v>49936.49</v>
      </c>
      <c r="H66" s="71">
        <v>9699.2000000000007</v>
      </c>
      <c r="I66" s="45"/>
    </row>
    <row r="67" spans="1:9" ht="13.5" customHeight="1">
      <c r="A67" s="60">
        <v>9</v>
      </c>
      <c r="B67" s="32">
        <v>235933.5</v>
      </c>
      <c r="C67" s="32">
        <v>226338.27</v>
      </c>
      <c r="D67" s="32">
        <v>91.34</v>
      </c>
      <c r="E67" s="32">
        <v>57.86</v>
      </c>
      <c r="F67" s="32">
        <v>176386.12</v>
      </c>
      <c r="G67" s="32">
        <v>49802.95</v>
      </c>
      <c r="H67" s="71">
        <v>9595.2199999999993</v>
      </c>
      <c r="I67" s="45"/>
    </row>
    <row r="68" spans="1:9" ht="13.5" customHeight="1">
      <c r="A68" s="60"/>
      <c r="B68" s="32"/>
      <c r="C68" s="32"/>
      <c r="D68" s="32"/>
      <c r="E68" s="32"/>
      <c r="F68" s="32"/>
      <c r="G68" s="32"/>
      <c r="H68" s="71"/>
      <c r="I68" s="45"/>
    </row>
    <row r="69" spans="1:9" ht="13.5" customHeight="1">
      <c r="A69" s="60">
        <v>10</v>
      </c>
      <c r="B69" s="32">
        <v>236935.18</v>
      </c>
      <c r="C69" s="32">
        <v>227382.97</v>
      </c>
      <c r="D69" s="32">
        <v>110.9</v>
      </c>
      <c r="E69" s="32">
        <v>51.53</v>
      </c>
      <c r="F69" s="32">
        <v>176937.2</v>
      </c>
      <c r="G69" s="32">
        <v>50283.34</v>
      </c>
      <c r="H69" s="71">
        <v>9552.2099999999991</v>
      </c>
      <c r="I69" s="45"/>
    </row>
    <row r="70" spans="1:9" ht="13.5" customHeight="1">
      <c r="A70" s="60">
        <v>11</v>
      </c>
      <c r="B70" s="32">
        <v>238419.1</v>
      </c>
      <c r="C70" s="32">
        <v>228911.38</v>
      </c>
      <c r="D70" s="32">
        <v>92.68</v>
      </c>
      <c r="E70" s="32">
        <v>54.04</v>
      </c>
      <c r="F70" s="32">
        <v>177565.9</v>
      </c>
      <c r="G70" s="32">
        <v>51198.76</v>
      </c>
      <c r="H70" s="71">
        <v>9507.7099999999991</v>
      </c>
      <c r="I70" s="45"/>
    </row>
    <row r="71" spans="1:9" ht="13.5" customHeight="1">
      <c r="A71" s="60">
        <v>12</v>
      </c>
      <c r="B71" s="32">
        <v>238862.84</v>
      </c>
      <c r="C71" s="32">
        <v>229437.78</v>
      </c>
      <c r="D71" s="32">
        <v>103.72</v>
      </c>
      <c r="E71" s="32">
        <v>50.46</v>
      </c>
      <c r="F71" s="32">
        <v>177231.8</v>
      </c>
      <c r="G71" s="32">
        <v>52051.8</v>
      </c>
      <c r="H71" s="71">
        <v>9425.06</v>
      </c>
      <c r="I71" s="45"/>
    </row>
    <row r="72" spans="1:9" ht="13.5" customHeight="1">
      <c r="A72" s="60"/>
      <c r="B72" s="32"/>
      <c r="C72" s="32"/>
      <c r="D72" s="32"/>
      <c r="E72" s="32"/>
      <c r="F72" s="32"/>
      <c r="G72" s="32"/>
      <c r="H72" s="71"/>
      <c r="I72" s="45"/>
    </row>
    <row r="73" spans="1:9" ht="13.5" customHeight="1">
      <c r="A73" s="60">
        <v>2022.1</v>
      </c>
      <c r="B73" s="32">
        <v>240479.7</v>
      </c>
      <c r="C73" s="32">
        <v>231063.78</v>
      </c>
      <c r="D73" s="32">
        <v>135.52000000000001</v>
      </c>
      <c r="E73" s="32">
        <v>45.49</v>
      </c>
      <c r="F73" s="32">
        <v>178323.39</v>
      </c>
      <c r="G73" s="32">
        <v>52559.38</v>
      </c>
      <c r="H73" s="71">
        <v>9415.9</v>
      </c>
      <c r="I73" s="45"/>
    </row>
    <row r="74" spans="1:9" ht="13.5" customHeight="1">
      <c r="A74" s="60">
        <v>2</v>
      </c>
      <c r="B74" s="32">
        <v>239689.16</v>
      </c>
      <c r="C74" s="32">
        <v>230262.71</v>
      </c>
      <c r="D74" s="32">
        <v>124.18</v>
      </c>
      <c r="E74" s="32">
        <v>54.47</v>
      </c>
      <c r="F74" s="32">
        <v>177498.57</v>
      </c>
      <c r="G74" s="32">
        <v>52585.49</v>
      </c>
      <c r="H74" s="71">
        <v>9426.43</v>
      </c>
      <c r="I74" s="45"/>
    </row>
    <row r="75" spans="1:9" ht="13.5" customHeight="1">
      <c r="A75" s="60">
        <v>3</v>
      </c>
      <c r="B75" s="32">
        <v>239880.59</v>
      </c>
      <c r="C75" s="32">
        <v>230498.81</v>
      </c>
      <c r="D75" s="32">
        <v>131.53</v>
      </c>
      <c r="E75" s="32">
        <v>59.47</v>
      </c>
      <c r="F75" s="32">
        <v>177803.33</v>
      </c>
      <c r="G75" s="32">
        <v>52504.480000000003</v>
      </c>
      <c r="H75" s="71">
        <v>9381.7900000000009</v>
      </c>
      <c r="I75" s="45"/>
    </row>
    <row r="76" spans="1:9" ht="13.5" customHeight="1">
      <c r="A76" s="60"/>
      <c r="B76" s="32"/>
      <c r="C76" s="32"/>
      <c r="D76" s="32"/>
      <c r="E76" s="32"/>
      <c r="F76" s="32"/>
      <c r="G76" s="32"/>
      <c r="H76" s="71"/>
      <c r="I76" s="45"/>
    </row>
    <row r="77" spans="1:9" ht="13.5" customHeight="1">
      <c r="A77" s="60">
        <v>4</v>
      </c>
      <c r="B77" s="32">
        <v>240857.64</v>
      </c>
      <c r="C77" s="32">
        <v>231312.22</v>
      </c>
      <c r="D77" s="32">
        <v>104.84</v>
      </c>
      <c r="E77" s="32">
        <v>59.82</v>
      </c>
      <c r="F77" s="32">
        <v>178539.44</v>
      </c>
      <c r="G77" s="32">
        <v>52608.12</v>
      </c>
      <c r="H77" s="71">
        <v>9545.42</v>
      </c>
      <c r="I77" s="45"/>
    </row>
    <row r="78" spans="1:9" ht="13.5" customHeight="1">
      <c r="A78" s="60">
        <v>5</v>
      </c>
      <c r="B78" s="32">
        <v>242441.31</v>
      </c>
      <c r="C78" s="32">
        <v>232736.71</v>
      </c>
      <c r="D78" s="32">
        <v>105.85</v>
      </c>
      <c r="E78" s="32">
        <v>62.61</v>
      </c>
      <c r="F78" s="32">
        <v>179530.22</v>
      </c>
      <c r="G78" s="32">
        <v>53038.03</v>
      </c>
      <c r="H78" s="71">
        <v>9704.6299999999992</v>
      </c>
      <c r="I78" s="45"/>
    </row>
    <row r="79" spans="1:9" ht="13.5" customHeight="1">
      <c r="A79" s="60">
        <v>6</v>
      </c>
      <c r="B79" s="32">
        <v>241834.49</v>
      </c>
      <c r="C79" s="32">
        <v>232031.6</v>
      </c>
      <c r="D79" s="32">
        <v>106.6</v>
      </c>
      <c r="E79" s="32">
        <v>57.64</v>
      </c>
      <c r="F79" s="32">
        <v>179261.73</v>
      </c>
      <c r="G79" s="32">
        <v>52605.63</v>
      </c>
      <c r="H79" s="71">
        <v>9802.85</v>
      </c>
      <c r="I79" s="45"/>
    </row>
    <row r="80" spans="1:9" ht="13.5" customHeight="1">
      <c r="A80" s="60"/>
      <c r="B80" s="32"/>
      <c r="C80" s="32"/>
      <c r="D80" s="32"/>
      <c r="E80" s="32"/>
      <c r="F80" s="32"/>
      <c r="G80" s="32"/>
      <c r="H80" s="71"/>
      <c r="I80" s="45"/>
    </row>
    <row r="81" spans="1:9" ht="13.5" customHeight="1">
      <c r="A81" s="60">
        <v>7</v>
      </c>
      <c r="B81" s="32">
        <v>242446.55</v>
      </c>
      <c r="C81" s="32">
        <v>232675.79</v>
      </c>
      <c r="D81" s="32">
        <v>133.75</v>
      </c>
      <c r="E81" s="32">
        <v>49.96</v>
      </c>
      <c r="F81" s="32">
        <v>179788.69</v>
      </c>
      <c r="G81" s="32">
        <v>52703.39</v>
      </c>
      <c r="H81" s="71">
        <v>9770.77</v>
      </c>
      <c r="I81" s="45"/>
    </row>
    <row r="82" spans="1:9" ht="13.5" customHeight="1">
      <c r="A82" s="60">
        <v>8</v>
      </c>
      <c r="B82" s="32">
        <v>243389.75</v>
      </c>
      <c r="C82" s="32">
        <v>233644.15</v>
      </c>
      <c r="D82" s="32">
        <v>111.37</v>
      </c>
      <c r="E82" s="32">
        <v>55.67</v>
      </c>
      <c r="F82" s="32">
        <v>181226.43</v>
      </c>
      <c r="G82" s="32">
        <v>52250.68</v>
      </c>
      <c r="H82" s="71">
        <v>9745.6299999999992</v>
      </c>
      <c r="I82" s="45"/>
    </row>
    <row r="83" spans="1:9" ht="13.5" customHeight="1">
      <c r="A83" s="60">
        <v>9</v>
      </c>
      <c r="B83" s="32">
        <v>244300.55</v>
      </c>
      <c r="C83" s="32">
        <v>234615.21</v>
      </c>
      <c r="D83" s="32">
        <v>105.82</v>
      </c>
      <c r="E83" s="32">
        <v>57.24</v>
      </c>
      <c r="F83" s="32">
        <v>181842.34</v>
      </c>
      <c r="G83" s="32">
        <v>52609.81</v>
      </c>
      <c r="H83" s="71">
        <v>9685.34</v>
      </c>
      <c r="I83" s="45"/>
    </row>
    <row r="84" spans="1:9" ht="13.5" customHeight="1">
      <c r="A84" s="60"/>
      <c r="B84" s="32"/>
      <c r="C84" s="32"/>
      <c r="D84" s="32"/>
      <c r="E84" s="32"/>
      <c r="F84" s="32"/>
      <c r="G84" s="32"/>
      <c r="H84" s="71"/>
      <c r="I84" s="45"/>
    </row>
    <row r="85" spans="1:9" ht="13.5" customHeight="1">
      <c r="A85" s="60">
        <v>10</v>
      </c>
      <c r="B85" s="32">
        <v>245542.21</v>
      </c>
      <c r="C85" s="32">
        <v>235893.7</v>
      </c>
      <c r="D85" s="32">
        <v>99.23</v>
      </c>
      <c r="E85" s="32">
        <v>55.82</v>
      </c>
      <c r="F85" s="32">
        <v>181862.64</v>
      </c>
      <c r="G85" s="32">
        <v>53876.01</v>
      </c>
      <c r="H85" s="71">
        <v>9648.5</v>
      </c>
      <c r="I85" s="45"/>
    </row>
    <row r="86" spans="1:9" ht="13.5" customHeight="1">
      <c r="A86" s="60">
        <v>11</v>
      </c>
      <c r="B86" s="32">
        <v>245524.1</v>
      </c>
      <c r="C86" s="32">
        <v>235859.88</v>
      </c>
      <c r="D86" s="32">
        <v>98.39</v>
      </c>
      <c r="E86" s="32">
        <v>62.22</v>
      </c>
      <c r="F86" s="32">
        <v>181420.54</v>
      </c>
      <c r="G86" s="32">
        <v>54278.73</v>
      </c>
      <c r="H86" s="71">
        <v>9664.2099999999991</v>
      </c>
      <c r="I86" s="45"/>
    </row>
    <row r="87" spans="1:9" ht="13.5" customHeight="1">
      <c r="A87" s="60">
        <v>12</v>
      </c>
      <c r="B87" s="32">
        <v>245910.74</v>
      </c>
      <c r="C87" s="32">
        <v>236311.5</v>
      </c>
      <c r="D87" s="32">
        <v>102.48</v>
      </c>
      <c r="E87" s="32">
        <v>55.43</v>
      </c>
      <c r="F87" s="32">
        <v>179870.61</v>
      </c>
      <c r="G87" s="32">
        <v>56282.98</v>
      </c>
      <c r="H87" s="71">
        <v>9599.25</v>
      </c>
      <c r="I87" s="45"/>
    </row>
    <row r="88" spans="1:9" ht="13.5" customHeight="1">
      <c r="A88" s="60"/>
      <c r="B88" s="32"/>
      <c r="C88" s="32"/>
      <c r="D88" s="32"/>
      <c r="E88" s="32"/>
      <c r="F88" s="32"/>
      <c r="G88" s="32"/>
      <c r="H88" s="71"/>
      <c r="I88" s="45"/>
    </row>
    <row r="89" spans="1:9" ht="13.5" customHeight="1">
      <c r="A89" s="60">
        <v>2023.1</v>
      </c>
      <c r="B89" s="32">
        <v>246258.09</v>
      </c>
      <c r="C89" s="32">
        <v>236689.02</v>
      </c>
      <c r="D89" s="32">
        <v>100.26</v>
      </c>
      <c r="E89" s="32">
        <v>57.46</v>
      </c>
      <c r="F89" s="32">
        <v>179360.91</v>
      </c>
      <c r="G89" s="32">
        <v>57170.39</v>
      </c>
      <c r="H89" s="71">
        <v>9569.06</v>
      </c>
      <c r="I89" s="45"/>
    </row>
    <row r="90" spans="1:9" ht="13.5" customHeight="1">
      <c r="A90" s="60">
        <v>2</v>
      </c>
      <c r="B90" s="32">
        <v>245315.20000000001</v>
      </c>
      <c r="C90" s="32">
        <v>235829.03</v>
      </c>
      <c r="D90" s="32">
        <v>125.16</v>
      </c>
      <c r="E90" s="32">
        <v>52.19</v>
      </c>
      <c r="F90" s="32">
        <v>178717.99</v>
      </c>
      <c r="G90" s="32">
        <v>56933.69</v>
      </c>
      <c r="H90" s="71">
        <v>9486.2000000000007</v>
      </c>
      <c r="I90" s="45"/>
    </row>
    <row r="91" spans="1:9" ht="13.5" customHeight="1">
      <c r="A91" s="60">
        <v>3</v>
      </c>
      <c r="B91" s="32">
        <v>244335.23</v>
      </c>
      <c r="C91" s="32">
        <v>234942.43</v>
      </c>
      <c r="D91" s="32">
        <v>111.04</v>
      </c>
      <c r="E91" s="32">
        <v>49.75</v>
      </c>
      <c r="F91" s="32">
        <v>178551.44</v>
      </c>
      <c r="G91" s="32">
        <v>56230.2</v>
      </c>
      <c r="H91" s="71">
        <v>9392.84</v>
      </c>
      <c r="I91" s="45"/>
    </row>
    <row r="92" spans="1:9" ht="13.5" customHeight="1">
      <c r="A92" s="60"/>
      <c r="B92" s="32"/>
      <c r="C92" s="32"/>
      <c r="D92" s="32"/>
      <c r="E92" s="32"/>
      <c r="F92" s="32"/>
      <c r="G92" s="32"/>
      <c r="H92" s="71"/>
      <c r="I92" s="45"/>
    </row>
    <row r="93" spans="1:9" ht="13.5" customHeight="1">
      <c r="A93" s="60">
        <v>4</v>
      </c>
      <c r="B93" s="32">
        <v>245456.52</v>
      </c>
      <c r="C93" s="32">
        <v>235937.49</v>
      </c>
      <c r="D93" s="32">
        <v>145.11000000000001</v>
      </c>
      <c r="E93" s="32">
        <v>46.34</v>
      </c>
      <c r="F93" s="32">
        <v>179801.17</v>
      </c>
      <c r="G93" s="32">
        <v>55944.87</v>
      </c>
      <c r="H93" s="71">
        <v>9518.99</v>
      </c>
      <c r="I93" s="45"/>
    </row>
    <row r="94" spans="1:9" ht="13.5" customHeight="1">
      <c r="A94" s="60">
        <v>5</v>
      </c>
      <c r="B94" s="32">
        <v>246430.44</v>
      </c>
      <c r="C94" s="32">
        <v>236823.6</v>
      </c>
      <c r="D94" s="32">
        <v>100.56</v>
      </c>
      <c r="E94" s="32">
        <v>43.71</v>
      </c>
      <c r="F94" s="32">
        <v>180364.54</v>
      </c>
      <c r="G94" s="32">
        <v>56314.79</v>
      </c>
      <c r="H94" s="71">
        <v>9606.7999999999993</v>
      </c>
      <c r="I94" s="45"/>
    </row>
    <row r="95" spans="1:9" ht="13.5" customHeight="1">
      <c r="A95" s="60">
        <v>6</v>
      </c>
      <c r="B95" s="32">
        <v>246601.55</v>
      </c>
      <c r="C95" s="32">
        <v>236895.49</v>
      </c>
      <c r="D95" s="32">
        <v>113.49</v>
      </c>
      <c r="E95" s="32">
        <v>45.83</v>
      </c>
      <c r="F95" s="32">
        <v>180637.14</v>
      </c>
      <c r="G95" s="32">
        <v>56099.03</v>
      </c>
      <c r="H95" s="71">
        <v>9706.08</v>
      </c>
      <c r="I95" s="45"/>
    </row>
    <row r="96" spans="1:9" ht="13.5" customHeight="1">
      <c r="A96" s="60"/>
      <c r="B96" s="32"/>
      <c r="C96" s="32"/>
      <c r="D96" s="32"/>
      <c r="E96" s="32"/>
      <c r="F96" s="32"/>
      <c r="G96" s="32"/>
      <c r="H96" s="71"/>
      <c r="I96" s="45"/>
    </row>
    <row r="97" spans="1:9" ht="13.5" customHeight="1">
      <c r="A97" s="60">
        <v>7</v>
      </c>
      <c r="B97" s="32">
        <v>248976.02</v>
      </c>
      <c r="C97" s="32">
        <v>239281.06</v>
      </c>
      <c r="D97" s="32">
        <v>146.61000000000001</v>
      </c>
      <c r="E97" s="32">
        <v>46.72</v>
      </c>
      <c r="F97" s="32">
        <v>182185.11</v>
      </c>
      <c r="G97" s="32">
        <v>56902.62</v>
      </c>
      <c r="H97" s="71">
        <v>9694.94</v>
      </c>
      <c r="I97" s="45"/>
    </row>
    <row r="98" spans="1:9" ht="13.5" customHeight="1">
      <c r="A98" s="60">
        <v>8</v>
      </c>
      <c r="B98" s="32">
        <v>250191.9</v>
      </c>
      <c r="C98" s="32">
        <v>240520.87</v>
      </c>
      <c r="D98" s="32">
        <v>134.84</v>
      </c>
      <c r="E98" s="32">
        <v>50.84</v>
      </c>
      <c r="F98" s="32">
        <v>183075.21</v>
      </c>
      <c r="G98" s="32">
        <v>57259.98</v>
      </c>
      <c r="H98" s="71">
        <v>9671.0400000000009</v>
      </c>
      <c r="I98" s="45"/>
    </row>
    <row r="99" spans="1:9" ht="13.5" customHeight="1">
      <c r="A99" s="60">
        <v>9</v>
      </c>
      <c r="B99" s="32">
        <v>251096.79</v>
      </c>
      <c r="C99" s="32">
        <v>241428.87</v>
      </c>
      <c r="D99" s="32">
        <v>166.21</v>
      </c>
      <c r="E99" s="32">
        <v>43.99</v>
      </c>
      <c r="F99" s="32">
        <v>183652.73</v>
      </c>
      <c r="G99" s="32">
        <v>57565.94</v>
      </c>
      <c r="H99" s="71">
        <v>9667.91</v>
      </c>
      <c r="I99" s="45"/>
    </row>
    <row r="100" spans="1:9" ht="13.5" customHeight="1">
      <c r="A100" s="60"/>
      <c r="B100" s="32"/>
      <c r="C100" s="32"/>
      <c r="D100" s="32"/>
      <c r="E100" s="32"/>
      <c r="F100" s="32"/>
      <c r="G100" s="32"/>
      <c r="H100" s="71"/>
      <c r="I100" s="45"/>
    </row>
    <row r="101" spans="1:9" ht="13.5" customHeight="1">
      <c r="A101" s="60">
        <v>10</v>
      </c>
      <c r="B101" s="32">
        <v>252416.76</v>
      </c>
      <c r="C101" s="32">
        <v>242723.32</v>
      </c>
      <c r="D101" s="32">
        <v>129.68</v>
      </c>
      <c r="E101" s="32">
        <v>58.3</v>
      </c>
      <c r="F101" s="32">
        <v>184892.4</v>
      </c>
      <c r="G101" s="32">
        <v>57642.94</v>
      </c>
      <c r="H101" s="71">
        <v>9693.4500000000007</v>
      </c>
      <c r="I101" s="45"/>
    </row>
    <row r="102" spans="1:9" ht="13.5" customHeight="1">
      <c r="A102" s="60">
        <v>11</v>
      </c>
      <c r="B102" s="32">
        <v>252550.98</v>
      </c>
      <c r="C102" s="32">
        <v>242878.05</v>
      </c>
      <c r="D102" s="32">
        <v>110.77</v>
      </c>
      <c r="E102" s="32">
        <v>53.64</v>
      </c>
      <c r="F102" s="32">
        <v>184485.46</v>
      </c>
      <c r="G102" s="32">
        <v>58228.18</v>
      </c>
      <c r="H102" s="71">
        <v>9672.89</v>
      </c>
      <c r="I102" s="45"/>
    </row>
    <row r="103" spans="1:9" ht="13.5" customHeight="1">
      <c r="A103" s="60">
        <v>12</v>
      </c>
      <c r="B103" s="32">
        <v>252982.92</v>
      </c>
      <c r="C103" s="32">
        <v>243475.02</v>
      </c>
      <c r="D103" s="32">
        <v>179.65</v>
      </c>
      <c r="E103" s="32">
        <v>41.58</v>
      </c>
      <c r="F103" s="32">
        <v>183619.6</v>
      </c>
      <c r="G103" s="32">
        <v>59634.19</v>
      </c>
      <c r="H103" s="71">
        <v>9507.86</v>
      </c>
      <c r="I103" s="45"/>
    </row>
    <row r="104" spans="1:9" ht="13.5" customHeight="1">
      <c r="A104" s="60"/>
      <c r="B104" s="32"/>
      <c r="C104" s="32"/>
      <c r="D104" s="32"/>
      <c r="E104" s="32"/>
      <c r="F104" s="32"/>
      <c r="G104" s="32"/>
      <c r="H104" s="71"/>
      <c r="I104" s="45"/>
    </row>
    <row r="105" spans="1:9" ht="13.5" customHeight="1">
      <c r="A105" s="60">
        <v>2024.1</v>
      </c>
      <c r="B105" s="32">
        <v>253095.84</v>
      </c>
      <c r="C105" s="32">
        <v>243692.99</v>
      </c>
      <c r="D105" s="32">
        <v>133.15</v>
      </c>
      <c r="E105" s="32">
        <v>47.84</v>
      </c>
      <c r="F105" s="32">
        <v>183459.88</v>
      </c>
      <c r="G105" s="32">
        <v>60052.12</v>
      </c>
      <c r="H105" s="71">
        <v>9402.85</v>
      </c>
      <c r="I105" s="45"/>
    </row>
    <row r="106" spans="1:9" ht="13.5" customHeight="1">
      <c r="A106" s="60">
        <v>2</v>
      </c>
      <c r="B106" s="32">
        <v>253044.28</v>
      </c>
      <c r="C106" s="32">
        <v>243464.08</v>
      </c>
      <c r="D106" s="32">
        <v>132.83000000000001</v>
      </c>
      <c r="E106" s="32">
        <v>44.31</v>
      </c>
      <c r="F106" s="32">
        <v>182549.31</v>
      </c>
      <c r="G106" s="32">
        <v>60737.63</v>
      </c>
      <c r="H106" s="71">
        <v>9580.2000000000007</v>
      </c>
      <c r="I106" s="45"/>
    </row>
    <row r="107" spans="1:9" ht="13.5" customHeight="1">
      <c r="A107" s="60">
        <v>3</v>
      </c>
      <c r="B107" s="32">
        <v>252446.75</v>
      </c>
      <c r="C107" s="32">
        <v>242911.49</v>
      </c>
      <c r="D107" s="32">
        <v>142.68</v>
      </c>
      <c r="E107" s="32">
        <v>40.75</v>
      </c>
      <c r="F107" s="32">
        <v>182411.77</v>
      </c>
      <c r="G107" s="32">
        <v>60316.29</v>
      </c>
      <c r="H107" s="71">
        <v>9535.27</v>
      </c>
      <c r="I107" s="45"/>
    </row>
    <row r="108" spans="1:9" ht="13.5" customHeight="1">
      <c r="A108" s="60"/>
      <c r="B108" s="32"/>
      <c r="C108" s="32"/>
      <c r="D108" s="32"/>
      <c r="E108" s="32"/>
      <c r="F108" s="32"/>
      <c r="G108" s="32"/>
      <c r="H108" s="71"/>
      <c r="I108" s="45"/>
    </row>
    <row r="109" spans="1:9" ht="13.5" customHeight="1">
      <c r="A109" s="60">
        <v>4</v>
      </c>
      <c r="B109" s="32">
        <v>253386.75</v>
      </c>
      <c r="C109" s="32">
        <v>243732.6</v>
      </c>
      <c r="D109" s="32">
        <v>148.08000000000001</v>
      </c>
      <c r="E109" s="32">
        <v>48.92</v>
      </c>
      <c r="F109" s="32">
        <v>182887.32</v>
      </c>
      <c r="G109" s="32">
        <v>60648.28</v>
      </c>
      <c r="H109" s="71">
        <v>9654.18</v>
      </c>
      <c r="I109" s="45"/>
    </row>
    <row r="110" spans="1:9" ht="13.5" customHeight="1">
      <c r="A110" s="60">
        <v>5</v>
      </c>
      <c r="B110" s="32">
        <v>255324.58</v>
      </c>
      <c r="C110" s="32">
        <v>245560.62</v>
      </c>
      <c r="D110" s="32">
        <v>99.1</v>
      </c>
      <c r="E110" s="32">
        <v>48.45</v>
      </c>
      <c r="F110" s="32">
        <v>183972.97</v>
      </c>
      <c r="G110" s="32">
        <v>61440.1</v>
      </c>
      <c r="H110" s="71">
        <v>9764</v>
      </c>
      <c r="I110" s="45"/>
    </row>
    <row r="111" spans="1:9" ht="13.5" customHeight="1">
      <c r="A111" s="60">
        <v>6</v>
      </c>
      <c r="B111" s="32">
        <v>255281.66</v>
      </c>
      <c r="C111" s="32">
        <v>245497.89</v>
      </c>
      <c r="D111" s="32">
        <v>127.85</v>
      </c>
      <c r="E111" s="32">
        <v>48.34</v>
      </c>
      <c r="F111" s="32">
        <v>184597.43</v>
      </c>
      <c r="G111" s="32">
        <v>60724.27</v>
      </c>
      <c r="H111" s="71">
        <v>9783.7900000000009</v>
      </c>
      <c r="I111" s="45"/>
    </row>
    <row r="112" spans="1:9" ht="13.5" customHeight="1">
      <c r="A112" s="60"/>
      <c r="B112" s="32"/>
      <c r="C112" s="32"/>
      <c r="D112" s="32"/>
      <c r="E112" s="32"/>
      <c r="F112" s="32"/>
      <c r="G112" s="32"/>
      <c r="H112" s="71"/>
      <c r="I112" s="45"/>
    </row>
    <row r="113" spans="1:9" ht="13.5" customHeight="1">
      <c r="A113" s="60">
        <v>7</v>
      </c>
      <c r="B113" s="32">
        <v>258189.66</v>
      </c>
      <c r="C113" s="32">
        <v>248394.5</v>
      </c>
      <c r="D113" s="32">
        <v>94.72</v>
      </c>
      <c r="E113" s="32">
        <v>48.86</v>
      </c>
      <c r="F113" s="32">
        <v>186529.01</v>
      </c>
      <c r="G113" s="32">
        <v>61721.91</v>
      </c>
      <c r="H113" s="71">
        <v>9795.2000000000007</v>
      </c>
      <c r="I113" s="45"/>
    </row>
    <row r="114" spans="1:9" ht="13.5" customHeight="1">
      <c r="A114" s="60">
        <v>8</v>
      </c>
      <c r="B114" s="32">
        <v>258987.82</v>
      </c>
      <c r="C114" s="32">
        <v>249212.58</v>
      </c>
      <c r="D114" s="32">
        <v>106.91</v>
      </c>
      <c r="E114" s="32">
        <v>46.77</v>
      </c>
      <c r="F114" s="32">
        <v>187214.31</v>
      </c>
      <c r="G114" s="32">
        <v>61844.59</v>
      </c>
      <c r="H114" s="71">
        <v>9775.27</v>
      </c>
      <c r="I114" s="45"/>
    </row>
    <row r="115" spans="1:9" ht="13.5" customHeight="1">
      <c r="A115" s="60">
        <v>9</v>
      </c>
      <c r="B115" s="32">
        <v>259776.98</v>
      </c>
      <c r="C115" s="32">
        <v>250080.07</v>
      </c>
      <c r="D115" s="32">
        <v>71.52</v>
      </c>
      <c r="E115" s="32">
        <v>49.56</v>
      </c>
      <c r="F115" s="32">
        <v>187967.32</v>
      </c>
      <c r="G115" s="32">
        <v>61991.67</v>
      </c>
      <c r="H115" s="71">
        <v>9696.91</v>
      </c>
      <c r="I115" s="45"/>
    </row>
    <row r="116" spans="1:9" ht="13.5" customHeight="1">
      <c r="A116" s="60"/>
      <c r="B116" s="32"/>
      <c r="C116" s="32"/>
      <c r="D116" s="32"/>
      <c r="E116" s="32"/>
      <c r="F116" s="32"/>
      <c r="G116" s="32"/>
      <c r="H116" s="71"/>
      <c r="I116" s="45"/>
    </row>
    <row r="117" spans="1:9" ht="13.5" customHeight="1">
      <c r="A117" s="60">
        <v>10</v>
      </c>
      <c r="B117" s="32">
        <v>261674.3</v>
      </c>
      <c r="C117" s="32">
        <v>252051.27</v>
      </c>
      <c r="D117" s="32">
        <v>72.72</v>
      </c>
      <c r="E117" s="32">
        <v>46.32</v>
      </c>
      <c r="F117" s="32">
        <v>188568.94</v>
      </c>
      <c r="G117" s="32">
        <v>63363.29</v>
      </c>
      <c r="H117" s="71">
        <v>9623.0499999999993</v>
      </c>
      <c r="I117" s="45"/>
    </row>
    <row r="118" spans="1:9" ht="13.5" customHeight="1">
      <c r="A118" s="60">
        <v>11</v>
      </c>
      <c r="B118" s="32">
        <v>261413.15</v>
      </c>
      <c r="C118" s="32">
        <v>251839.7</v>
      </c>
      <c r="D118" s="32">
        <v>81.8</v>
      </c>
      <c r="E118" s="32">
        <v>46.9</v>
      </c>
      <c r="F118" s="32">
        <v>187913.46</v>
      </c>
      <c r="G118" s="32">
        <v>63797.54</v>
      </c>
      <c r="H118" s="71">
        <v>9573.4599999999991</v>
      </c>
      <c r="I118" s="45"/>
    </row>
    <row r="119" spans="1:9" ht="13.5" customHeight="1">
      <c r="A119" s="60">
        <v>12</v>
      </c>
      <c r="B119" s="32">
        <v>261436.54</v>
      </c>
      <c r="C119" s="32">
        <v>252044.11</v>
      </c>
      <c r="D119" s="32">
        <v>132.55000000000001</v>
      </c>
      <c r="E119" s="32">
        <v>42.39</v>
      </c>
      <c r="F119" s="32">
        <v>185731.99</v>
      </c>
      <c r="G119" s="32">
        <v>66137.179999999993</v>
      </c>
      <c r="H119" s="71">
        <v>9392.4500000000007</v>
      </c>
      <c r="I119" s="45"/>
    </row>
    <row r="120" spans="1:9" ht="13.5" customHeight="1">
      <c r="A120" s="60"/>
      <c r="B120" s="32"/>
      <c r="C120" s="32"/>
      <c r="D120" s="32"/>
      <c r="E120" s="32"/>
      <c r="F120" s="32"/>
      <c r="G120" s="32"/>
      <c r="H120" s="71"/>
      <c r="I120" s="45"/>
    </row>
    <row r="121" spans="1:9" ht="13.5" customHeight="1">
      <c r="A121" s="60">
        <v>2025.1</v>
      </c>
      <c r="B121" s="32">
        <v>261937.66</v>
      </c>
      <c r="C121" s="32">
        <v>252636.85</v>
      </c>
      <c r="D121" s="32">
        <v>94.51</v>
      </c>
      <c r="E121" s="32">
        <v>40.950000000000003</v>
      </c>
      <c r="F121" s="32">
        <v>185494.65</v>
      </c>
      <c r="G121" s="32">
        <v>67006.740000000005</v>
      </c>
      <c r="H121" s="71">
        <v>9300.85</v>
      </c>
      <c r="I121" s="45"/>
    </row>
    <row r="122" spans="1:9" ht="13.5" customHeight="1">
      <c r="A122" s="60">
        <v>2</v>
      </c>
      <c r="B122" s="32">
        <v>263759.58</v>
      </c>
      <c r="C122" s="32">
        <v>254321.44</v>
      </c>
      <c r="D122" s="32">
        <v>127.97</v>
      </c>
      <c r="E122" s="32">
        <v>38.72</v>
      </c>
      <c r="F122" s="32">
        <v>186264.78</v>
      </c>
      <c r="G122" s="32">
        <v>67889.97</v>
      </c>
      <c r="H122" s="71">
        <v>9438.14</v>
      </c>
      <c r="I122" s="45"/>
    </row>
    <row r="123" spans="1:9" ht="13.5" customHeight="1">
      <c r="A123" s="60">
        <v>3</v>
      </c>
      <c r="B123" s="32">
        <v>265014.74</v>
      </c>
      <c r="C123" s="32">
        <v>255582.79</v>
      </c>
      <c r="D123" s="32">
        <v>97.94</v>
      </c>
      <c r="E123" s="32">
        <v>40.78</v>
      </c>
      <c r="F123" s="32">
        <v>186804.97</v>
      </c>
      <c r="G123" s="32">
        <v>68639.100000000006</v>
      </c>
      <c r="H123" s="71">
        <v>9431.91</v>
      </c>
      <c r="I123" s="45"/>
    </row>
    <row r="124" spans="1:9" ht="13.5" customHeight="1">
      <c r="A124" s="60"/>
      <c r="B124" s="32"/>
      <c r="C124" s="32"/>
      <c r="D124" s="32"/>
      <c r="E124" s="32"/>
      <c r="F124" s="32"/>
      <c r="G124" s="32"/>
      <c r="H124" s="71"/>
      <c r="I124" s="45"/>
    </row>
    <row r="125" spans="1:9" ht="13.5" customHeight="1">
      <c r="A125" s="60">
        <v>4</v>
      </c>
      <c r="B125" s="32">
        <v>266736.59999999998</v>
      </c>
      <c r="C125" s="32">
        <v>257070.67</v>
      </c>
      <c r="D125" s="32">
        <v>76.58</v>
      </c>
      <c r="E125" s="32">
        <v>40.659999999999997</v>
      </c>
      <c r="F125" s="32">
        <v>187871.33</v>
      </c>
      <c r="G125" s="32">
        <v>69082.100000000006</v>
      </c>
      <c r="H125" s="71">
        <v>9665.9599999999991</v>
      </c>
      <c r="I125" s="45"/>
    </row>
    <row r="126" spans="1:9" ht="13.5" customHeight="1">
      <c r="A126" s="60">
        <v>5</v>
      </c>
      <c r="B126" s="32">
        <v>268098.43</v>
      </c>
      <c r="C126" s="32">
        <v>258249.31</v>
      </c>
      <c r="D126" s="32">
        <v>113.13</v>
      </c>
      <c r="E126" s="32">
        <v>35.86</v>
      </c>
      <c r="F126" s="32">
        <v>188160.62</v>
      </c>
      <c r="G126" s="32">
        <v>69939.7</v>
      </c>
      <c r="H126" s="71">
        <v>9849.1200000000008</v>
      </c>
      <c r="I126" s="45"/>
    </row>
    <row r="127" spans="1:9" ht="13.5" customHeight="1">
      <c r="A127" s="60">
        <v>6</v>
      </c>
      <c r="B127" s="32">
        <v>268338.56</v>
      </c>
      <c r="C127" s="32">
        <v>258438.71</v>
      </c>
      <c r="D127" s="32">
        <v>110.86</v>
      </c>
      <c r="E127" s="32">
        <v>42.15</v>
      </c>
      <c r="F127" s="32">
        <v>188208.65</v>
      </c>
      <c r="G127" s="32">
        <v>70077.05</v>
      </c>
      <c r="H127" s="71">
        <v>9899.85</v>
      </c>
      <c r="I127" s="45"/>
    </row>
    <row r="128" spans="1:9" ht="13.5" customHeight="1">
      <c r="A128" s="60"/>
      <c r="B128" s="32"/>
      <c r="C128" s="32"/>
      <c r="D128" s="32"/>
      <c r="E128" s="32"/>
      <c r="F128" s="32"/>
      <c r="G128" s="32"/>
      <c r="H128" s="71"/>
      <c r="I128" s="45"/>
    </row>
    <row r="129" spans="1:9" ht="13.5" customHeight="1">
      <c r="A129" s="60">
        <v>7</v>
      </c>
      <c r="B129" s="32">
        <v>269044.84000000003</v>
      </c>
      <c r="C129" s="32">
        <v>259053.52</v>
      </c>
      <c r="D129" s="32">
        <v>88.68</v>
      </c>
      <c r="E129" s="32">
        <v>40.94</v>
      </c>
      <c r="F129" s="32">
        <v>188285.75</v>
      </c>
      <c r="G129" s="32">
        <v>70638.149999999994</v>
      </c>
      <c r="H129" s="71">
        <v>9991.34</v>
      </c>
      <c r="I129" s="45"/>
    </row>
    <row r="130" spans="1:9" ht="13.5" customHeight="1">
      <c r="A130" s="60">
        <v>8</v>
      </c>
      <c r="B130" s="32">
        <v>269592.46999999997</v>
      </c>
      <c r="C130" s="32">
        <v>259612</v>
      </c>
      <c r="D130" s="32">
        <v>82.71</v>
      </c>
      <c r="E130" s="32">
        <v>33.22</v>
      </c>
      <c r="F130" s="32">
        <v>188808.13</v>
      </c>
      <c r="G130" s="32">
        <v>70687.94</v>
      </c>
      <c r="H130" s="71">
        <v>9980.51</v>
      </c>
      <c r="I130" s="45"/>
    </row>
    <row r="131" spans="1:9" ht="13.5" customHeight="1">
      <c r="A131" s="60">
        <v>9</v>
      </c>
      <c r="B131" s="32">
        <v>269058.27</v>
      </c>
      <c r="C131" s="32">
        <v>259080.01</v>
      </c>
      <c r="D131" s="32">
        <v>61.02</v>
      </c>
      <c r="E131" s="32">
        <v>41.42</v>
      </c>
      <c r="F131" s="32">
        <v>188815.12</v>
      </c>
      <c r="G131" s="32">
        <v>70162.45</v>
      </c>
      <c r="H131" s="71">
        <v>9978.2099999999991</v>
      </c>
      <c r="I131" s="45"/>
    </row>
    <row r="132" spans="1:9" ht="13.5" customHeight="1">
      <c r="A132" s="60"/>
      <c r="B132" s="32"/>
      <c r="C132" s="32"/>
      <c r="D132" s="32"/>
      <c r="E132" s="32"/>
      <c r="F132" s="32"/>
      <c r="G132" s="32"/>
      <c r="H132" s="71"/>
      <c r="I132" s="45"/>
    </row>
    <row r="133" spans="1:9" ht="13.5" customHeight="1">
      <c r="A133" s="60">
        <v>10</v>
      </c>
      <c r="B133" s="32">
        <v>271251.36</v>
      </c>
      <c r="C133" s="32">
        <v>261290.09</v>
      </c>
      <c r="D133" s="32">
        <v>64.19</v>
      </c>
      <c r="E133" s="32">
        <v>40.32</v>
      </c>
      <c r="F133" s="32">
        <v>188714.47</v>
      </c>
      <c r="G133" s="32">
        <v>72471.11</v>
      </c>
      <c r="H133" s="71">
        <v>9961.2900000000009</v>
      </c>
      <c r="I133" s="45"/>
    </row>
    <row r="134" spans="1:9" ht="13.5" customHeight="1">
      <c r="A134" s="60">
        <v>11</v>
      </c>
      <c r="B134" s="32">
        <v>272721.91999999998</v>
      </c>
      <c r="C134" s="32">
        <v>262764.90999999997</v>
      </c>
      <c r="D134" s="32">
        <v>78.45</v>
      </c>
      <c r="E134" s="32">
        <v>40.6</v>
      </c>
      <c r="F134" s="32">
        <v>189032.19</v>
      </c>
      <c r="G134" s="32">
        <v>73613.67</v>
      </c>
      <c r="H134" s="71">
        <v>9957.02</v>
      </c>
      <c r="I134" s="45"/>
    </row>
    <row r="135" spans="1:9" ht="13.5" customHeight="1">
      <c r="A135" s="194" t="s">
        <v>213</v>
      </c>
      <c r="B135" s="214">
        <v>274874.90999999997</v>
      </c>
      <c r="C135" s="214">
        <v>265057.86</v>
      </c>
      <c r="D135" s="214">
        <v>105.98</v>
      </c>
      <c r="E135" s="214">
        <v>37.799999999999997</v>
      </c>
      <c r="F135" s="214">
        <v>188841.49</v>
      </c>
      <c r="G135" s="214">
        <v>76072.59</v>
      </c>
      <c r="H135" s="215">
        <v>9817.0499999999993</v>
      </c>
      <c r="I135" s="45"/>
    </row>
    <row r="136" spans="1:9" ht="13.5" customHeight="1">
      <c r="A136" s="60"/>
      <c r="B136" s="32"/>
      <c r="C136" s="32"/>
      <c r="D136" s="32"/>
      <c r="E136" s="32"/>
      <c r="F136" s="32"/>
      <c r="G136" s="32"/>
      <c r="H136" s="71"/>
      <c r="I136" s="45"/>
    </row>
    <row r="137" spans="1:9" ht="13.5" customHeight="1">
      <c r="A137" s="194" t="s">
        <v>266</v>
      </c>
      <c r="B137" s="214">
        <v>274512.5</v>
      </c>
      <c r="C137" s="214">
        <v>264620.32</v>
      </c>
      <c r="D137" s="214">
        <v>85.88</v>
      </c>
      <c r="E137" s="214">
        <v>36.71</v>
      </c>
      <c r="F137" s="214">
        <v>188016.15</v>
      </c>
      <c r="G137" s="214">
        <v>76481.58</v>
      </c>
      <c r="H137" s="215">
        <v>9892.2000000000007</v>
      </c>
      <c r="I137" s="14"/>
    </row>
    <row r="138" spans="1:9">
      <c r="A138" s="194" t="s">
        <v>215</v>
      </c>
      <c r="B138" s="214">
        <v>275015.94</v>
      </c>
      <c r="C138" s="214">
        <v>265065.64</v>
      </c>
      <c r="D138" s="214">
        <v>81.31</v>
      </c>
      <c r="E138" s="214">
        <v>28.53</v>
      </c>
      <c r="F138" s="214">
        <v>187774.51</v>
      </c>
      <c r="G138" s="214">
        <v>77181.289999999994</v>
      </c>
      <c r="H138" s="215">
        <v>9950.26</v>
      </c>
    </row>
    <row r="139" spans="1:9">
      <c r="A139" s="195" t="s">
        <v>265</v>
      </c>
      <c r="B139" s="212">
        <v>275282.55</v>
      </c>
      <c r="C139" s="212">
        <v>265380.77</v>
      </c>
      <c r="D139" s="212">
        <v>64.25</v>
      </c>
      <c r="E139" s="212">
        <v>40.94</v>
      </c>
      <c r="F139" s="212">
        <v>187440.18</v>
      </c>
      <c r="G139" s="212">
        <v>77835.399999999994</v>
      </c>
      <c r="H139" s="213">
        <v>9901.7900000000009</v>
      </c>
    </row>
    <row r="140" spans="1:9">
      <c r="A140" s="1" t="s">
        <v>160</v>
      </c>
      <c r="G140" s="14"/>
    </row>
    <row r="141" spans="1:9">
      <c r="D141" s="14"/>
      <c r="E141" s="14"/>
      <c r="F141" s="14"/>
      <c r="G141" s="14"/>
      <c r="H141" s="14"/>
    </row>
    <row r="144" spans="1:9">
      <c r="I144" s="14"/>
    </row>
  </sheetData>
  <mergeCells count="9">
    <mergeCell ref="H5:H7"/>
    <mergeCell ref="C5:G5"/>
    <mergeCell ref="B5:B7"/>
    <mergeCell ref="A5:A7"/>
    <mergeCell ref="C6:C7"/>
    <mergeCell ref="D6:D7"/>
    <mergeCell ref="E6:E7"/>
    <mergeCell ref="F6:F7"/>
    <mergeCell ref="G6:G7"/>
  </mergeCells>
  <phoneticPr fontId="9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3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P142"/>
  <sheetViews>
    <sheetView zoomScale="85" zoomScaleNormal="85" zoomScaleSheetLayoutView="85" workbookViewId="0">
      <pane xSplit="1" ySplit="7" topLeftCell="B116" activePane="bottomRight" state="frozen"/>
      <selection activeCell="E91" sqref="E91"/>
      <selection pane="topRight" activeCell="E91" sqref="E91"/>
      <selection pane="bottomLeft" activeCell="E91" sqref="E91"/>
      <selection pane="bottomRight" activeCell="B142" sqref="B142"/>
    </sheetView>
  </sheetViews>
  <sheetFormatPr defaultColWidth="8.88671875" defaultRowHeight="13.5"/>
  <cols>
    <col min="1" max="1" width="10.77734375" style="12" customWidth="1"/>
    <col min="2" max="8" width="11.77734375" style="12" customWidth="1"/>
    <col min="9" max="16384" width="8.88671875" style="12"/>
  </cols>
  <sheetData>
    <row r="1" spans="1:9" s="1" customFormat="1" ht="12">
      <c r="A1" s="53"/>
      <c r="B1" s="53"/>
      <c r="C1" s="53"/>
      <c r="D1" s="53"/>
      <c r="E1" s="53"/>
      <c r="F1" s="53"/>
      <c r="G1" s="53"/>
      <c r="H1" s="48"/>
    </row>
    <row r="2" spans="1:9" s="1" customFormat="1" ht="12">
      <c r="A2" s="53"/>
      <c r="B2" s="54"/>
      <c r="C2" s="54"/>
      <c r="D2" s="54"/>
      <c r="E2" s="54"/>
      <c r="F2" s="54"/>
      <c r="G2" s="54"/>
      <c r="H2" s="48"/>
    </row>
    <row r="3" spans="1:9" s="1" customFormat="1" ht="12">
      <c r="A3" s="52" t="s">
        <v>106</v>
      </c>
      <c r="B3" s="54"/>
      <c r="C3" s="54"/>
      <c r="D3" s="54"/>
      <c r="E3" s="54"/>
      <c r="F3" s="54"/>
      <c r="G3" s="54"/>
      <c r="H3" s="48"/>
    </row>
    <row r="4" spans="1:9" s="1" customFormat="1" ht="12">
      <c r="A4" s="1" t="s">
        <v>98</v>
      </c>
      <c r="B4" s="55"/>
      <c r="C4" s="55"/>
      <c r="D4" s="55"/>
      <c r="E4" s="55"/>
      <c r="F4" s="55"/>
      <c r="G4" s="55"/>
      <c r="H4" s="4" t="s">
        <v>100</v>
      </c>
    </row>
    <row r="5" spans="1:9" ht="19.5" customHeight="1">
      <c r="A5" s="276" t="s">
        <v>1</v>
      </c>
      <c r="B5" s="287" t="s">
        <v>55</v>
      </c>
      <c r="C5" s="271" t="s">
        <v>63</v>
      </c>
      <c r="D5" s="272"/>
      <c r="E5" s="272"/>
      <c r="F5" s="275"/>
      <c r="G5" s="284" t="s">
        <v>66</v>
      </c>
      <c r="H5" s="295"/>
      <c r="I5" s="13"/>
    </row>
    <row r="6" spans="1:9" ht="15.75" customHeight="1">
      <c r="A6" s="282"/>
      <c r="B6" s="283"/>
      <c r="C6" s="288" t="s">
        <v>64</v>
      </c>
      <c r="D6" s="296" t="s">
        <v>65</v>
      </c>
      <c r="E6" s="42"/>
      <c r="F6" s="290" t="s">
        <v>107</v>
      </c>
      <c r="G6" s="297" t="s">
        <v>67</v>
      </c>
      <c r="H6" s="284" t="s">
        <v>68</v>
      </c>
    </row>
    <row r="7" spans="1:9" ht="23.25" customHeight="1">
      <c r="A7" s="277"/>
      <c r="B7" s="280"/>
      <c r="C7" s="289"/>
      <c r="D7" s="291"/>
      <c r="E7" s="56" t="s">
        <v>84</v>
      </c>
      <c r="F7" s="291"/>
      <c r="G7" s="298"/>
      <c r="H7" s="285"/>
    </row>
    <row r="8" spans="1:9" s="37" customFormat="1" ht="13.5" customHeight="1">
      <c r="A8" s="67">
        <v>2012</v>
      </c>
      <c r="B8" s="43">
        <v>121442.65</v>
      </c>
      <c r="C8" s="43">
        <v>60306.559999999998</v>
      </c>
      <c r="D8" s="43">
        <v>58266.23</v>
      </c>
      <c r="E8" s="43">
        <v>28696.65</v>
      </c>
      <c r="F8" s="43">
        <v>2869.86</v>
      </c>
      <c r="G8" s="43">
        <v>100324.58</v>
      </c>
      <c r="H8" s="100">
        <v>21118.06</v>
      </c>
      <c r="I8" s="84"/>
    </row>
    <row r="9" spans="1:9" s="34" customFormat="1" ht="13.5" customHeight="1">
      <c r="A9" s="67">
        <v>2013</v>
      </c>
      <c r="B9" s="43">
        <v>132598.88</v>
      </c>
      <c r="C9" s="43">
        <v>64410.29</v>
      </c>
      <c r="D9" s="43">
        <v>62411.74</v>
      </c>
      <c r="E9" s="43">
        <v>32625.88</v>
      </c>
      <c r="F9" s="43">
        <v>5776.86</v>
      </c>
      <c r="G9" s="43">
        <v>108958.88</v>
      </c>
      <c r="H9" s="100">
        <v>23640</v>
      </c>
      <c r="I9" s="30"/>
    </row>
    <row r="10" spans="1:9" s="34" customFormat="1" ht="13.5" customHeight="1">
      <c r="A10" s="67">
        <v>2014</v>
      </c>
      <c r="B10" s="43">
        <v>141847.45000000001</v>
      </c>
      <c r="C10" s="43">
        <v>68683.759999999995</v>
      </c>
      <c r="D10" s="43">
        <v>64300.04</v>
      </c>
      <c r="E10" s="43">
        <v>34505.47</v>
      </c>
      <c r="F10" s="43">
        <v>8863.67</v>
      </c>
      <c r="G10" s="43">
        <v>115810.45</v>
      </c>
      <c r="H10" s="100">
        <v>26037.01</v>
      </c>
      <c r="I10" s="30"/>
    </row>
    <row r="11" spans="1:9" s="34" customFormat="1" ht="13.5" customHeight="1">
      <c r="A11" s="67">
        <v>2015</v>
      </c>
      <c r="B11" s="43">
        <v>154648.95000000001</v>
      </c>
      <c r="C11" s="43">
        <v>74660.36</v>
      </c>
      <c r="D11" s="43">
        <v>66905.94</v>
      </c>
      <c r="E11" s="43">
        <v>35308.89</v>
      </c>
      <c r="F11" s="43">
        <v>13082.67</v>
      </c>
      <c r="G11" s="43">
        <v>125337.37</v>
      </c>
      <c r="H11" s="100">
        <v>29311.59</v>
      </c>
      <c r="I11" s="30"/>
    </row>
    <row r="12" spans="1:9" s="34" customFormat="1" ht="13.5" customHeight="1">
      <c r="A12" s="94"/>
      <c r="B12" s="43"/>
      <c r="C12" s="43"/>
      <c r="D12" s="43"/>
      <c r="E12" s="43"/>
      <c r="F12" s="43"/>
      <c r="G12" s="43"/>
      <c r="H12" s="100"/>
      <c r="I12" s="30"/>
    </row>
    <row r="13" spans="1:9" s="34" customFormat="1" ht="13.5" customHeight="1">
      <c r="A13" s="73" t="s">
        <v>134</v>
      </c>
      <c r="B13" s="43">
        <v>164154.28</v>
      </c>
      <c r="C13" s="43">
        <v>82089.88</v>
      </c>
      <c r="D13" s="43">
        <v>72925.91</v>
      </c>
      <c r="E13" s="43">
        <v>37985.089999999997</v>
      </c>
      <c r="F13" s="43">
        <v>9138.49</v>
      </c>
      <c r="G13" s="43">
        <v>130673.97</v>
      </c>
      <c r="H13" s="100">
        <v>33480.300000000003</v>
      </c>
      <c r="I13" s="30"/>
    </row>
    <row r="14" spans="1:9" s="34" customFormat="1" ht="13.5" customHeight="1">
      <c r="A14" s="73" t="s">
        <v>142</v>
      </c>
      <c r="B14" s="43">
        <v>175875.98</v>
      </c>
      <c r="C14" s="43">
        <v>88126.3</v>
      </c>
      <c r="D14" s="43">
        <v>81677.919999999998</v>
      </c>
      <c r="E14" s="43">
        <v>43106.63</v>
      </c>
      <c r="F14" s="43">
        <v>6071.76</v>
      </c>
      <c r="G14" s="43">
        <v>139434.76999999999</v>
      </c>
      <c r="H14" s="100">
        <v>36441.199999999997</v>
      </c>
      <c r="I14" s="30"/>
    </row>
    <row r="15" spans="1:9" s="34" customFormat="1" ht="13.5" customHeight="1">
      <c r="A15" s="73">
        <v>2018</v>
      </c>
      <c r="B15" s="43">
        <v>192005.38</v>
      </c>
      <c r="C15" s="43">
        <v>96769.36</v>
      </c>
      <c r="D15" s="43">
        <v>92136.14</v>
      </c>
      <c r="E15" s="43">
        <v>50473.61</v>
      </c>
      <c r="F15" s="43">
        <v>3099.91</v>
      </c>
      <c r="G15" s="43">
        <v>151827.25</v>
      </c>
      <c r="H15" s="100">
        <v>40178.129999999997</v>
      </c>
      <c r="I15" s="30"/>
    </row>
    <row r="16" spans="1:9" s="34" customFormat="1" ht="13.5" customHeight="1">
      <c r="A16" s="73">
        <v>2019</v>
      </c>
      <c r="B16" s="43">
        <v>209913.63</v>
      </c>
      <c r="C16" s="43">
        <v>106872.6</v>
      </c>
      <c r="D16" s="43">
        <v>100638.39999999999</v>
      </c>
      <c r="E16" s="43">
        <v>57555.05</v>
      </c>
      <c r="F16" s="43">
        <v>2402.62</v>
      </c>
      <c r="G16" s="43">
        <v>166350.71</v>
      </c>
      <c r="H16" s="100">
        <v>43562.92</v>
      </c>
      <c r="I16" s="30"/>
    </row>
    <row r="17" spans="1:16" s="34" customFormat="1" ht="13.5" customHeight="1">
      <c r="A17" s="73">
        <v>2020</v>
      </c>
      <c r="B17" s="43">
        <v>228314.4</v>
      </c>
      <c r="C17" s="43">
        <v>119804.39</v>
      </c>
      <c r="D17" s="43">
        <v>105954.59</v>
      </c>
      <c r="E17" s="43">
        <v>59412.41</v>
      </c>
      <c r="F17" s="43">
        <v>2555.4299999999998</v>
      </c>
      <c r="G17" s="43">
        <v>184997.96</v>
      </c>
      <c r="H17" s="100">
        <v>43316.42</v>
      </c>
      <c r="I17" s="30"/>
    </row>
    <row r="18" spans="1:16" ht="13.5" customHeight="1">
      <c r="A18" s="60"/>
      <c r="B18" s="43"/>
      <c r="C18" s="43"/>
      <c r="D18" s="43"/>
      <c r="E18" s="43"/>
      <c r="F18" s="43"/>
      <c r="G18" s="43"/>
      <c r="H18" s="100"/>
      <c r="I18" s="45"/>
    </row>
    <row r="19" spans="1:16" ht="13.5" customHeight="1">
      <c r="A19" s="205">
        <v>2021</v>
      </c>
      <c r="B19" s="43">
        <v>238862.84</v>
      </c>
      <c r="C19" s="43">
        <v>127930.55</v>
      </c>
      <c r="D19" s="43">
        <v>108333.78</v>
      </c>
      <c r="E19" s="43">
        <v>61828.61</v>
      </c>
      <c r="F19" s="43">
        <v>2598.52</v>
      </c>
      <c r="G19" s="43">
        <v>190763.17</v>
      </c>
      <c r="H19" s="100">
        <v>48099.69</v>
      </c>
      <c r="I19" s="45"/>
    </row>
    <row r="20" spans="1:16" ht="13.5" customHeight="1">
      <c r="A20" s="205" t="s">
        <v>210</v>
      </c>
      <c r="B20" s="43">
        <v>245910.74</v>
      </c>
      <c r="C20" s="43">
        <v>135208.21</v>
      </c>
      <c r="D20" s="43">
        <v>107655.52</v>
      </c>
      <c r="E20" s="43">
        <v>67271.839999999997</v>
      </c>
      <c r="F20" s="43">
        <v>3047</v>
      </c>
      <c r="G20" s="43">
        <v>194330.55</v>
      </c>
      <c r="H20" s="100">
        <v>51580.18</v>
      </c>
      <c r="I20" s="45"/>
    </row>
    <row r="21" spans="1:16" ht="13.5" customHeight="1">
      <c r="A21" s="205">
        <v>2023</v>
      </c>
      <c r="B21" s="43">
        <v>252982.92</v>
      </c>
      <c r="C21" s="43">
        <v>140139</v>
      </c>
      <c r="D21" s="43">
        <v>109939.24</v>
      </c>
      <c r="E21" s="43">
        <v>72883.210000000006</v>
      </c>
      <c r="F21" s="43">
        <v>2904.66</v>
      </c>
      <c r="G21" s="43">
        <v>198127.81</v>
      </c>
      <c r="H21" s="100">
        <v>54855.08</v>
      </c>
      <c r="I21" s="45"/>
    </row>
    <row r="22" spans="1:16" ht="13.5" customHeight="1">
      <c r="A22" s="205">
        <v>2024</v>
      </c>
      <c r="B22" s="43">
        <f>B119</f>
        <v>261436.54</v>
      </c>
      <c r="C22" s="43">
        <f t="shared" ref="C22:H22" si="0">C119</f>
        <v>143924.1</v>
      </c>
      <c r="D22" s="43">
        <f t="shared" si="0"/>
        <v>114417.77</v>
      </c>
      <c r="E22" s="43">
        <f t="shared" si="0"/>
        <v>79201.179999999993</v>
      </c>
      <c r="F22" s="43">
        <f t="shared" si="0"/>
        <v>3094.66</v>
      </c>
      <c r="G22" s="43">
        <f t="shared" si="0"/>
        <v>202646.22</v>
      </c>
      <c r="H22" s="100">
        <f t="shared" si="0"/>
        <v>58790.33</v>
      </c>
      <c r="I22" s="45"/>
      <c r="J22" s="97"/>
      <c r="K22" s="97"/>
      <c r="L22" s="97"/>
      <c r="M22" s="97"/>
      <c r="N22" s="97"/>
      <c r="O22" s="97"/>
      <c r="P22" s="97"/>
    </row>
    <row r="23" spans="1:16" ht="13.5" customHeight="1">
      <c r="A23" s="205" t="s">
        <v>264</v>
      </c>
      <c r="B23" s="43">
        <v>274874.90999999997</v>
      </c>
      <c r="C23" s="43">
        <v>147861.43</v>
      </c>
      <c r="D23" s="43">
        <v>122932.27</v>
      </c>
      <c r="E23" s="43">
        <v>89501.66</v>
      </c>
      <c r="F23" s="43">
        <v>4081.22</v>
      </c>
      <c r="G23" s="43">
        <v>214701.43</v>
      </c>
      <c r="H23" s="100">
        <v>60173.49</v>
      </c>
      <c r="I23" s="45"/>
      <c r="J23" s="97"/>
      <c r="K23" s="97"/>
      <c r="L23" s="97"/>
      <c r="M23" s="97"/>
      <c r="N23" s="97"/>
      <c r="O23" s="97"/>
      <c r="P23" s="97"/>
    </row>
    <row r="24" spans="1:16" ht="13.5" customHeight="1">
      <c r="A24" s="60"/>
      <c r="B24" s="43"/>
      <c r="C24" s="43"/>
      <c r="D24" s="43"/>
      <c r="E24" s="43"/>
      <c r="F24" s="43"/>
      <c r="G24" s="43"/>
      <c r="H24" s="100"/>
      <c r="I24" s="45"/>
    </row>
    <row r="25" spans="1:16" ht="13.5" customHeight="1">
      <c r="A25" s="60">
        <v>2019.1</v>
      </c>
      <c r="B25" s="43">
        <v>193238.64</v>
      </c>
      <c r="C25" s="43">
        <v>97628.38</v>
      </c>
      <c r="D25" s="43">
        <v>93031.89</v>
      </c>
      <c r="E25" s="43">
        <v>51777.27</v>
      </c>
      <c r="F25" s="43">
        <v>2578.38</v>
      </c>
      <c r="G25" s="43">
        <v>152789.99</v>
      </c>
      <c r="H25" s="100">
        <v>40448.65</v>
      </c>
      <c r="I25" s="45"/>
    </row>
    <row r="26" spans="1:16" ht="13.5" customHeight="1">
      <c r="A26" s="60">
        <v>2</v>
      </c>
      <c r="B26" s="43">
        <v>194285.15</v>
      </c>
      <c r="C26" s="43">
        <v>98347.48</v>
      </c>
      <c r="D26" s="43">
        <v>93329.39</v>
      </c>
      <c r="E26" s="43">
        <v>52027.34</v>
      </c>
      <c r="F26" s="43">
        <v>2608.25</v>
      </c>
      <c r="G26" s="43">
        <v>153861.1</v>
      </c>
      <c r="H26" s="100">
        <v>40424.04</v>
      </c>
      <c r="I26" s="45"/>
    </row>
    <row r="27" spans="1:16" ht="13.5" customHeight="1">
      <c r="A27" s="60">
        <v>3</v>
      </c>
      <c r="B27" s="43">
        <v>195607.67</v>
      </c>
      <c r="C27" s="43">
        <v>98801.71</v>
      </c>
      <c r="D27" s="43">
        <v>94232</v>
      </c>
      <c r="E27" s="43">
        <v>52979.44</v>
      </c>
      <c r="F27" s="43">
        <v>2573.9699999999998</v>
      </c>
      <c r="G27" s="43">
        <v>154922.15</v>
      </c>
      <c r="H27" s="100">
        <v>40685.519999999997</v>
      </c>
      <c r="I27" s="45"/>
    </row>
    <row r="28" spans="1:16" ht="13.5" customHeight="1">
      <c r="A28" s="60"/>
      <c r="B28" s="43"/>
      <c r="C28" s="43"/>
      <c r="D28" s="43"/>
      <c r="E28" s="43"/>
      <c r="F28" s="43"/>
      <c r="G28" s="43"/>
      <c r="H28" s="100"/>
      <c r="I28" s="45"/>
    </row>
    <row r="29" spans="1:16" ht="13.5" customHeight="1">
      <c r="A29" s="60">
        <v>4</v>
      </c>
      <c r="B29" s="43">
        <v>197531.81</v>
      </c>
      <c r="C29" s="43">
        <v>99454.24</v>
      </c>
      <c r="D29" s="43">
        <v>95525.49</v>
      </c>
      <c r="E29" s="43">
        <v>54235.92</v>
      </c>
      <c r="F29" s="43">
        <v>2552.04</v>
      </c>
      <c r="G29" s="43">
        <v>156360.42000000001</v>
      </c>
      <c r="H29" s="100">
        <v>41171.360000000001</v>
      </c>
      <c r="I29" s="45"/>
    </row>
    <row r="30" spans="1:16" ht="13.5" customHeight="1">
      <c r="A30" s="60">
        <v>5</v>
      </c>
      <c r="B30" s="43">
        <v>199519.73</v>
      </c>
      <c r="C30" s="43">
        <v>101307.6</v>
      </c>
      <c r="D30" s="43">
        <v>95616.91</v>
      </c>
      <c r="E30" s="43">
        <v>54061.62</v>
      </c>
      <c r="F30" s="43">
        <v>2595.2199999999998</v>
      </c>
      <c r="G30" s="43">
        <v>157931.99</v>
      </c>
      <c r="H30" s="100">
        <v>41587.760000000002</v>
      </c>
      <c r="I30" s="45"/>
    </row>
    <row r="31" spans="1:16" ht="13.5" customHeight="1">
      <c r="A31" s="60">
        <v>6</v>
      </c>
      <c r="B31" s="43">
        <v>200133.56</v>
      </c>
      <c r="C31" s="43">
        <v>101505.67</v>
      </c>
      <c r="D31" s="43">
        <v>96030.91</v>
      </c>
      <c r="E31" s="43">
        <v>54413.94</v>
      </c>
      <c r="F31" s="43">
        <v>2596.98</v>
      </c>
      <c r="G31" s="43">
        <v>158515.17000000001</v>
      </c>
      <c r="H31" s="100">
        <v>41618.400000000001</v>
      </c>
      <c r="I31" s="45"/>
    </row>
    <row r="32" spans="1:16" ht="13.5" customHeight="1">
      <c r="A32" s="60"/>
      <c r="B32" s="43"/>
      <c r="C32" s="43"/>
      <c r="D32" s="43"/>
      <c r="E32" s="43"/>
      <c r="F32" s="43"/>
      <c r="G32" s="43"/>
      <c r="H32" s="100"/>
      <c r="I32" s="45"/>
    </row>
    <row r="33" spans="1:10" ht="13.5" customHeight="1">
      <c r="A33" s="60">
        <v>7</v>
      </c>
      <c r="B33" s="43">
        <v>202348.99</v>
      </c>
      <c r="C33" s="43">
        <v>103183.84</v>
      </c>
      <c r="D33" s="43">
        <v>96561.83</v>
      </c>
      <c r="E33" s="43">
        <v>54817.53</v>
      </c>
      <c r="F33" s="43">
        <v>2603.3200000000002</v>
      </c>
      <c r="G33" s="43">
        <v>160026.13</v>
      </c>
      <c r="H33" s="100">
        <v>42322.87</v>
      </c>
      <c r="I33" s="45"/>
    </row>
    <row r="34" spans="1:10" ht="13.5" customHeight="1">
      <c r="A34" s="60">
        <v>8</v>
      </c>
      <c r="B34" s="43">
        <v>204215.51</v>
      </c>
      <c r="C34" s="43">
        <v>103407.6</v>
      </c>
      <c r="D34" s="43">
        <v>98106.36</v>
      </c>
      <c r="E34" s="43">
        <v>56022.93</v>
      </c>
      <c r="F34" s="43">
        <v>2701.54</v>
      </c>
      <c r="G34" s="43">
        <v>161527.53</v>
      </c>
      <c r="H34" s="100">
        <v>42687.97</v>
      </c>
      <c r="I34" s="45"/>
    </row>
    <row r="35" spans="1:10" ht="13.5" customHeight="1">
      <c r="A35" s="60">
        <v>9</v>
      </c>
      <c r="B35" s="43">
        <v>205384.99</v>
      </c>
      <c r="C35" s="43">
        <v>104337.76</v>
      </c>
      <c r="D35" s="43">
        <v>98401.57</v>
      </c>
      <c r="E35" s="43">
        <v>56426.92</v>
      </c>
      <c r="F35" s="43">
        <v>2645.66</v>
      </c>
      <c r="G35" s="43">
        <v>162440.37</v>
      </c>
      <c r="H35" s="100">
        <v>42944.61</v>
      </c>
      <c r="I35" s="45"/>
      <c r="J35" s="14"/>
    </row>
    <row r="36" spans="1:10" ht="13.5" customHeight="1">
      <c r="A36" s="60"/>
      <c r="B36" s="43"/>
      <c r="C36" s="43"/>
      <c r="D36" s="43"/>
      <c r="E36" s="43"/>
      <c r="F36" s="43"/>
      <c r="G36" s="43"/>
      <c r="H36" s="100"/>
      <c r="I36" s="45"/>
    </row>
    <row r="37" spans="1:10" ht="13.5" customHeight="1">
      <c r="A37" s="60">
        <v>10</v>
      </c>
      <c r="B37" s="43">
        <v>207650.02</v>
      </c>
      <c r="C37" s="43">
        <v>106112.43</v>
      </c>
      <c r="D37" s="43">
        <v>99076.55</v>
      </c>
      <c r="E37" s="43">
        <v>57049.26</v>
      </c>
      <c r="F37" s="43">
        <v>2461.04</v>
      </c>
      <c r="G37" s="43">
        <v>164353.26999999999</v>
      </c>
      <c r="H37" s="100">
        <v>43296.75</v>
      </c>
      <c r="I37" s="45"/>
    </row>
    <row r="38" spans="1:10" ht="13.5" customHeight="1">
      <c r="A38" s="60">
        <v>11</v>
      </c>
      <c r="B38" s="43">
        <v>210487.97</v>
      </c>
      <c r="C38" s="43">
        <v>106893.06</v>
      </c>
      <c r="D38" s="43">
        <v>100998.22</v>
      </c>
      <c r="E38" s="43">
        <v>58170.57</v>
      </c>
      <c r="F38" s="43">
        <v>2596.6799999999998</v>
      </c>
      <c r="G38" s="43">
        <v>166975.82</v>
      </c>
      <c r="H38" s="100">
        <v>43512.13</v>
      </c>
      <c r="I38" s="45"/>
    </row>
    <row r="39" spans="1:10" ht="13.5" customHeight="1">
      <c r="A39" s="60">
        <v>12</v>
      </c>
      <c r="B39" s="43">
        <v>209913.63</v>
      </c>
      <c r="C39" s="43">
        <v>106872.6</v>
      </c>
      <c r="D39" s="43">
        <v>100638.39999999999</v>
      </c>
      <c r="E39" s="43">
        <v>57555.05</v>
      </c>
      <c r="F39" s="43">
        <v>2402.62</v>
      </c>
      <c r="G39" s="43">
        <v>166350.71</v>
      </c>
      <c r="H39" s="100">
        <v>43562.92</v>
      </c>
      <c r="I39" s="45"/>
    </row>
    <row r="40" spans="1:10" ht="13.5" customHeight="1">
      <c r="A40" s="60"/>
      <c r="B40" s="43"/>
      <c r="C40" s="43"/>
      <c r="D40" s="43"/>
      <c r="E40" s="43"/>
      <c r="F40" s="43"/>
      <c r="G40" s="43"/>
      <c r="H40" s="100"/>
      <c r="I40" s="45"/>
    </row>
    <row r="41" spans="1:10" ht="13.5" customHeight="1">
      <c r="A41" s="60">
        <v>2020.1</v>
      </c>
      <c r="B41" s="43">
        <v>209759.37</v>
      </c>
      <c r="C41" s="43">
        <v>106390.83</v>
      </c>
      <c r="D41" s="43">
        <v>100965.55</v>
      </c>
      <c r="E41" s="43">
        <v>58070.04</v>
      </c>
      <c r="F41" s="43">
        <v>2402.98</v>
      </c>
      <c r="G41" s="43">
        <v>166834.78</v>
      </c>
      <c r="H41" s="100">
        <v>42924.56</v>
      </c>
      <c r="I41" s="45"/>
    </row>
    <row r="42" spans="1:10" ht="13.5" customHeight="1">
      <c r="A42" s="60">
        <v>2</v>
      </c>
      <c r="B42" s="43">
        <v>210466.6</v>
      </c>
      <c r="C42" s="43">
        <v>106813.83</v>
      </c>
      <c r="D42" s="43">
        <v>101253.62</v>
      </c>
      <c r="E42" s="43">
        <v>58177.64</v>
      </c>
      <c r="F42" s="43">
        <v>2399.14</v>
      </c>
      <c r="G42" s="43">
        <v>167517.63</v>
      </c>
      <c r="H42" s="100">
        <v>42948.98</v>
      </c>
      <c r="I42" s="45"/>
    </row>
    <row r="43" spans="1:10" ht="13.5" customHeight="1">
      <c r="A43" s="60">
        <v>3</v>
      </c>
      <c r="B43" s="43">
        <v>213028.75</v>
      </c>
      <c r="C43" s="43">
        <v>108716.38</v>
      </c>
      <c r="D43" s="43">
        <v>101981.04</v>
      </c>
      <c r="E43" s="43">
        <v>58811.06</v>
      </c>
      <c r="F43" s="43">
        <v>2331.33</v>
      </c>
      <c r="G43" s="43">
        <v>170143.38</v>
      </c>
      <c r="H43" s="100">
        <v>42885.36</v>
      </c>
      <c r="I43" s="45"/>
    </row>
    <row r="44" spans="1:10" ht="13.5" customHeight="1">
      <c r="A44" s="60"/>
      <c r="B44" s="43"/>
      <c r="C44" s="43"/>
      <c r="D44" s="43"/>
      <c r="E44" s="43"/>
      <c r="F44" s="43"/>
      <c r="G44" s="43"/>
      <c r="H44" s="100"/>
      <c r="I44" s="45"/>
    </row>
    <row r="45" spans="1:10" ht="13.5" customHeight="1">
      <c r="A45" s="60">
        <v>4</v>
      </c>
      <c r="B45" s="43">
        <v>216954.93</v>
      </c>
      <c r="C45" s="43">
        <v>112260.8</v>
      </c>
      <c r="D45" s="43">
        <v>102367.08</v>
      </c>
      <c r="E45" s="43">
        <v>59090.71</v>
      </c>
      <c r="F45" s="43">
        <v>2327.02</v>
      </c>
      <c r="G45" s="43">
        <v>174044.47</v>
      </c>
      <c r="H45" s="100">
        <v>42910.45</v>
      </c>
      <c r="I45" s="45"/>
    </row>
    <row r="46" spans="1:10" ht="13.5" customHeight="1">
      <c r="A46" s="60">
        <v>5</v>
      </c>
      <c r="B46" s="43">
        <v>219717.13</v>
      </c>
      <c r="C46" s="43">
        <v>114950.39</v>
      </c>
      <c r="D46" s="43">
        <v>102451.64</v>
      </c>
      <c r="E46" s="43">
        <v>58989.18</v>
      </c>
      <c r="F46" s="43">
        <v>2315.09</v>
      </c>
      <c r="G46" s="43">
        <v>176717.55</v>
      </c>
      <c r="H46" s="100">
        <v>42999.57</v>
      </c>
      <c r="I46" s="45"/>
    </row>
    <row r="47" spans="1:10" ht="13.5" customHeight="1">
      <c r="A47" s="60">
        <v>6</v>
      </c>
      <c r="B47" s="43">
        <v>219933.48</v>
      </c>
      <c r="C47" s="43">
        <v>114632.82</v>
      </c>
      <c r="D47" s="43">
        <v>103014.2</v>
      </c>
      <c r="E47" s="43">
        <v>59083.66</v>
      </c>
      <c r="F47" s="43">
        <v>2286.46</v>
      </c>
      <c r="G47" s="43">
        <v>177258.62</v>
      </c>
      <c r="H47" s="100">
        <v>42674.86</v>
      </c>
      <c r="I47" s="45"/>
    </row>
    <row r="48" spans="1:10" ht="13.5" customHeight="1">
      <c r="A48" s="60"/>
      <c r="B48" s="43"/>
      <c r="C48" s="43"/>
      <c r="D48" s="43"/>
      <c r="E48" s="43"/>
      <c r="F48" s="43"/>
      <c r="G48" s="43"/>
      <c r="H48" s="100"/>
      <c r="I48" s="45"/>
    </row>
    <row r="49" spans="1:9" ht="13.5" customHeight="1">
      <c r="A49" s="60">
        <v>7</v>
      </c>
      <c r="B49" s="43">
        <v>220039.67999999999</v>
      </c>
      <c r="C49" s="43">
        <v>115028.78</v>
      </c>
      <c r="D49" s="43">
        <v>102689.37</v>
      </c>
      <c r="E49" s="43">
        <v>58595.07</v>
      </c>
      <c r="F49" s="43">
        <v>2321.52</v>
      </c>
      <c r="G49" s="43">
        <v>177186.48</v>
      </c>
      <c r="H49" s="100">
        <v>42853.2</v>
      </c>
      <c r="I49" s="45"/>
    </row>
    <row r="50" spans="1:9" ht="13.5" customHeight="1">
      <c r="A50" s="60">
        <v>8</v>
      </c>
      <c r="B50" s="43">
        <v>221448.36</v>
      </c>
      <c r="C50" s="43">
        <v>116517.12</v>
      </c>
      <c r="D50" s="43">
        <v>102611.96</v>
      </c>
      <c r="E50" s="43">
        <v>57781.62</v>
      </c>
      <c r="F50" s="43">
        <v>2319.29</v>
      </c>
      <c r="G50" s="43">
        <v>178302.29</v>
      </c>
      <c r="H50" s="100">
        <v>43146.06</v>
      </c>
      <c r="I50" s="45"/>
    </row>
    <row r="51" spans="1:9" ht="13.5" customHeight="1">
      <c r="A51" s="60">
        <v>9</v>
      </c>
      <c r="B51" s="43">
        <v>223333.39</v>
      </c>
      <c r="C51" s="43">
        <v>117194.57</v>
      </c>
      <c r="D51" s="43">
        <v>103876.43</v>
      </c>
      <c r="E51" s="43">
        <v>58742.95</v>
      </c>
      <c r="F51" s="43">
        <v>2262.38</v>
      </c>
      <c r="G51" s="43">
        <v>180153.82</v>
      </c>
      <c r="H51" s="100">
        <v>43179.57</v>
      </c>
      <c r="I51" s="45"/>
    </row>
    <row r="52" spans="1:9" ht="13.5" customHeight="1">
      <c r="A52" s="60"/>
      <c r="B52" s="43"/>
      <c r="C52" s="43"/>
      <c r="D52" s="43"/>
      <c r="E52" s="43"/>
      <c r="F52" s="43"/>
      <c r="G52" s="43"/>
      <c r="H52" s="100"/>
      <c r="I52" s="45"/>
    </row>
    <row r="53" spans="1:9" ht="13.5" customHeight="1">
      <c r="A53" s="60">
        <v>10</v>
      </c>
      <c r="B53" s="43">
        <v>226023.9</v>
      </c>
      <c r="C53" s="43">
        <v>118922.35</v>
      </c>
      <c r="D53" s="43">
        <v>104705.45</v>
      </c>
      <c r="E53" s="43">
        <v>59072.94</v>
      </c>
      <c r="F53" s="43">
        <v>2396.1</v>
      </c>
      <c r="G53" s="43">
        <v>182803.12</v>
      </c>
      <c r="H53" s="100">
        <v>43220.78</v>
      </c>
      <c r="I53" s="45"/>
    </row>
    <row r="54" spans="1:9" ht="13.5" customHeight="1">
      <c r="A54" s="60">
        <v>11</v>
      </c>
      <c r="B54" s="43">
        <v>228103.94</v>
      </c>
      <c r="C54" s="43">
        <v>119881.77</v>
      </c>
      <c r="D54" s="43">
        <v>105815.89</v>
      </c>
      <c r="E54" s="43">
        <v>59340.31</v>
      </c>
      <c r="F54" s="43">
        <v>2406.29</v>
      </c>
      <c r="G54" s="43">
        <v>184707.12</v>
      </c>
      <c r="H54" s="100">
        <v>43396.85</v>
      </c>
      <c r="I54" s="45"/>
    </row>
    <row r="55" spans="1:9" ht="13.5" customHeight="1">
      <c r="A55" s="60">
        <v>12</v>
      </c>
      <c r="B55" s="43">
        <v>228314.4</v>
      </c>
      <c r="C55" s="43">
        <v>119804.39</v>
      </c>
      <c r="D55" s="43">
        <v>105954.59</v>
      </c>
      <c r="E55" s="43">
        <v>59412.41</v>
      </c>
      <c r="F55" s="43">
        <v>2555.4299999999998</v>
      </c>
      <c r="G55" s="43">
        <v>184997.96</v>
      </c>
      <c r="H55" s="100">
        <v>43316.42</v>
      </c>
      <c r="I55" s="45"/>
    </row>
    <row r="56" spans="1:9" ht="13.5" customHeight="1">
      <c r="A56" s="60"/>
      <c r="B56" s="43"/>
      <c r="C56" s="43"/>
      <c r="D56" s="43"/>
      <c r="E56" s="43"/>
      <c r="F56" s="43"/>
      <c r="G56" s="43"/>
      <c r="H56" s="100"/>
      <c r="I56" s="45"/>
    </row>
    <row r="57" spans="1:9" ht="13.5" customHeight="1">
      <c r="A57" s="60">
        <v>2021.1</v>
      </c>
      <c r="B57" s="43">
        <v>229583.81</v>
      </c>
      <c r="C57" s="43">
        <v>120834.5</v>
      </c>
      <c r="D57" s="43">
        <v>106391.89</v>
      </c>
      <c r="E57" s="43">
        <v>59549.01</v>
      </c>
      <c r="F57" s="43">
        <v>2357.44</v>
      </c>
      <c r="G57" s="43">
        <v>186067.9</v>
      </c>
      <c r="H57" s="100">
        <v>43515.93</v>
      </c>
      <c r="I57" s="45"/>
    </row>
    <row r="58" spans="1:9" ht="13.5" customHeight="1">
      <c r="A58" s="60">
        <v>2</v>
      </c>
      <c r="B58" s="43">
        <v>231284.7</v>
      </c>
      <c r="C58" s="43">
        <v>121700.27</v>
      </c>
      <c r="D58" s="43">
        <v>107263.39</v>
      </c>
      <c r="E58" s="43">
        <v>60465.54</v>
      </c>
      <c r="F58" s="43">
        <v>2321.04</v>
      </c>
      <c r="G58" s="43">
        <v>187588.2</v>
      </c>
      <c r="H58" s="100">
        <v>43696.480000000003</v>
      </c>
      <c r="I58" s="45"/>
    </row>
    <row r="59" spans="1:9" ht="13.5" customHeight="1">
      <c r="A59" s="60">
        <v>3</v>
      </c>
      <c r="B59" s="43">
        <v>232431.45</v>
      </c>
      <c r="C59" s="43">
        <v>123011.88</v>
      </c>
      <c r="D59" s="43">
        <v>107191.06</v>
      </c>
      <c r="E59" s="43">
        <v>60531.55</v>
      </c>
      <c r="F59" s="43">
        <v>2228.4899999999998</v>
      </c>
      <c r="G59" s="43">
        <v>188506.3</v>
      </c>
      <c r="H59" s="100">
        <v>43925.15</v>
      </c>
      <c r="I59" s="45"/>
    </row>
    <row r="60" spans="1:9" ht="13.5" customHeight="1">
      <c r="A60" s="60"/>
      <c r="B60" s="43"/>
      <c r="C60" s="43"/>
      <c r="D60" s="43"/>
      <c r="E60" s="43"/>
      <c r="F60" s="43"/>
      <c r="G60" s="43"/>
      <c r="H60" s="100"/>
      <c r="I60" s="45"/>
    </row>
    <row r="61" spans="1:9" ht="13.5" customHeight="1">
      <c r="A61" s="60">
        <v>4</v>
      </c>
      <c r="B61" s="43">
        <v>233535.57</v>
      </c>
      <c r="C61" s="43">
        <v>123552.31</v>
      </c>
      <c r="D61" s="43">
        <v>107764.65</v>
      </c>
      <c r="E61" s="43">
        <v>60057.96</v>
      </c>
      <c r="F61" s="43">
        <v>2218.63</v>
      </c>
      <c r="G61" s="43">
        <v>189274.43</v>
      </c>
      <c r="H61" s="100">
        <v>44261.17</v>
      </c>
      <c r="I61" s="45"/>
    </row>
    <row r="62" spans="1:9" ht="13.5" customHeight="1">
      <c r="A62" s="60">
        <v>5</v>
      </c>
      <c r="B62" s="43">
        <v>233204.84</v>
      </c>
      <c r="C62" s="43">
        <v>123908.15</v>
      </c>
      <c r="D62" s="43">
        <v>107078.29</v>
      </c>
      <c r="E62" s="43">
        <v>59682.13</v>
      </c>
      <c r="F62" s="43">
        <v>2218.41</v>
      </c>
      <c r="G62" s="43">
        <v>188369.23</v>
      </c>
      <c r="H62" s="100">
        <v>44835.59</v>
      </c>
      <c r="I62" s="45"/>
    </row>
    <row r="63" spans="1:9" ht="13.5" customHeight="1">
      <c r="A63" s="60">
        <v>6</v>
      </c>
      <c r="B63" s="43">
        <v>233353.21</v>
      </c>
      <c r="C63" s="43">
        <v>123989.45</v>
      </c>
      <c r="D63" s="43">
        <v>107157.9</v>
      </c>
      <c r="E63" s="43">
        <v>59464.56</v>
      </c>
      <c r="F63" s="43">
        <v>2205.88</v>
      </c>
      <c r="G63" s="43">
        <v>187792.61</v>
      </c>
      <c r="H63" s="100">
        <v>45560.63</v>
      </c>
      <c r="I63" s="45"/>
    </row>
    <row r="64" spans="1:9" ht="13.5" customHeight="1">
      <c r="A64" s="60"/>
      <c r="B64" s="43"/>
      <c r="C64" s="43"/>
      <c r="D64" s="43"/>
      <c r="E64" s="43"/>
      <c r="F64" s="43"/>
      <c r="G64" s="43"/>
      <c r="H64" s="100"/>
      <c r="I64" s="45"/>
    </row>
    <row r="65" spans="1:9" ht="13.5" customHeight="1">
      <c r="A65" s="60">
        <v>7</v>
      </c>
      <c r="B65" s="43">
        <v>233875.57</v>
      </c>
      <c r="C65" s="43">
        <v>124973.11</v>
      </c>
      <c r="D65" s="43">
        <v>106641.3</v>
      </c>
      <c r="E65" s="43">
        <v>59602.14</v>
      </c>
      <c r="F65" s="43">
        <v>2261.14</v>
      </c>
      <c r="G65" s="43">
        <v>187766.36</v>
      </c>
      <c r="H65" s="100">
        <v>46109.2</v>
      </c>
      <c r="I65" s="45"/>
    </row>
    <row r="66" spans="1:9" ht="13.5" customHeight="1">
      <c r="A66" s="60">
        <v>8</v>
      </c>
      <c r="B66" s="33">
        <v>234836.19</v>
      </c>
      <c r="C66" s="33">
        <v>125802.72</v>
      </c>
      <c r="D66" s="33">
        <v>106882.26</v>
      </c>
      <c r="E66" s="33">
        <v>59688.14</v>
      </c>
      <c r="F66" s="33">
        <v>2151.25</v>
      </c>
      <c r="G66" s="33">
        <v>188237.52</v>
      </c>
      <c r="H66" s="74">
        <v>46598.69</v>
      </c>
      <c r="I66" s="45"/>
    </row>
    <row r="67" spans="1:9" ht="13.5" customHeight="1">
      <c r="A67" s="60">
        <v>9</v>
      </c>
      <c r="B67" s="33">
        <v>235933.5</v>
      </c>
      <c r="C67" s="33">
        <v>126464.89</v>
      </c>
      <c r="D67" s="33">
        <v>107330.29</v>
      </c>
      <c r="E67" s="33">
        <v>60292.72</v>
      </c>
      <c r="F67" s="33">
        <v>2138.31</v>
      </c>
      <c r="G67" s="33">
        <v>189031.12</v>
      </c>
      <c r="H67" s="74">
        <v>46902.36</v>
      </c>
      <c r="I67" s="45"/>
    </row>
    <row r="68" spans="1:9" ht="13.5" customHeight="1">
      <c r="A68" s="60"/>
      <c r="B68" s="33"/>
      <c r="C68" s="33"/>
      <c r="D68" s="33"/>
      <c r="E68" s="33"/>
      <c r="F68" s="33"/>
      <c r="G68" s="33"/>
      <c r="H68" s="74"/>
      <c r="I68" s="45"/>
    </row>
    <row r="69" spans="1:9" ht="13.5" customHeight="1">
      <c r="A69" s="60">
        <v>10</v>
      </c>
      <c r="B69" s="33">
        <v>236935.18</v>
      </c>
      <c r="C69" s="33">
        <v>127008.46</v>
      </c>
      <c r="D69" s="33">
        <v>107774.48</v>
      </c>
      <c r="E69" s="33">
        <v>60781.89</v>
      </c>
      <c r="F69" s="33">
        <v>2152.2199999999998</v>
      </c>
      <c r="G69" s="33">
        <v>189818.16</v>
      </c>
      <c r="H69" s="74">
        <v>47117.01</v>
      </c>
      <c r="I69" s="45"/>
    </row>
    <row r="70" spans="1:9" ht="13.5" customHeight="1">
      <c r="A70" s="60">
        <v>11</v>
      </c>
      <c r="B70" s="33">
        <v>238419.1</v>
      </c>
      <c r="C70" s="33">
        <v>127784.01</v>
      </c>
      <c r="D70" s="33">
        <v>108389.29</v>
      </c>
      <c r="E70" s="33">
        <v>61405.05</v>
      </c>
      <c r="F70" s="33">
        <v>2245.79</v>
      </c>
      <c r="G70" s="33">
        <v>191000.98</v>
      </c>
      <c r="H70" s="74">
        <v>47418.11</v>
      </c>
      <c r="I70" s="45"/>
    </row>
    <row r="71" spans="1:9" ht="13.5" customHeight="1">
      <c r="A71" s="60">
        <v>12</v>
      </c>
      <c r="B71" s="33">
        <v>238862.84</v>
      </c>
      <c r="C71" s="33">
        <v>127930.55</v>
      </c>
      <c r="D71" s="33">
        <v>108333.78</v>
      </c>
      <c r="E71" s="33">
        <v>61828.61</v>
      </c>
      <c r="F71" s="33">
        <v>2598.52</v>
      </c>
      <c r="G71" s="33">
        <v>190763.17</v>
      </c>
      <c r="H71" s="74">
        <v>48099.69</v>
      </c>
      <c r="I71" s="45"/>
    </row>
    <row r="72" spans="1:9" ht="13.5" customHeight="1">
      <c r="A72" s="60"/>
      <c r="B72" s="33"/>
      <c r="C72" s="33"/>
      <c r="D72" s="33"/>
      <c r="E72" s="33"/>
      <c r="F72" s="33"/>
      <c r="G72" s="33"/>
      <c r="H72" s="74"/>
      <c r="I72" s="45"/>
    </row>
    <row r="73" spans="1:9" ht="13.5" customHeight="1">
      <c r="A73" s="60">
        <v>2022.1</v>
      </c>
      <c r="B73" s="33">
        <v>240479.7</v>
      </c>
      <c r="C73" s="33">
        <v>128490.4</v>
      </c>
      <c r="D73" s="33">
        <v>109354.79</v>
      </c>
      <c r="E73" s="33">
        <v>63569.32</v>
      </c>
      <c r="F73" s="33">
        <v>2634.51</v>
      </c>
      <c r="G73" s="33">
        <v>192190.25</v>
      </c>
      <c r="H73" s="74">
        <v>48289.46</v>
      </c>
      <c r="I73" s="45"/>
    </row>
    <row r="74" spans="1:9" ht="13.5" customHeight="1">
      <c r="A74" s="60">
        <v>2</v>
      </c>
      <c r="B74" s="33">
        <v>239689.16</v>
      </c>
      <c r="C74" s="33">
        <v>128778.66</v>
      </c>
      <c r="D74" s="33">
        <v>108289.04</v>
      </c>
      <c r="E74" s="33">
        <v>63590.18</v>
      </c>
      <c r="F74" s="33">
        <v>2621.45</v>
      </c>
      <c r="G74" s="33">
        <v>191649.94</v>
      </c>
      <c r="H74" s="74">
        <v>48039.19</v>
      </c>
      <c r="I74" s="45"/>
    </row>
    <row r="75" spans="1:9" ht="13.5" customHeight="1">
      <c r="A75" s="60">
        <v>3</v>
      </c>
      <c r="B75" s="33">
        <v>239880.59</v>
      </c>
      <c r="C75" s="33">
        <v>129408.2</v>
      </c>
      <c r="D75" s="33">
        <v>107876.51</v>
      </c>
      <c r="E75" s="33">
        <v>63936.25</v>
      </c>
      <c r="F75" s="33">
        <v>2595.88</v>
      </c>
      <c r="G75" s="33">
        <v>191742.44</v>
      </c>
      <c r="H75" s="74">
        <v>48138.15</v>
      </c>
      <c r="I75" s="45"/>
    </row>
    <row r="76" spans="1:9" ht="13.5" customHeight="1">
      <c r="A76" s="60"/>
      <c r="B76" s="33"/>
      <c r="C76" s="33"/>
      <c r="D76" s="33"/>
      <c r="E76" s="33"/>
      <c r="F76" s="33"/>
      <c r="G76" s="33"/>
      <c r="H76" s="74"/>
      <c r="I76" s="45"/>
    </row>
    <row r="77" spans="1:9" ht="13.5" customHeight="1">
      <c r="A77" s="60">
        <v>4</v>
      </c>
      <c r="B77" s="33">
        <v>240857.64</v>
      </c>
      <c r="C77" s="33">
        <v>130304.19</v>
      </c>
      <c r="D77" s="33">
        <v>107953.53</v>
      </c>
      <c r="E77" s="33">
        <v>64247.44</v>
      </c>
      <c r="F77" s="33">
        <v>2599.92</v>
      </c>
      <c r="G77" s="33">
        <v>191996.47</v>
      </c>
      <c r="H77" s="74">
        <v>48861.17</v>
      </c>
      <c r="I77" s="45"/>
    </row>
    <row r="78" spans="1:9" ht="13.5" customHeight="1">
      <c r="A78" s="60">
        <v>5</v>
      </c>
      <c r="B78" s="33">
        <v>242441.31</v>
      </c>
      <c r="C78" s="33">
        <v>132079.62</v>
      </c>
      <c r="D78" s="33">
        <v>107733.42</v>
      </c>
      <c r="E78" s="33">
        <v>64102.83</v>
      </c>
      <c r="F78" s="33">
        <v>2628.28</v>
      </c>
      <c r="G78" s="33">
        <v>192565.99</v>
      </c>
      <c r="H78" s="74">
        <v>49875.33</v>
      </c>
      <c r="I78" s="45"/>
    </row>
    <row r="79" spans="1:9" ht="13.5" customHeight="1">
      <c r="A79" s="60">
        <v>6</v>
      </c>
      <c r="B79" s="33">
        <v>241834.49</v>
      </c>
      <c r="C79" s="33">
        <v>131764.4</v>
      </c>
      <c r="D79" s="33">
        <v>107458.92</v>
      </c>
      <c r="E79" s="33">
        <v>64130.29</v>
      </c>
      <c r="F79" s="33">
        <v>2611.15</v>
      </c>
      <c r="G79" s="33">
        <v>191728.46</v>
      </c>
      <c r="H79" s="74">
        <v>50106.03</v>
      </c>
      <c r="I79" s="45"/>
    </row>
    <row r="80" spans="1:9" ht="13.5" customHeight="1">
      <c r="A80" s="60"/>
      <c r="B80" s="33"/>
      <c r="C80" s="33"/>
      <c r="D80" s="33"/>
      <c r="E80" s="33"/>
      <c r="F80" s="33"/>
      <c r="G80" s="33"/>
      <c r="H80" s="74"/>
      <c r="I80" s="45"/>
    </row>
    <row r="81" spans="1:9" ht="13.5" customHeight="1">
      <c r="A81" s="60">
        <v>7</v>
      </c>
      <c r="B81" s="33">
        <v>242446.55</v>
      </c>
      <c r="C81" s="33">
        <v>133023.67000000001</v>
      </c>
      <c r="D81" s="33">
        <v>106808.77</v>
      </c>
      <c r="E81" s="33">
        <v>64040.09</v>
      </c>
      <c r="F81" s="33">
        <v>2614.1</v>
      </c>
      <c r="G81" s="33">
        <v>191772.49</v>
      </c>
      <c r="H81" s="74">
        <v>50674.06</v>
      </c>
      <c r="I81" s="45"/>
    </row>
    <row r="82" spans="1:9" ht="13.5" customHeight="1">
      <c r="A82" s="60">
        <v>8</v>
      </c>
      <c r="B82" s="33">
        <v>243389.75</v>
      </c>
      <c r="C82" s="33">
        <v>133642.41</v>
      </c>
      <c r="D82" s="33">
        <v>107150.67</v>
      </c>
      <c r="E82" s="33">
        <v>64781.95</v>
      </c>
      <c r="F82" s="33">
        <v>2596.6799999999998</v>
      </c>
      <c r="G82" s="33">
        <v>192340.79</v>
      </c>
      <c r="H82" s="74">
        <v>51048.97</v>
      </c>
      <c r="I82" s="45"/>
    </row>
    <row r="83" spans="1:9" ht="13.5" customHeight="1">
      <c r="A83" s="60">
        <v>9</v>
      </c>
      <c r="B83" s="33">
        <v>244300.55</v>
      </c>
      <c r="C83" s="33">
        <v>134992.6</v>
      </c>
      <c r="D83" s="33">
        <v>106769.56</v>
      </c>
      <c r="E83" s="33">
        <v>64882.65</v>
      </c>
      <c r="F83" s="33">
        <v>2538.4</v>
      </c>
      <c r="G83" s="33">
        <v>192863.91</v>
      </c>
      <c r="H83" s="74">
        <v>51436.63</v>
      </c>
      <c r="I83" s="45"/>
    </row>
    <row r="84" spans="1:9" ht="13.5" customHeight="1">
      <c r="A84" s="60"/>
      <c r="B84" s="33"/>
      <c r="C84" s="33"/>
      <c r="D84" s="33"/>
      <c r="E84" s="33"/>
      <c r="F84" s="33"/>
      <c r="G84" s="33"/>
      <c r="H84" s="74"/>
      <c r="I84" s="45"/>
    </row>
    <row r="85" spans="1:9" ht="13.5" customHeight="1">
      <c r="A85" s="60">
        <v>10</v>
      </c>
      <c r="B85" s="33">
        <v>245542.21</v>
      </c>
      <c r="C85" s="33">
        <v>135840.29999999999</v>
      </c>
      <c r="D85" s="33">
        <v>106827.48</v>
      </c>
      <c r="E85" s="33">
        <v>65413.41</v>
      </c>
      <c r="F85" s="33">
        <v>2874.42</v>
      </c>
      <c r="G85" s="33">
        <v>193878.31</v>
      </c>
      <c r="H85" s="74">
        <v>51663.89</v>
      </c>
      <c r="I85" s="45"/>
    </row>
    <row r="86" spans="1:9" ht="13.5" customHeight="1">
      <c r="A86" s="60">
        <v>11</v>
      </c>
      <c r="B86" s="33">
        <v>245524.1</v>
      </c>
      <c r="C86" s="33">
        <v>135481.64000000001</v>
      </c>
      <c r="D86" s="33">
        <v>107139.34</v>
      </c>
      <c r="E86" s="33">
        <v>66242.080000000002</v>
      </c>
      <c r="F86" s="33">
        <v>2903.12</v>
      </c>
      <c r="G86" s="33">
        <v>193766.64</v>
      </c>
      <c r="H86" s="74">
        <v>51757.440000000002</v>
      </c>
      <c r="I86" s="45"/>
    </row>
    <row r="87" spans="1:9" ht="13.5" customHeight="1">
      <c r="A87" s="60">
        <v>12</v>
      </c>
      <c r="B87" s="33">
        <v>245910.74</v>
      </c>
      <c r="C87" s="33">
        <v>135208.21</v>
      </c>
      <c r="D87" s="33">
        <v>107655.52</v>
      </c>
      <c r="E87" s="33">
        <v>67271.839999999997</v>
      </c>
      <c r="F87" s="33">
        <v>3047</v>
      </c>
      <c r="G87" s="33">
        <v>194330.55</v>
      </c>
      <c r="H87" s="74">
        <v>51580.18</v>
      </c>
      <c r="I87" s="45"/>
    </row>
    <row r="88" spans="1:9" ht="13.5" customHeight="1">
      <c r="A88" s="60"/>
      <c r="B88" s="33"/>
      <c r="C88" s="33"/>
      <c r="D88" s="33"/>
      <c r="E88" s="33"/>
      <c r="F88" s="33"/>
      <c r="G88" s="33"/>
      <c r="H88" s="74"/>
      <c r="I88" s="45"/>
    </row>
    <row r="89" spans="1:9" ht="13.5" customHeight="1">
      <c r="A89" s="60">
        <v>2023.1</v>
      </c>
      <c r="B89" s="33">
        <v>246258.09</v>
      </c>
      <c r="C89" s="33">
        <v>135367.46</v>
      </c>
      <c r="D89" s="33">
        <v>107745.57</v>
      </c>
      <c r="E89" s="33">
        <v>68268.19</v>
      </c>
      <c r="F89" s="33">
        <v>3145.08</v>
      </c>
      <c r="G89" s="33">
        <v>194494.01</v>
      </c>
      <c r="H89" s="74">
        <v>51764.07</v>
      </c>
      <c r="I89" s="45"/>
    </row>
    <row r="90" spans="1:9" ht="13.5" customHeight="1">
      <c r="A90" s="60">
        <v>2</v>
      </c>
      <c r="B90" s="33">
        <v>245315.20000000001</v>
      </c>
      <c r="C90" s="33">
        <v>135452.89000000001</v>
      </c>
      <c r="D90" s="33">
        <v>106809.36</v>
      </c>
      <c r="E90" s="33">
        <v>67747.17</v>
      </c>
      <c r="F90" s="33">
        <v>3052.97</v>
      </c>
      <c r="G90" s="33">
        <v>193776.72</v>
      </c>
      <c r="H90" s="74">
        <v>51538.49</v>
      </c>
      <c r="I90" s="45"/>
    </row>
    <row r="91" spans="1:9" ht="13.5" customHeight="1">
      <c r="A91" s="60">
        <v>3</v>
      </c>
      <c r="B91" s="33">
        <v>244335.23</v>
      </c>
      <c r="C91" s="33">
        <v>136103.85999999999</v>
      </c>
      <c r="D91" s="33">
        <v>105208.65</v>
      </c>
      <c r="E91" s="33">
        <v>66925.100000000006</v>
      </c>
      <c r="F91" s="33">
        <v>3022.75</v>
      </c>
      <c r="G91" s="33">
        <v>192493.19</v>
      </c>
      <c r="H91" s="74">
        <v>51842.06</v>
      </c>
      <c r="I91" s="45"/>
    </row>
    <row r="92" spans="1:9" ht="13.5" customHeight="1">
      <c r="A92" s="60"/>
      <c r="B92" s="33"/>
      <c r="C92" s="33"/>
      <c r="D92" s="33"/>
      <c r="E92" s="33"/>
      <c r="F92" s="33"/>
      <c r="G92" s="33"/>
      <c r="H92" s="74"/>
      <c r="I92" s="45"/>
    </row>
    <row r="93" spans="1:9" ht="13.5" customHeight="1">
      <c r="A93" s="60">
        <v>4</v>
      </c>
      <c r="B93" s="33">
        <v>245456.52</v>
      </c>
      <c r="C93" s="33">
        <v>137148.51</v>
      </c>
      <c r="D93" s="33">
        <v>105319.24</v>
      </c>
      <c r="E93" s="33">
        <v>66989.48</v>
      </c>
      <c r="F93" s="33">
        <v>2988.76</v>
      </c>
      <c r="G93" s="33">
        <v>193047.51</v>
      </c>
      <c r="H93" s="74">
        <v>52408.98</v>
      </c>
      <c r="I93" s="45"/>
    </row>
    <row r="94" spans="1:9" ht="13.5" customHeight="1">
      <c r="A94" s="60">
        <v>5</v>
      </c>
      <c r="B94" s="33">
        <v>246430.44</v>
      </c>
      <c r="C94" s="33">
        <v>137637.88</v>
      </c>
      <c r="D94" s="33">
        <v>106000.25</v>
      </c>
      <c r="E94" s="33">
        <v>67646.81</v>
      </c>
      <c r="F94" s="33">
        <v>2792.3</v>
      </c>
      <c r="G94" s="33">
        <v>193522.04</v>
      </c>
      <c r="H94" s="74">
        <v>52908.36</v>
      </c>
      <c r="I94" s="45"/>
    </row>
    <row r="95" spans="1:9" ht="13.5" customHeight="1">
      <c r="A95" s="60">
        <v>6</v>
      </c>
      <c r="B95" s="33">
        <v>246601.55</v>
      </c>
      <c r="C95" s="33">
        <v>137383.01999999999</v>
      </c>
      <c r="D95" s="33">
        <v>106494.03</v>
      </c>
      <c r="E95" s="33">
        <v>68293.94</v>
      </c>
      <c r="F95" s="33">
        <v>2724.51</v>
      </c>
      <c r="G95" s="33">
        <v>193290.25</v>
      </c>
      <c r="H95" s="74">
        <v>53311.34</v>
      </c>
      <c r="I95" s="45"/>
    </row>
    <row r="96" spans="1:9" ht="13.5" customHeight="1">
      <c r="A96" s="60"/>
      <c r="B96" s="33"/>
      <c r="C96" s="33"/>
      <c r="D96" s="33"/>
      <c r="E96" s="33"/>
      <c r="F96" s="33"/>
      <c r="G96" s="33"/>
      <c r="H96" s="74"/>
      <c r="I96" s="45"/>
    </row>
    <row r="97" spans="1:9" ht="13.5" customHeight="1">
      <c r="A97" s="60">
        <v>7</v>
      </c>
      <c r="B97" s="33">
        <v>248976.02</v>
      </c>
      <c r="C97" s="33">
        <v>138340.57999999999</v>
      </c>
      <c r="D97" s="33">
        <v>107941.22</v>
      </c>
      <c r="E97" s="33">
        <v>69985.8</v>
      </c>
      <c r="F97" s="33">
        <v>2694.21</v>
      </c>
      <c r="G97" s="33">
        <v>195251.26</v>
      </c>
      <c r="H97" s="74">
        <v>53724.74</v>
      </c>
      <c r="I97" s="45"/>
    </row>
    <row r="98" spans="1:9" ht="13.5" customHeight="1">
      <c r="A98" s="60">
        <v>8</v>
      </c>
      <c r="B98" s="33">
        <v>250191.9</v>
      </c>
      <c r="C98" s="33">
        <v>139004.85</v>
      </c>
      <c r="D98" s="33">
        <v>108531.43</v>
      </c>
      <c r="E98" s="33">
        <v>70680.98</v>
      </c>
      <c r="F98" s="33">
        <v>2655.62</v>
      </c>
      <c r="G98" s="33">
        <v>196041.73</v>
      </c>
      <c r="H98" s="74">
        <v>54150.16</v>
      </c>
      <c r="I98" s="45"/>
    </row>
    <row r="99" spans="1:9" ht="13.5" customHeight="1">
      <c r="A99" s="60">
        <v>9</v>
      </c>
      <c r="B99" s="33">
        <v>251096.79</v>
      </c>
      <c r="C99" s="33">
        <v>139505.35999999999</v>
      </c>
      <c r="D99" s="33">
        <v>108919.67999999999</v>
      </c>
      <c r="E99" s="33">
        <v>71434.460000000006</v>
      </c>
      <c r="F99" s="33">
        <v>2671.77</v>
      </c>
      <c r="G99" s="33">
        <v>196324.69</v>
      </c>
      <c r="H99" s="74">
        <v>54772.06</v>
      </c>
      <c r="I99" s="45"/>
    </row>
    <row r="100" spans="1:9" ht="13.5" customHeight="1">
      <c r="A100" s="60"/>
      <c r="B100" s="33"/>
      <c r="C100" s="33"/>
      <c r="D100" s="33"/>
      <c r="E100" s="33"/>
      <c r="F100" s="33"/>
      <c r="G100" s="33"/>
      <c r="H100" s="74"/>
      <c r="I100" s="45"/>
    </row>
    <row r="101" spans="1:9" ht="13.5" customHeight="1">
      <c r="A101" s="60">
        <v>10</v>
      </c>
      <c r="B101" s="33">
        <v>252416.76</v>
      </c>
      <c r="C101" s="33">
        <v>140029.26999999999</v>
      </c>
      <c r="D101" s="33">
        <v>109694.45</v>
      </c>
      <c r="E101" s="33">
        <v>72200.75</v>
      </c>
      <c r="F101" s="33">
        <v>2693.02</v>
      </c>
      <c r="G101" s="33">
        <v>197667.8</v>
      </c>
      <c r="H101" s="74">
        <v>54748.95</v>
      </c>
      <c r="I101" s="45"/>
    </row>
    <row r="102" spans="1:9" ht="13.5" customHeight="1">
      <c r="A102" s="60">
        <v>11</v>
      </c>
      <c r="B102" s="33">
        <v>252550.98</v>
      </c>
      <c r="C102" s="33">
        <v>140201.82999999999</v>
      </c>
      <c r="D102" s="33">
        <v>109523.26</v>
      </c>
      <c r="E102" s="33">
        <v>72261.039999999994</v>
      </c>
      <c r="F102" s="33">
        <v>2825.88</v>
      </c>
      <c r="G102" s="33">
        <v>197523.87</v>
      </c>
      <c r="H102" s="74">
        <v>55027.1</v>
      </c>
      <c r="I102" s="45"/>
    </row>
    <row r="103" spans="1:9" ht="13.5" customHeight="1">
      <c r="A103" s="60">
        <v>12</v>
      </c>
      <c r="B103" s="33">
        <v>252982.92</v>
      </c>
      <c r="C103" s="33">
        <v>140139</v>
      </c>
      <c r="D103" s="33">
        <v>109939.24</v>
      </c>
      <c r="E103" s="33">
        <v>72883.210000000006</v>
      </c>
      <c r="F103" s="33">
        <v>2904.66</v>
      </c>
      <c r="G103" s="33">
        <v>198127.81</v>
      </c>
      <c r="H103" s="74">
        <v>54855.08</v>
      </c>
      <c r="I103" s="45"/>
    </row>
    <row r="104" spans="1:9" ht="13.5" customHeight="1">
      <c r="A104" s="60"/>
      <c r="B104" s="33"/>
      <c r="C104" s="33"/>
      <c r="D104" s="33"/>
      <c r="E104" s="33"/>
      <c r="F104" s="33"/>
      <c r="G104" s="33"/>
      <c r="H104" s="74"/>
      <c r="I104" s="45"/>
    </row>
    <row r="105" spans="1:9" ht="13.5" customHeight="1">
      <c r="A105" s="60">
        <v>2024.1</v>
      </c>
      <c r="B105" s="33">
        <v>253095.84</v>
      </c>
      <c r="C105" s="33">
        <v>139074.79999999999</v>
      </c>
      <c r="D105" s="33">
        <v>110933.82</v>
      </c>
      <c r="E105" s="33">
        <v>74326.460000000006</v>
      </c>
      <c r="F105" s="33">
        <v>3087.23</v>
      </c>
      <c r="G105" s="33">
        <v>198413.07</v>
      </c>
      <c r="H105" s="74">
        <v>54682.8</v>
      </c>
      <c r="I105" s="45"/>
    </row>
    <row r="106" spans="1:9" ht="13.5" customHeight="1">
      <c r="A106" s="60">
        <v>2</v>
      </c>
      <c r="B106" s="33">
        <v>253044.28</v>
      </c>
      <c r="C106" s="33">
        <v>139237.07999999999</v>
      </c>
      <c r="D106" s="33">
        <v>110631.76</v>
      </c>
      <c r="E106" s="33">
        <v>74521.429999999993</v>
      </c>
      <c r="F106" s="33">
        <v>3175.42</v>
      </c>
      <c r="G106" s="33">
        <v>198358.46</v>
      </c>
      <c r="H106" s="74">
        <v>54685.82</v>
      </c>
      <c r="I106" s="45"/>
    </row>
    <row r="107" spans="1:9" ht="13.5" customHeight="1">
      <c r="A107" s="60">
        <v>3</v>
      </c>
      <c r="B107" s="33">
        <v>252446.75</v>
      </c>
      <c r="C107" s="33">
        <v>139664.21</v>
      </c>
      <c r="D107" s="33">
        <v>109573.86</v>
      </c>
      <c r="E107" s="33">
        <v>73967.73</v>
      </c>
      <c r="F107" s="33">
        <v>3208.68</v>
      </c>
      <c r="G107" s="33">
        <v>197556.97</v>
      </c>
      <c r="H107" s="74">
        <v>54889.81</v>
      </c>
      <c r="I107" s="45"/>
    </row>
    <row r="108" spans="1:9" ht="13.5" customHeight="1">
      <c r="A108" s="60"/>
      <c r="B108" s="33"/>
      <c r="C108" s="33"/>
      <c r="D108" s="33"/>
      <c r="E108" s="33"/>
      <c r="F108" s="33"/>
      <c r="G108" s="33"/>
      <c r="H108" s="74"/>
      <c r="I108" s="45"/>
    </row>
    <row r="109" spans="1:9" ht="13.5" customHeight="1">
      <c r="A109" s="60">
        <v>4</v>
      </c>
      <c r="B109" s="33">
        <v>253386.75</v>
      </c>
      <c r="C109" s="33">
        <v>140217.87</v>
      </c>
      <c r="D109" s="33">
        <v>109902.2</v>
      </c>
      <c r="E109" s="33">
        <v>74178.38</v>
      </c>
      <c r="F109" s="33">
        <v>3266.7</v>
      </c>
      <c r="G109" s="33">
        <v>198183.45</v>
      </c>
      <c r="H109" s="74">
        <v>55203.32</v>
      </c>
      <c r="I109" s="45"/>
    </row>
    <row r="110" spans="1:9" ht="13.5" customHeight="1">
      <c r="A110" s="60">
        <v>5</v>
      </c>
      <c r="B110" s="33">
        <v>255324.58</v>
      </c>
      <c r="C110" s="33">
        <v>140966.29</v>
      </c>
      <c r="D110" s="33">
        <v>111102.86</v>
      </c>
      <c r="E110" s="33">
        <v>75342.19</v>
      </c>
      <c r="F110" s="33">
        <v>3255.44</v>
      </c>
      <c r="G110" s="33">
        <v>199246.43</v>
      </c>
      <c r="H110" s="74">
        <v>56078.19</v>
      </c>
      <c r="I110" s="45"/>
    </row>
    <row r="111" spans="1:9" ht="13.5" customHeight="1">
      <c r="A111" s="60">
        <v>6</v>
      </c>
      <c r="B111" s="33">
        <v>255281.66</v>
      </c>
      <c r="C111" s="33">
        <v>139965.04</v>
      </c>
      <c r="D111" s="33">
        <v>112082.37</v>
      </c>
      <c r="E111" s="33">
        <v>76363.070000000007</v>
      </c>
      <c r="F111" s="33">
        <v>3234.27</v>
      </c>
      <c r="G111" s="33">
        <v>198905.69</v>
      </c>
      <c r="H111" s="74">
        <v>56376</v>
      </c>
      <c r="I111" s="45"/>
    </row>
    <row r="112" spans="1:9" ht="13.5" customHeight="1">
      <c r="A112" s="60"/>
      <c r="B112" s="33"/>
      <c r="C112" s="33"/>
      <c r="D112" s="33"/>
      <c r="E112" s="33"/>
      <c r="F112" s="33"/>
      <c r="G112" s="33"/>
      <c r="H112" s="74"/>
      <c r="I112" s="45"/>
    </row>
    <row r="113" spans="1:9" ht="13.5" customHeight="1">
      <c r="A113" s="60">
        <v>7</v>
      </c>
      <c r="B113" s="33">
        <v>258189.66</v>
      </c>
      <c r="C113" s="33">
        <v>141533.57999999999</v>
      </c>
      <c r="D113" s="33">
        <v>113413</v>
      </c>
      <c r="E113" s="33">
        <v>77978.289999999994</v>
      </c>
      <c r="F113" s="33">
        <v>3243.08</v>
      </c>
      <c r="G113" s="33">
        <v>201053.36</v>
      </c>
      <c r="H113" s="74">
        <v>57136.3</v>
      </c>
      <c r="I113" s="45"/>
    </row>
    <row r="114" spans="1:9" ht="13.5" customHeight="1">
      <c r="A114" s="60">
        <v>8</v>
      </c>
      <c r="B114" s="33">
        <v>258987.82</v>
      </c>
      <c r="C114" s="33">
        <v>141525.07</v>
      </c>
      <c r="D114" s="33">
        <v>114281.17</v>
      </c>
      <c r="E114" s="33">
        <v>78740.87</v>
      </c>
      <c r="F114" s="33">
        <v>3181.61</v>
      </c>
      <c r="G114" s="33">
        <v>201430.31</v>
      </c>
      <c r="H114" s="74">
        <v>57557.53</v>
      </c>
      <c r="I114" s="45"/>
    </row>
    <row r="115" spans="1:9" ht="13.5" customHeight="1">
      <c r="A115" s="60">
        <v>9</v>
      </c>
      <c r="B115" s="33">
        <v>259776.98</v>
      </c>
      <c r="C115" s="33">
        <v>142162.54999999999</v>
      </c>
      <c r="D115" s="33">
        <v>114405.17</v>
      </c>
      <c r="E115" s="33">
        <v>79093.25</v>
      </c>
      <c r="F115" s="33">
        <v>3209.29</v>
      </c>
      <c r="G115" s="33">
        <v>201418.32</v>
      </c>
      <c r="H115" s="74">
        <v>58358.7</v>
      </c>
      <c r="I115" s="45"/>
    </row>
    <row r="116" spans="1:9" ht="13.5" customHeight="1">
      <c r="A116" s="60"/>
      <c r="B116" s="33"/>
      <c r="C116" s="33"/>
      <c r="D116" s="33"/>
      <c r="E116" s="33"/>
      <c r="F116" s="33"/>
      <c r="G116" s="33"/>
      <c r="H116" s="74"/>
      <c r="I116" s="45"/>
    </row>
    <row r="117" spans="1:9" ht="13.5" customHeight="1">
      <c r="A117" s="60">
        <v>10</v>
      </c>
      <c r="B117" s="33">
        <v>261674.3</v>
      </c>
      <c r="C117" s="33">
        <v>143563.10999999999</v>
      </c>
      <c r="D117" s="33">
        <v>114956.4</v>
      </c>
      <c r="E117" s="33">
        <v>79635.61</v>
      </c>
      <c r="F117" s="33">
        <v>3154.78</v>
      </c>
      <c r="G117" s="33">
        <v>202967.95</v>
      </c>
      <c r="H117" s="74">
        <v>58706.34</v>
      </c>
      <c r="I117" s="45"/>
    </row>
    <row r="118" spans="1:9" ht="13.5" customHeight="1">
      <c r="A118" s="60">
        <v>11</v>
      </c>
      <c r="B118" s="33">
        <v>261413.15</v>
      </c>
      <c r="C118" s="33">
        <v>143429.18</v>
      </c>
      <c r="D118" s="33">
        <v>114409.89</v>
      </c>
      <c r="E118" s="33">
        <v>79097.02</v>
      </c>
      <c r="F118" s="33">
        <v>3574.11</v>
      </c>
      <c r="G118" s="33">
        <v>202651.01</v>
      </c>
      <c r="H118" s="74">
        <v>58762.15</v>
      </c>
      <c r="I118" s="45"/>
    </row>
    <row r="119" spans="1:9" ht="13.5" customHeight="1">
      <c r="A119" s="60">
        <v>12</v>
      </c>
      <c r="B119" s="33">
        <v>261436.54</v>
      </c>
      <c r="C119" s="33">
        <v>143924.1</v>
      </c>
      <c r="D119" s="33">
        <v>114417.77</v>
      </c>
      <c r="E119" s="33">
        <v>79201.179999999993</v>
      </c>
      <c r="F119" s="33">
        <v>3094.66</v>
      </c>
      <c r="G119" s="33">
        <v>202646.22</v>
      </c>
      <c r="H119" s="74">
        <v>58790.33</v>
      </c>
      <c r="I119" s="45"/>
    </row>
    <row r="120" spans="1:9" ht="13.5" customHeight="1">
      <c r="A120" s="60"/>
      <c r="B120" s="33"/>
      <c r="C120" s="33"/>
      <c r="D120" s="33"/>
      <c r="E120" s="33"/>
      <c r="F120" s="33"/>
      <c r="G120" s="33"/>
      <c r="H120" s="74"/>
      <c r="I120" s="45"/>
    </row>
    <row r="121" spans="1:9" ht="13.5" customHeight="1">
      <c r="A121" s="60">
        <v>2025.1</v>
      </c>
      <c r="B121" s="33">
        <v>261937.66</v>
      </c>
      <c r="C121" s="33">
        <v>143832.54</v>
      </c>
      <c r="D121" s="33">
        <v>114951.47</v>
      </c>
      <c r="E121" s="33">
        <v>80368.33</v>
      </c>
      <c r="F121" s="33">
        <v>3153.68</v>
      </c>
      <c r="G121" s="33">
        <v>203231.9</v>
      </c>
      <c r="H121" s="74">
        <v>58705.77</v>
      </c>
      <c r="I121" s="45"/>
    </row>
    <row r="122" spans="1:9" ht="13.5" customHeight="1">
      <c r="A122" s="60">
        <v>2</v>
      </c>
      <c r="B122" s="33">
        <v>263759.58</v>
      </c>
      <c r="C122" s="33">
        <v>144586.60999999999</v>
      </c>
      <c r="D122" s="33">
        <v>115950.44</v>
      </c>
      <c r="E122" s="33">
        <v>81390.13</v>
      </c>
      <c r="F122" s="33">
        <v>3222.53</v>
      </c>
      <c r="G122" s="33">
        <v>204992.25</v>
      </c>
      <c r="H122" s="74">
        <v>58767.34</v>
      </c>
      <c r="I122" s="45"/>
    </row>
    <row r="123" spans="1:9" ht="13.5" customHeight="1">
      <c r="A123" s="60">
        <v>3</v>
      </c>
      <c r="B123" s="33">
        <v>265014.74</v>
      </c>
      <c r="C123" s="33">
        <v>144946.38</v>
      </c>
      <c r="D123" s="33">
        <v>116929.79</v>
      </c>
      <c r="E123" s="33">
        <v>82764.259999999995</v>
      </c>
      <c r="F123" s="33">
        <v>3138.56</v>
      </c>
      <c r="G123" s="33">
        <v>206180.83</v>
      </c>
      <c r="H123" s="74">
        <v>58833.93</v>
      </c>
      <c r="I123" s="45"/>
    </row>
    <row r="124" spans="1:9" ht="13.5" customHeight="1">
      <c r="A124" s="60"/>
      <c r="B124" s="33"/>
      <c r="C124" s="33"/>
      <c r="D124" s="33"/>
      <c r="E124" s="33"/>
      <c r="F124" s="33"/>
      <c r="G124" s="33"/>
      <c r="H124" s="74"/>
      <c r="I124" s="45"/>
    </row>
    <row r="125" spans="1:9" ht="13.5" customHeight="1">
      <c r="A125" s="60">
        <v>4</v>
      </c>
      <c r="B125" s="33">
        <v>266736.59999999998</v>
      </c>
      <c r="C125" s="33">
        <v>146312.79</v>
      </c>
      <c r="D125" s="33">
        <v>117760.13</v>
      </c>
      <c r="E125" s="33">
        <v>83648.710000000006</v>
      </c>
      <c r="F125" s="33">
        <v>2663.68</v>
      </c>
      <c r="G125" s="33">
        <v>207630.33</v>
      </c>
      <c r="H125" s="74">
        <v>59106.29</v>
      </c>
      <c r="I125" s="45"/>
    </row>
    <row r="126" spans="1:9" ht="13.5" customHeight="1">
      <c r="A126" s="60">
        <v>5</v>
      </c>
      <c r="B126" s="33">
        <v>268098.43</v>
      </c>
      <c r="C126" s="33">
        <v>147483.15</v>
      </c>
      <c r="D126" s="33">
        <v>117991.49</v>
      </c>
      <c r="E126" s="33">
        <v>83863.77</v>
      </c>
      <c r="F126" s="33">
        <v>2623.8</v>
      </c>
      <c r="G126" s="33">
        <v>208841.17</v>
      </c>
      <c r="H126" s="74">
        <v>59257.26</v>
      </c>
      <c r="I126" s="45"/>
    </row>
    <row r="127" spans="1:9" ht="13.5" customHeight="1">
      <c r="A127" s="60">
        <v>6</v>
      </c>
      <c r="B127" s="33">
        <v>268338.56</v>
      </c>
      <c r="C127" s="33">
        <v>146501.24</v>
      </c>
      <c r="D127" s="33">
        <v>119193.91</v>
      </c>
      <c r="E127" s="33">
        <v>85032.98</v>
      </c>
      <c r="F127" s="33">
        <v>2643.4</v>
      </c>
      <c r="G127" s="33">
        <v>209306.82</v>
      </c>
      <c r="H127" s="74">
        <v>59031.73</v>
      </c>
      <c r="I127" s="45"/>
    </row>
    <row r="128" spans="1:9" ht="13.5" customHeight="1">
      <c r="A128" s="60"/>
      <c r="B128" s="33"/>
      <c r="C128" s="33"/>
      <c r="D128" s="33"/>
      <c r="E128" s="33"/>
      <c r="F128" s="33"/>
      <c r="G128" s="33"/>
      <c r="H128" s="74"/>
      <c r="I128" s="45"/>
    </row>
    <row r="129" spans="1:9" ht="13.5" customHeight="1">
      <c r="A129" s="60">
        <v>7</v>
      </c>
      <c r="B129" s="33">
        <v>269044.84000000003</v>
      </c>
      <c r="C129" s="33">
        <v>147076.04999999999</v>
      </c>
      <c r="D129" s="33">
        <v>119310.82</v>
      </c>
      <c r="E129" s="33">
        <v>85478.7</v>
      </c>
      <c r="F129" s="33">
        <v>2657.98</v>
      </c>
      <c r="G129" s="33">
        <v>209853.96</v>
      </c>
      <c r="H129" s="74">
        <v>59190.879999999997</v>
      </c>
      <c r="I129" s="45"/>
    </row>
    <row r="130" spans="1:9" ht="13.5" customHeight="1">
      <c r="A130" s="60">
        <v>8</v>
      </c>
      <c r="B130" s="33">
        <v>269592.46999999997</v>
      </c>
      <c r="C130" s="33">
        <v>147078.63</v>
      </c>
      <c r="D130" s="33">
        <v>119825.02</v>
      </c>
      <c r="E130" s="33">
        <v>86115.42</v>
      </c>
      <c r="F130" s="33">
        <v>2688.82</v>
      </c>
      <c r="G130" s="33">
        <v>210140.4</v>
      </c>
      <c r="H130" s="74">
        <v>59452.05</v>
      </c>
      <c r="I130" s="45"/>
    </row>
    <row r="131" spans="1:9" ht="13.5" customHeight="1">
      <c r="A131" s="60">
        <v>9</v>
      </c>
      <c r="B131" s="33">
        <v>269058.27</v>
      </c>
      <c r="C131" s="33">
        <v>147067.60999999999</v>
      </c>
      <c r="D131" s="33">
        <v>119313.81</v>
      </c>
      <c r="E131" s="33">
        <v>85876.86</v>
      </c>
      <c r="F131" s="33">
        <v>2676.81</v>
      </c>
      <c r="G131" s="33">
        <v>209169.11</v>
      </c>
      <c r="H131" s="74">
        <v>59889.11</v>
      </c>
      <c r="I131" s="45"/>
    </row>
    <row r="132" spans="1:9" ht="13.5" customHeight="1">
      <c r="A132" s="60"/>
      <c r="B132" s="33"/>
      <c r="C132" s="33"/>
      <c r="D132" s="33"/>
      <c r="E132" s="33"/>
      <c r="F132" s="33"/>
      <c r="G132" s="33"/>
      <c r="H132" s="74"/>
      <c r="I132" s="45"/>
    </row>
    <row r="133" spans="1:9" ht="13.5" customHeight="1">
      <c r="A133" s="60">
        <v>10</v>
      </c>
      <c r="B133" s="33">
        <v>271251.36</v>
      </c>
      <c r="C133" s="33">
        <v>147752.38</v>
      </c>
      <c r="D133" s="33">
        <v>120737.83</v>
      </c>
      <c r="E133" s="33">
        <v>87240.35</v>
      </c>
      <c r="F133" s="33">
        <v>2761.16</v>
      </c>
      <c r="G133" s="33">
        <v>211213.99</v>
      </c>
      <c r="H133" s="74">
        <v>60037.39</v>
      </c>
      <c r="I133" s="45"/>
    </row>
    <row r="134" spans="1:9" ht="13.5" customHeight="1">
      <c r="A134" s="60" t="s">
        <v>212</v>
      </c>
      <c r="B134" s="33">
        <v>272721.91999999998</v>
      </c>
      <c r="C134" s="33">
        <v>147812.46</v>
      </c>
      <c r="D134" s="33">
        <v>121509.82</v>
      </c>
      <c r="E134" s="33">
        <v>87940.04</v>
      </c>
      <c r="F134" s="33">
        <v>3399.64</v>
      </c>
      <c r="G134" s="33">
        <v>212629.88</v>
      </c>
      <c r="H134" s="74">
        <v>60092.04</v>
      </c>
      <c r="I134" s="143"/>
    </row>
    <row r="135" spans="1:9" ht="13.5" customHeight="1">
      <c r="A135" s="194" t="s">
        <v>213</v>
      </c>
      <c r="B135" s="203">
        <v>274874.90999999997</v>
      </c>
      <c r="C135" s="203">
        <v>147861.43</v>
      </c>
      <c r="D135" s="203">
        <v>122932.27</v>
      </c>
      <c r="E135" s="203">
        <v>89501.66</v>
      </c>
      <c r="F135" s="203">
        <v>4081.22</v>
      </c>
      <c r="G135" s="203">
        <v>214701.43</v>
      </c>
      <c r="H135" s="204">
        <v>60173.49</v>
      </c>
      <c r="I135" s="45"/>
    </row>
    <row r="136" spans="1:9" ht="13.5" customHeight="1">
      <c r="A136" s="60"/>
      <c r="B136" s="33"/>
      <c r="C136" s="33"/>
      <c r="D136" s="33"/>
      <c r="E136" s="33"/>
      <c r="F136" s="33"/>
      <c r="G136" s="33"/>
      <c r="H136" s="74"/>
      <c r="I136" s="13"/>
    </row>
    <row r="137" spans="1:9" ht="13.5" customHeight="1">
      <c r="A137" s="194" t="s">
        <v>266</v>
      </c>
      <c r="B137" s="203">
        <v>274512.5</v>
      </c>
      <c r="C137" s="203">
        <v>147939.72</v>
      </c>
      <c r="D137" s="203">
        <v>122754.5</v>
      </c>
      <c r="E137" s="203">
        <v>89621.24</v>
      </c>
      <c r="F137" s="203">
        <v>3818.29</v>
      </c>
      <c r="G137" s="203">
        <v>214320.97</v>
      </c>
      <c r="H137" s="204">
        <v>60191.54</v>
      </c>
      <c r="I137" s="13"/>
    </row>
    <row r="138" spans="1:9">
      <c r="A138" s="194" t="s">
        <v>215</v>
      </c>
      <c r="B138" s="203">
        <v>275015.94</v>
      </c>
      <c r="C138" s="203">
        <v>148390.49</v>
      </c>
      <c r="D138" s="203">
        <v>123097.51</v>
      </c>
      <c r="E138" s="203">
        <v>90176.14</v>
      </c>
      <c r="F138" s="203">
        <v>3527.94</v>
      </c>
      <c r="G138" s="203">
        <v>214892.75</v>
      </c>
      <c r="H138" s="204">
        <v>60123.15</v>
      </c>
    </row>
    <row r="139" spans="1:9">
      <c r="A139" s="195" t="s">
        <v>265</v>
      </c>
      <c r="B139" s="198">
        <v>275282.55</v>
      </c>
      <c r="C139" s="198">
        <v>148034.12</v>
      </c>
      <c r="D139" s="198">
        <v>123726.69</v>
      </c>
      <c r="E139" s="198">
        <v>90975.360000000001</v>
      </c>
      <c r="F139" s="198">
        <v>3521.74</v>
      </c>
      <c r="G139" s="198">
        <v>215345.59</v>
      </c>
      <c r="H139" s="200">
        <v>59937</v>
      </c>
    </row>
    <row r="140" spans="1:9">
      <c r="A140" s="52" t="s">
        <v>161</v>
      </c>
      <c r="B140" s="45"/>
      <c r="C140" s="45"/>
      <c r="D140" s="45"/>
      <c r="E140" s="45"/>
      <c r="F140" s="45"/>
      <c r="G140" s="45"/>
      <c r="H140" s="45"/>
    </row>
    <row r="142" spans="1:9">
      <c r="I142" s="14"/>
    </row>
  </sheetData>
  <mergeCells count="9">
    <mergeCell ref="G5:H5"/>
    <mergeCell ref="H6:H7"/>
    <mergeCell ref="A5:A7"/>
    <mergeCell ref="B5:B7"/>
    <mergeCell ref="C6:C7"/>
    <mergeCell ref="D6:D7"/>
    <mergeCell ref="F6:F7"/>
    <mergeCell ref="G6:G7"/>
    <mergeCell ref="C5:F5"/>
  </mergeCells>
  <phoneticPr fontId="9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4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I142"/>
  <sheetViews>
    <sheetView zoomScale="85" zoomScaleNormal="85" zoomScaleSheetLayoutView="85" workbookViewId="0">
      <pane xSplit="1" ySplit="7" topLeftCell="B122" activePane="bottomRight" state="frozen"/>
      <selection activeCell="E91" sqref="E91"/>
      <selection pane="topRight" activeCell="E91" sqref="E91"/>
      <selection pane="bottomLeft" activeCell="E91" sqref="E91"/>
      <selection pane="bottomRight" activeCell="B142" sqref="B142"/>
    </sheetView>
  </sheetViews>
  <sheetFormatPr defaultColWidth="8.88671875" defaultRowHeight="13.5"/>
  <cols>
    <col min="1" max="1" width="10.77734375" style="12" customWidth="1"/>
    <col min="2" max="8" width="11.77734375" style="12" customWidth="1"/>
    <col min="9" max="16384" width="8.88671875" style="12"/>
  </cols>
  <sheetData>
    <row r="1" spans="1:9" s="1" customFormat="1" ht="12">
      <c r="A1" s="53"/>
      <c r="B1" s="53"/>
      <c r="C1" s="53"/>
      <c r="D1" s="53"/>
      <c r="E1" s="53"/>
      <c r="F1" s="53"/>
      <c r="G1" s="53"/>
      <c r="H1" s="48"/>
    </row>
    <row r="2" spans="1:9" s="1" customFormat="1" ht="12">
      <c r="A2" s="53"/>
      <c r="B2" s="54"/>
      <c r="C2" s="54"/>
      <c r="D2" s="54"/>
      <c r="E2" s="54"/>
      <c r="F2" s="54"/>
      <c r="G2" s="54"/>
      <c r="H2" s="48"/>
    </row>
    <row r="3" spans="1:9" s="1" customFormat="1" ht="12">
      <c r="A3" s="52" t="s">
        <v>111</v>
      </c>
      <c r="B3" s="54"/>
      <c r="C3" s="54"/>
      <c r="D3" s="54"/>
      <c r="E3" s="54"/>
      <c r="F3" s="54"/>
      <c r="G3" s="54"/>
      <c r="H3" s="48"/>
    </row>
    <row r="4" spans="1:9" s="1" customFormat="1" ht="12">
      <c r="A4" s="1" t="s">
        <v>98</v>
      </c>
      <c r="B4" s="55"/>
      <c r="C4" s="55"/>
      <c r="D4" s="55"/>
      <c r="E4" s="55"/>
      <c r="F4" s="55"/>
      <c r="G4" s="55"/>
      <c r="H4" s="4" t="s">
        <v>100</v>
      </c>
    </row>
    <row r="5" spans="1:9" ht="19.5" customHeight="1">
      <c r="A5" s="276" t="s">
        <v>1</v>
      </c>
      <c r="B5" s="287" t="s">
        <v>55</v>
      </c>
      <c r="C5" s="271" t="s">
        <v>73</v>
      </c>
      <c r="D5" s="272"/>
      <c r="E5" s="272"/>
      <c r="F5" s="272"/>
      <c r="G5" s="275"/>
      <c r="H5" s="300" t="s">
        <v>74</v>
      </c>
      <c r="I5" s="13"/>
    </row>
    <row r="6" spans="1:9" ht="15.75" customHeight="1">
      <c r="A6" s="282"/>
      <c r="B6" s="283"/>
      <c r="C6" s="288" t="s">
        <v>56</v>
      </c>
      <c r="D6" s="290" t="s">
        <v>69</v>
      </c>
      <c r="E6" s="299" t="s">
        <v>70</v>
      </c>
      <c r="F6" s="301"/>
      <c r="G6" s="302"/>
      <c r="H6" s="286"/>
    </row>
    <row r="7" spans="1:9" ht="23.25" customHeight="1">
      <c r="A7" s="277"/>
      <c r="B7" s="280"/>
      <c r="C7" s="289"/>
      <c r="D7" s="291"/>
      <c r="E7" s="298"/>
      <c r="F7" s="41" t="s">
        <v>71</v>
      </c>
      <c r="G7" s="41" t="s">
        <v>72</v>
      </c>
      <c r="H7" s="285"/>
    </row>
    <row r="8" spans="1:9" s="37" customFormat="1" ht="13.5" customHeight="1">
      <c r="A8" s="67">
        <v>2012</v>
      </c>
      <c r="B8" s="43">
        <v>121442.65</v>
      </c>
      <c r="C8" s="85">
        <v>60306.559999999998</v>
      </c>
      <c r="D8" s="85">
        <v>2706.0299999999988</v>
      </c>
      <c r="E8" s="43">
        <v>57600.53</v>
      </c>
      <c r="F8" s="85">
        <v>39273.9</v>
      </c>
      <c r="G8" s="43">
        <v>18326.64</v>
      </c>
      <c r="H8" s="101">
        <v>47.43023147139823</v>
      </c>
      <c r="I8" s="84"/>
    </row>
    <row r="9" spans="1:9" s="34" customFormat="1" ht="13.5" customHeight="1">
      <c r="A9" s="67">
        <v>2013</v>
      </c>
      <c r="B9" s="43">
        <v>132598.88</v>
      </c>
      <c r="C9" s="85">
        <v>64410.29</v>
      </c>
      <c r="D9" s="85">
        <v>2898.73</v>
      </c>
      <c r="E9" s="43">
        <v>61511.56</v>
      </c>
      <c r="F9" s="85">
        <v>41109.17</v>
      </c>
      <c r="G9" s="43">
        <v>20402.36</v>
      </c>
      <c r="H9" s="101">
        <v>46.389200270771511</v>
      </c>
      <c r="I9" s="30"/>
    </row>
    <row r="10" spans="1:9" s="34" customFormat="1" ht="13.5" customHeight="1">
      <c r="A10" s="67">
        <v>2014</v>
      </c>
      <c r="B10" s="43">
        <v>141847.45000000001</v>
      </c>
      <c r="C10" s="85">
        <v>68683.759999999995</v>
      </c>
      <c r="D10" s="85">
        <v>2830.64</v>
      </c>
      <c r="E10" s="43">
        <v>65853.119999999995</v>
      </c>
      <c r="F10" s="85">
        <v>43937.58</v>
      </c>
      <c r="G10" s="43">
        <v>21915.52</v>
      </c>
      <c r="H10" s="101">
        <v>46.425304589500257</v>
      </c>
      <c r="I10" s="30"/>
    </row>
    <row r="11" spans="1:9" s="34" customFormat="1" ht="13.5" customHeight="1">
      <c r="A11" s="67">
        <v>2015</v>
      </c>
      <c r="B11" s="43">
        <v>154648.95000000001</v>
      </c>
      <c r="C11" s="85">
        <v>74660.36</v>
      </c>
      <c r="D11" s="85">
        <v>2267.59</v>
      </c>
      <c r="E11" s="43">
        <v>72392.77</v>
      </c>
      <c r="F11" s="85">
        <v>48007.34</v>
      </c>
      <c r="G11" s="43">
        <v>24385.26</v>
      </c>
      <c r="H11" s="101">
        <v>46.811023260547856</v>
      </c>
      <c r="I11" s="30"/>
    </row>
    <row r="12" spans="1:9" s="34" customFormat="1" ht="13.5" customHeight="1">
      <c r="A12" s="94"/>
      <c r="B12" s="43"/>
      <c r="C12" s="85"/>
      <c r="D12" s="85"/>
      <c r="E12" s="43"/>
      <c r="F12" s="85"/>
      <c r="G12" s="43"/>
      <c r="H12" s="101"/>
      <c r="I12" s="30"/>
    </row>
    <row r="13" spans="1:9" s="34" customFormat="1" ht="13.5" customHeight="1">
      <c r="A13" s="73" t="s">
        <v>134</v>
      </c>
      <c r="B13" s="43">
        <v>164154.28</v>
      </c>
      <c r="C13" s="85">
        <v>82089.88</v>
      </c>
      <c r="D13" s="85">
        <v>3249.48</v>
      </c>
      <c r="E13" s="43">
        <v>78840.399999999994</v>
      </c>
      <c r="F13" s="85">
        <v>50172.19</v>
      </c>
      <c r="G13" s="43">
        <v>28668.1</v>
      </c>
      <c r="H13" s="101">
        <v>48</v>
      </c>
      <c r="I13" s="30"/>
    </row>
    <row r="14" spans="1:9" s="27" customFormat="1" ht="12.75" customHeight="1">
      <c r="A14" s="73" t="s">
        <v>142</v>
      </c>
      <c r="B14" s="43">
        <v>175875.98</v>
      </c>
      <c r="C14" s="85">
        <v>88126.3</v>
      </c>
      <c r="D14" s="85">
        <v>1836.67</v>
      </c>
      <c r="E14" s="43">
        <v>86289.63</v>
      </c>
      <c r="F14" s="85">
        <v>53277.62</v>
      </c>
      <c r="G14" s="43">
        <v>33012.019999999997</v>
      </c>
      <c r="H14" s="101">
        <v>49.062771391522588</v>
      </c>
      <c r="I14" s="31"/>
    </row>
    <row r="15" spans="1:9" s="27" customFormat="1" ht="12.75" customHeight="1">
      <c r="A15" s="73">
        <v>2018</v>
      </c>
      <c r="B15" s="43">
        <v>192005.38</v>
      </c>
      <c r="C15" s="43">
        <v>96769.36</v>
      </c>
      <c r="D15" s="43">
        <v>1922.96</v>
      </c>
      <c r="E15" s="43">
        <v>94846.399999999994</v>
      </c>
      <c r="F15" s="43">
        <v>56316.82</v>
      </c>
      <c r="G15" s="43">
        <v>38529.550000000003</v>
      </c>
      <c r="H15" s="101">
        <v>49.4</v>
      </c>
      <c r="I15" s="31"/>
    </row>
    <row r="16" spans="1:9" s="27" customFormat="1" ht="12.75" customHeight="1">
      <c r="A16" s="73">
        <v>2019</v>
      </c>
      <c r="B16" s="43">
        <v>209913.63</v>
      </c>
      <c r="C16" s="43">
        <v>106872.6</v>
      </c>
      <c r="D16" s="43">
        <v>2398.4499999999998</v>
      </c>
      <c r="E16" s="43">
        <v>104474.15</v>
      </c>
      <c r="F16" s="43">
        <v>62567</v>
      </c>
      <c r="G16" s="43">
        <v>41907</v>
      </c>
      <c r="H16" s="101">
        <v>49.8</v>
      </c>
      <c r="I16" s="31"/>
    </row>
    <row r="17" spans="1:9" s="27" customFormat="1" ht="12.75" customHeight="1">
      <c r="A17" s="73">
        <v>2020</v>
      </c>
      <c r="B17" s="43">
        <v>228314.4</v>
      </c>
      <c r="C17" s="85">
        <v>119804.39</v>
      </c>
      <c r="D17" s="85">
        <v>3152.79</v>
      </c>
      <c r="E17" s="43">
        <v>116651.6</v>
      </c>
      <c r="F17" s="85">
        <v>74738.960000000006</v>
      </c>
      <c r="G17" s="43">
        <v>41912.660000000003</v>
      </c>
      <c r="H17" s="101">
        <v>51.1</v>
      </c>
      <c r="I17" s="31"/>
    </row>
    <row r="18" spans="1:9" ht="13.5" customHeight="1">
      <c r="A18" s="60"/>
      <c r="B18" s="43"/>
      <c r="C18" s="85"/>
      <c r="D18" s="85"/>
      <c r="E18" s="43"/>
      <c r="F18" s="85"/>
      <c r="G18" s="43"/>
      <c r="H18" s="101"/>
      <c r="I18" s="45"/>
    </row>
    <row r="19" spans="1:9" ht="13.5" customHeight="1">
      <c r="A19" s="205">
        <v>2021</v>
      </c>
      <c r="B19" s="43">
        <v>238862.84</v>
      </c>
      <c r="C19" s="85">
        <v>127930.55</v>
      </c>
      <c r="D19" s="85">
        <v>3304.3</v>
      </c>
      <c r="E19" s="43">
        <v>124626.25</v>
      </c>
      <c r="F19" s="85">
        <v>78791.39</v>
      </c>
      <c r="G19" s="43">
        <v>45834.91</v>
      </c>
      <c r="H19" s="101">
        <v>52.2</v>
      </c>
      <c r="I19" s="45"/>
    </row>
    <row r="20" spans="1:9" ht="13.5" customHeight="1">
      <c r="A20" s="205" t="s">
        <v>210</v>
      </c>
      <c r="B20" s="43">
        <v>245910.74</v>
      </c>
      <c r="C20" s="85">
        <v>135208.21</v>
      </c>
      <c r="D20" s="85">
        <v>4401.88</v>
      </c>
      <c r="E20" s="43">
        <v>130806.33</v>
      </c>
      <c r="F20" s="85">
        <v>82395.55</v>
      </c>
      <c r="G20" s="43">
        <v>48410.78</v>
      </c>
      <c r="H20" s="101">
        <v>53.2</v>
      </c>
      <c r="I20" s="45"/>
    </row>
    <row r="21" spans="1:9" ht="13.5" customHeight="1">
      <c r="A21" s="205">
        <v>2023</v>
      </c>
      <c r="B21" s="43">
        <v>252982.92</v>
      </c>
      <c r="C21" s="43">
        <v>140139</v>
      </c>
      <c r="D21" s="43">
        <v>5311.67</v>
      </c>
      <c r="E21" s="43">
        <v>134827.32999999999</v>
      </c>
      <c r="F21" s="43">
        <v>83856.87</v>
      </c>
      <c r="G21" s="43">
        <v>50970.43</v>
      </c>
      <c r="H21" s="101">
        <v>53.3</v>
      </c>
      <c r="I21" s="45"/>
    </row>
    <row r="22" spans="1:9" ht="13.5" customHeight="1">
      <c r="A22" s="205">
        <v>2024</v>
      </c>
      <c r="B22" s="43">
        <f>B119</f>
        <v>261436.54</v>
      </c>
      <c r="C22" s="43">
        <f t="shared" ref="C22:H22" si="0">C119</f>
        <v>143924.1</v>
      </c>
      <c r="D22" s="43">
        <f t="shared" si="0"/>
        <v>7148.41</v>
      </c>
      <c r="E22" s="43">
        <f t="shared" si="0"/>
        <v>136775.69</v>
      </c>
      <c r="F22" s="43">
        <f t="shared" si="0"/>
        <v>82783.289999999994</v>
      </c>
      <c r="G22" s="43">
        <f t="shared" si="0"/>
        <v>53992.52</v>
      </c>
      <c r="H22" s="101">
        <f t="shared" si="0"/>
        <v>52.3</v>
      </c>
      <c r="I22" s="45"/>
    </row>
    <row r="23" spans="1:9" ht="13.5" customHeight="1">
      <c r="A23" s="205" t="s">
        <v>264</v>
      </c>
      <c r="B23" s="43">
        <v>274874.90999999997</v>
      </c>
      <c r="C23" s="85">
        <v>147861.43</v>
      </c>
      <c r="D23" s="85">
        <v>8271.1</v>
      </c>
      <c r="E23" s="43">
        <v>139590.32999999999</v>
      </c>
      <c r="F23" s="85">
        <v>84529.1</v>
      </c>
      <c r="G23" s="43">
        <v>55061.26</v>
      </c>
      <c r="H23" s="101">
        <v>50.8</v>
      </c>
      <c r="I23" s="45"/>
    </row>
    <row r="24" spans="1:9" ht="13.5" customHeight="1">
      <c r="A24" s="60"/>
      <c r="B24" s="43"/>
      <c r="C24" s="85"/>
      <c r="D24" s="85"/>
      <c r="E24" s="43"/>
      <c r="F24" s="85"/>
      <c r="G24" s="43"/>
      <c r="H24" s="101"/>
      <c r="I24" s="45"/>
    </row>
    <row r="25" spans="1:9" ht="13.5" customHeight="1">
      <c r="A25" s="60">
        <v>2019.1</v>
      </c>
      <c r="B25" s="43">
        <v>193238.64</v>
      </c>
      <c r="C25" s="85">
        <v>97628.38</v>
      </c>
      <c r="D25" s="85">
        <v>2031.16</v>
      </c>
      <c r="E25" s="43">
        <v>95597.22</v>
      </c>
      <c r="F25" s="85">
        <v>56906.39</v>
      </c>
      <c r="G25" s="43">
        <v>38690.82</v>
      </c>
      <c r="H25" s="101">
        <v>49.5</v>
      </c>
      <c r="I25" s="102"/>
    </row>
    <row r="26" spans="1:9" ht="13.5" customHeight="1">
      <c r="A26" s="60">
        <v>2</v>
      </c>
      <c r="B26" s="43">
        <v>194285.15</v>
      </c>
      <c r="C26" s="85">
        <v>98347.48</v>
      </c>
      <c r="D26" s="85">
        <v>2098.6</v>
      </c>
      <c r="E26" s="43">
        <v>96248.88</v>
      </c>
      <c r="F26" s="85">
        <v>57564.61</v>
      </c>
      <c r="G26" s="43">
        <v>38684.33</v>
      </c>
      <c r="H26" s="101">
        <v>49.5</v>
      </c>
      <c r="I26" s="102"/>
    </row>
    <row r="27" spans="1:9" ht="13.5" customHeight="1">
      <c r="A27" s="60">
        <v>3</v>
      </c>
      <c r="B27" s="43">
        <v>195607.67</v>
      </c>
      <c r="C27" s="85">
        <v>98801.71</v>
      </c>
      <c r="D27" s="85">
        <v>2077.42</v>
      </c>
      <c r="E27" s="43">
        <v>96724.29</v>
      </c>
      <c r="F27" s="85">
        <v>57768.2</v>
      </c>
      <c r="G27" s="43">
        <v>38956.080000000002</v>
      </c>
      <c r="H27" s="101">
        <v>49.4</v>
      </c>
      <c r="I27" s="102"/>
    </row>
    <row r="28" spans="1:9" ht="13.5" customHeight="1">
      <c r="A28" s="60"/>
      <c r="B28" s="43"/>
      <c r="C28" s="85"/>
      <c r="D28" s="85"/>
      <c r="E28" s="43"/>
      <c r="F28" s="85"/>
      <c r="G28" s="43"/>
      <c r="H28" s="101"/>
      <c r="I28" s="102"/>
    </row>
    <row r="29" spans="1:9" ht="13.5" customHeight="1">
      <c r="A29" s="60">
        <v>4</v>
      </c>
      <c r="B29" s="43">
        <v>197531.81</v>
      </c>
      <c r="C29" s="85">
        <v>99454.24</v>
      </c>
      <c r="D29" s="85">
        <v>2055.4299999999998</v>
      </c>
      <c r="E29" s="43">
        <v>97398.81</v>
      </c>
      <c r="F29" s="85">
        <v>57885.98</v>
      </c>
      <c r="G29" s="43">
        <v>39512.879999999997</v>
      </c>
      <c r="H29" s="101">
        <v>49.3</v>
      </c>
      <c r="I29" s="102"/>
    </row>
    <row r="30" spans="1:9" ht="13.5" customHeight="1">
      <c r="A30" s="60">
        <v>5</v>
      </c>
      <c r="B30" s="43">
        <v>199519.73</v>
      </c>
      <c r="C30" s="85">
        <v>101307.6</v>
      </c>
      <c r="D30" s="85">
        <v>2034.67</v>
      </c>
      <c r="E30" s="43">
        <v>99272.93</v>
      </c>
      <c r="F30" s="85">
        <v>59362.87</v>
      </c>
      <c r="G30" s="43">
        <v>39910.080000000002</v>
      </c>
      <c r="H30" s="101">
        <v>49.8</v>
      </c>
      <c r="I30" s="102"/>
    </row>
    <row r="31" spans="1:9" ht="13.5" customHeight="1">
      <c r="A31" s="60">
        <v>6</v>
      </c>
      <c r="B31" s="43">
        <v>200133.56</v>
      </c>
      <c r="C31" s="85">
        <v>101505.67</v>
      </c>
      <c r="D31" s="85">
        <v>2029.76</v>
      </c>
      <c r="E31" s="43">
        <v>99475.91</v>
      </c>
      <c r="F31" s="85">
        <v>59543.13</v>
      </c>
      <c r="G31" s="43">
        <v>39932.78</v>
      </c>
      <c r="H31" s="101">
        <v>49.7</v>
      </c>
      <c r="I31" s="102"/>
    </row>
    <row r="32" spans="1:9" ht="13.5" customHeight="1">
      <c r="A32" s="60"/>
      <c r="B32" s="43"/>
      <c r="C32" s="85"/>
      <c r="D32" s="85"/>
      <c r="E32" s="43"/>
      <c r="F32" s="85"/>
      <c r="G32" s="43"/>
      <c r="H32" s="101"/>
      <c r="I32" s="102"/>
    </row>
    <row r="33" spans="1:9" ht="13.5" customHeight="1">
      <c r="A33" s="60">
        <v>7</v>
      </c>
      <c r="B33" s="43">
        <v>202348.99</v>
      </c>
      <c r="C33" s="85">
        <v>103183.84</v>
      </c>
      <c r="D33" s="85">
        <v>2030.78</v>
      </c>
      <c r="E33" s="43">
        <v>101153.06</v>
      </c>
      <c r="F33" s="85">
        <v>60506.83</v>
      </c>
      <c r="G33" s="43">
        <v>40646.26</v>
      </c>
      <c r="H33" s="101">
        <v>50</v>
      </c>
      <c r="I33" s="102"/>
    </row>
    <row r="34" spans="1:9" ht="13.5" customHeight="1">
      <c r="A34" s="60">
        <v>8</v>
      </c>
      <c r="B34" s="43">
        <v>204215.51</v>
      </c>
      <c r="C34" s="85">
        <v>103407.6</v>
      </c>
      <c r="D34" s="85">
        <v>2015.87</v>
      </c>
      <c r="E34" s="43">
        <v>101391.73</v>
      </c>
      <c r="F34" s="85">
        <v>60445.21</v>
      </c>
      <c r="G34" s="43">
        <v>40946.49</v>
      </c>
      <c r="H34" s="101">
        <v>49.6</v>
      </c>
      <c r="I34" s="102"/>
    </row>
    <row r="35" spans="1:9" ht="13.5" customHeight="1">
      <c r="A35" s="60">
        <v>9</v>
      </c>
      <c r="B35" s="43">
        <v>205384.99</v>
      </c>
      <c r="C35" s="85">
        <v>104337.76</v>
      </c>
      <c r="D35" s="85">
        <v>2034.1</v>
      </c>
      <c r="E35" s="43">
        <v>102303.66</v>
      </c>
      <c r="F35" s="85">
        <v>61114.27</v>
      </c>
      <c r="G35" s="43">
        <v>41189.39</v>
      </c>
      <c r="H35" s="101">
        <v>49.8</v>
      </c>
      <c r="I35" s="102"/>
    </row>
    <row r="36" spans="1:9" ht="13.5" customHeight="1">
      <c r="A36" s="60"/>
      <c r="B36" s="43"/>
      <c r="C36" s="85"/>
      <c r="D36" s="85"/>
      <c r="E36" s="43"/>
      <c r="F36" s="85"/>
      <c r="G36" s="43"/>
      <c r="H36" s="101"/>
      <c r="I36" s="102"/>
    </row>
    <row r="37" spans="1:9" ht="13.5" customHeight="1">
      <c r="A37" s="60">
        <v>10</v>
      </c>
      <c r="B37" s="43">
        <v>207650.02</v>
      </c>
      <c r="C37" s="85">
        <v>106112.43</v>
      </c>
      <c r="D37" s="85">
        <v>2045.77</v>
      </c>
      <c r="E37" s="43">
        <v>104066.66</v>
      </c>
      <c r="F37" s="85">
        <v>62476.97</v>
      </c>
      <c r="G37" s="43">
        <v>41589.699999999997</v>
      </c>
      <c r="H37" s="101">
        <v>50.1</v>
      </c>
      <c r="I37" s="102"/>
    </row>
    <row r="38" spans="1:9" ht="13.5" customHeight="1">
      <c r="A38" s="60">
        <v>11</v>
      </c>
      <c r="B38" s="43">
        <v>210487.97</v>
      </c>
      <c r="C38" s="85">
        <v>106893.06</v>
      </c>
      <c r="D38" s="85">
        <v>2328.17</v>
      </c>
      <c r="E38" s="43">
        <v>104564.89</v>
      </c>
      <c r="F38" s="85">
        <v>62753.29</v>
      </c>
      <c r="G38" s="43">
        <v>41811.480000000003</v>
      </c>
      <c r="H38" s="101">
        <v>49.7</v>
      </c>
      <c r="I38" s="102"/>
    </row>
    <row r="39" spans="1:9" ht="13.5" customHeight="1">
      <c r="A39" s="60">
        <v>12</v>
      </c>
      <c r="B39" s="43">
        <v>209913.63</v>
      </c>
      <c r="C39" s="85">
        <v>106872.6</v>
      </c>
      <c r="D39" s="85">
        <v>2398.4499999999998</v>
      </c>
      <c r="E39" s="43">
        <v>104474.15</v>
      </c>
      <c r="F39" s="85">
        <v>62567</v>
      </c>
      <c r="G39" s="43">
        <v>41907</v>
      </c>
      <c r="H39" s="101">
        <v>49.8</v>
      </c>
      <c r="I39" s="102"/>
    </row>
    <row r="40" spans="1:9" ht="13.5" customHeight="1">
      <c r="A40" s="60"/>
      <c r="B40" s="43"/>
      <c r="C40" s="85"/>
      <c r="D40" s="85"/>
      <c r="E40" s="43"/>
      <c r="F40" s="85"/>
      <c r="G40" s="43"/>
      <c r="H40" s="101"/>
      <c r="I40" s="102"/>
    </row>
    <row r="41" spans="1:9" ht="13.5" customHeight="1">
      <c r="A41" s="60">
        <v>2020.1</v>
      </c>
      <c r="B41" s="43">
        <v>209759.37</v>
      </c>
      <c r="C41" s="85">
        <v>106390.83</v>
      </c>
      <c r="D41" s="85">
        <v>2411.9499999999998</v>
      </c>
      <c r="E41" s="43">
        <v>103978.88</v>
      </c>
      <c r="F41" s="85">
        <v>62691.6</v>
      </c>
      <c r="G41" s="43">
        <v>41287.32</v>
      </c>
      <c r="H41" s="101">
        <v>49.6</v>
      </c>
      <c r="I41" s="102"/>
    </row>
    <row r="42" spans="1:9" ht="13.5" customHeight="1">
      <c r="A42" s="60">
        <v>2</v>
      </c>
      <c r="B42" s="43">
        <v>210466.6</v>
      </c>
      <c r="C42" s="85">
        <v>106813.83</v>
      </c>
      <c r="D42" s="85">
        <v>2408</v>
      </c>
      <c r="E42" s="43">
        <v>104406.37</v>
      </c>
      <c r="F42" s="85">
        <v>63078.1</v>
      </c>
      <c r="G42" s="43">
        <v>41328.21</v>
      </c>
      <c r="H42" s="101">
        <v>49.6</v>
      </c>
      <c r="I42" s="102"/>
    </row>
    <row r="43" spans="1:9" ht="13.5" customHeight="1">
      <c r="A43" s="60">
        <v>3</v>
      </c>
      <c r="B43" s="43">
        <v>213028.75</v>
      </c>
      <c r="C43" s="85">
        <v>108716.38</v>
      </c>
      <c r="D43" s="85">
        <v>2512.1999999999998</v>
      </c>
      <c r="E43" s="43">
        <v>106204.18</v>
      </c>
      <c r="F43" s="85">
        <v>64907</v>
      </c>
      <c r="G43" s="43">
        <v>41298</v>
      </c>
      <c r="H43" s="101">
        <v>49.9</v>
      </c>
      <c r="I43" s="102"/>
    </row>
    <row r="44" spans="1:9" ht="13.5" customHeight="1">
      <c r="A44" s="60"/>
      <c r="B44" s="43"/>
      <c r="C44" s="85"/>
      <c r="D44" s="85"/>
      <c r="E44" s="43"/>
      <c r="F44" s="85"/>
      <c r="G44" s="43"/>
      <c r="H44" s="101"/>
      <c r="I44" s="102"/>
    </row>
    <row r="45" spans="1:9" ht="13.5" customHeight="1">
      <c r="A45" s="60">
        <v>4</v>
      </c>
      <c r="B45" s="43">
        <v>216954.93</v>
      </c>
      <c r="C45" s="85">
        <v>112260.8</v>
      </c>
      <c r="D45" s="85">
        <v>2719.38</v>
      </c>
      <c r="E45" s="43">
        <v>109541.42</v>
      </c>
      <c r="F45" s="85">
        <v>68220.37</v>
      </c>
      <c r="G45" s="43">
        <v>41321.07</v>
      </c>
      <c r="H45" s="101">
        <v>50.5</v>
      </c>
      <c r="I45" s="102"/>
    </row>
    <row r="46" spans="1:9" ht="13.5" customHeight="1">
      <c r="A46" s="60">
        <v>5</v>
      </c>
      <c r="B46" s="43">
        <v>219717.13</v>
      </c>
      <c r="C46" s="85">
        <v>114950.39</v>
      </c>
      <c r="D46" s="85">
        <v>2886.75</v>
      </c>
      <c r="E46" s="43">
        <v>112063.64</v>
      </c>
      <c r="F46" s="85">
        <v>70644.88</v>
      </c>
      <c r="G46" s="43">
        <v>41418.78</v>
      </c>
      <c r="H46" s="101">
        <v>51</v>
      </c>
      <c r="I46" s="102"/>
    </row>
    <row r="47" spans="1:9" ht="13.5" customHeight="1">
      <c r="A47" s="60">
        <v>6</v>
      </c>
      <c r="B47" s="43">
        <v>219933.48</v>
      </c>
      <c r="C47" s="85">
        <v>114632.82</v>
      </c>
      <c r="D47" s="85">
        <v>3182.25</v>
      </c>
      <c r="E47" s="43">
        <v>111450.57</v>
      </c>
      <c r="F47" s="85">
        <v>70321.460000000006</v>
      </c>
      <c r="G47" s="43">
        <v>41129.1</v>
      </c>
      <c r="H47" s="101">
        <v>50.7</v>
      </c>
      <c r="I47" s="102"/>
    </row>
    <row r="48" spans="1:9" ht="13.5" customHeight="1">
      <c r="A48" s="60"/>
      <c r="B48" s="43"/>
      <c r="C48" s="85"/>
      <c r="D48" s="85"/>
      <c r="E48" s="43"/>
      <c r="F48" s="85"/>
      <c r="G48" s="43"/>
      <c r="H48" s="101"/>
      <c r="I48" s="102"/>
    </row>
    <row r="49" spans="1:9" ht="13.5" customHeight="1">
      <c r="A49" s="60">
        <v>7</v>
      </c>
      <c r="B49" s="43">
        <v>220039.67999999999</v>
      </c>
      <c r="C49" s="85">
        <v>115028.78</v>
      </c>
      <c r="D49" s="85">
        <v>3245.61</v>
      </c>
      <c r="E49" s="43">
        <v>111783.17</v>
      </c>
      <c r="F49" s="85">
        <v>70471.98</v>
      </c>
      <c r="G49" s="43">
        <v>41311.22</v>
      </c>
      <c r="H49" s="101">
        <v>50.8</v>
      </c>
      <c r="I49" s="102"/>
    </row>
    <row r="50" spans="1:9" ht="13.5" customHeight="1">
      <c r="A50" s="60">
        <v>8</v>
      </c>
      <c r="B50" s="43">
        <v>221448.36</v>
      </c>
      <c r="C50" s="85">
        <v>116517.12</v>
      </c>
      <c r="D50" s="85">
        <v>3287.67</v>
      </c>
      <c r="E50" s="43">
        <v>113229.45</v>
      </c>
      <c r="F50" s="85">
        <v>71611.33</v>
      </c>
      <c r="G50" s="43">
        <v>41618.06</v>
      </c>
      <c r="H50" s="101">
        <v>51.1</v>
      </c>
      <c r="I50" s="102"/>
    </row>
    <row r="51" spans="1:9" ht="13.5" customHeight="1">
      <c r="A51" s="60">
        <v>9</v>
      </c>
      <c r="B51" s="43">
        <v>223333.39</v>
      </c>
      <c r="C51" s="85">
        <v>117194.57</v>
      </c>
      <c r="D51" s="85">
        <v>3154.34</v>
      </c>
      <c r="E51" s="43">
        <v>114040.23</v>
      </c>
      <c r="F51" s="85">
        <v>72391.740000000005</v>
      </c>
      <c r="G51" s="43">
        <v>41648.49</v>
      </c>
      <c r="H51" s="101">
        <v>51.1</v>
      </c>
      <c r="I51" s="102"/>
    </row>
    <row r="52" spans="1:9" ht="13.5" customHeight="1">
      <c r="A52" s="60"/>
      <c r="B52" s="43"/>
      <c r="C52" s="85"/>
      <c r="D52" s="85"/>
      <c r="E52" s="43"/>
      <c r="F52" s="85"/>
      <c r="G52" s="43"/>
      <c r="H52" s="101"/>
      <c r="I52" s="102"/>
    </row>
    <row r="53" spans="1:9" ht="13.5" customHeight="1">
      <c r="A53" s="60">
        <v>10</v>
      </c>
      <c r="B53" s="43">
        <v>226023.9</v>
      </c>
      <c r="C53" s="85">
        <v>118922.35</v>
      </c>
      <c r="D53" s="85">
        <v>3156.44</v>
      </c>
      <c r="E53" s="43">
        <v>115765.91</v>
      </c>
      <c r="F53" s="85">
        <v>74075.06</v>
      </c>
      <c r="G53" s="43">
        <v>41690.89</v>
      </c>
      <c r="H53" s="101">
        <v>51.2</v>
      </c>
      <c r="I53" s="102"/>
    </row>
    <row r="54" spans="1:9" ht="13.5" customHeight="1">
      <c r="A54" s="60">
        <v>11</v>
      </c>
      <c r="B54" s="43">
        <v>228103.94</v>
      </c>
      <c r="C54" s="85">
        <v>119881.77</v>
      </c>
      <c r="D54" s="85">
        <v>3085.66</v>
      </c>
      <c r="E54" s="43">
        <v>116796.11</v>
      </c>
      <c r="F54" s="85">
        <v>74846</v>
      </c>
      <c r="G54" s="43">
        <v>41951</v>
      </c>
      <c r="H54" s="101">
        <v>51.2</v>
      </c>
      <c r="I54" s="102"/>
    </row>
    <row r="55" spans="1:9" ht="13.5" customHeight="1">
      <c r="A55" s="60">
        <v>12</v>
      </c>
      <c r="B55" s="43">
        <v>228314.4</v>
      </c>
      <c r="C55" s="85">
        <v>119804.39</v>
      </c>
      <c r="D55" s="85">
        <v>3152.79</v>
      </c>
      <c r="E55" s="43">
        <v>116651.6</v>
      </c>
      <c r="F55" s="85">
        <v>74738.960000000006</v>
      </c>
      <c r="G55" s="43">
        <v>41912.660000000003</v>
      </c>
      <c r="H55" s="101">
        <v>51.1</v>
      </c>
      <c r="I55" s="102"/>
    </row>
    <row r="56" spans="1:9" ht="13.5" customHeight="1">
      <c r="A56" s="60"/>
      <c r="B56" s="43"/>
      <c r="C56" s="85"/>
      <c r="D56" s="85"/>
      <c r="E56" s="43"/>
      <c r="F56" s="85"/>
      <c r="G56" s="43"/>
      <c r="H56" s="101"/>
      <c r="I56" s="102"/>
    </row>
    <row r="57" spans="1:9" ht="13.5" customHeight="1">
      <c r="A57" s="60">
        <v>2021.1</v>
      </c>
      <c r="B57" s="43">
        <v>229583.81</v>
      </c>
      <c r="C57" s="85">
        <v>120834.5</v>
      </c>
      <c r="D57" s="85">
        <v>3083.12</v>
      </c>
      <c r="E57" s="43">
        <v>117751.38</v>
      </c>
      <c r="F57" s="85">
        <v>75633.39</v>
      </c>
      <c r="G57" s="43">
        <v>42117.94</v>
      </c>
      <c r="H57" s="101">
        <v>51.3</v>
      </c>
      <c r="I57" s="102"/>
    </row>
    <row r="58" spans="1:9" ht="13.5" customHeight="1">
      <c r="A58" s="60">
        <v>2</v>
      </c>
      <c r="B58" s="43">
        <v>231284.7</v>
      </c>
      <c r="C58" s="85">
        <v>121700.27</v>
      </c>
      <c r="D58" s="85">
        <v>3063.07</v>
      </c>
      <c r="E58" s="43">
        <v>118637.2</v>
      </c>
      <c r="F58" s="85">
        <v>76311.22</v>
      </c>
      <c r="G58" s="43">
        <v>42325.96</v>
      </c>
      <c r="H58" s="101">
        <v>51.3</v>
      </c>
      <c r="I58" s="102"/>
    </row>
    <row r="59" spans="1:9" ht="13.5" customHeight="1">
      <c r="A59" s="60">
        <v>3</v>
      </c>
      <c r="B59" s="43">
        <v>232431.45</v>
      </c>
      <c r="C59" s="85">
        <v>123011.88</v>
      </c>
      <c r="D59" s="85">
        <v>3200.71</v>
      </c>
      <c r="E59" s="43">
        <v>119811.17</v>
      </c>
      <c r="F59" s="85">
        <v>77320.539999999994</v>
      </c>
      <c r="G59" s="43">
        <v>42490.63</v>
      </c>
      <c r="H59" s="101">
        <v>51.5</v>
      </c>
      <c r="I59" s="102"/>
    </row>
    <row r="60" spans="1:9" ht="13.5" customHeight="1">
      <c r="A60" s="60"/>
      <c r="B60" s="43"/>
      <c r="C60" s="85"/>
      <c r="D60" s="85"/>
      <c r="E60" s="43"/>
      <c r="F60" s="85"/>
      <c r="G60" s="43"/>
      <c r="H60" s="101"/>
      <c r="I60" s="102"/>
    </row>
    <row r="61" spans="1:9" ht="13.5" customHeight="1">
      <c r="A61" s="60">
        <v>4</v>
      </c>
      <c r="B61" s="43">
        <v>233535.57</v>
      </c>
      <c r="C61" s="85">
        <v>123552.31</v>
      </c>
      <c r="D61" s="85">
        <v>2864.11</v>
      </c>
      <c r="E61" s="43">
        <v>120688.2</v>
      </c>
      <c r="F61" s="85">
        <v>77806.45</v>
      </c>
      <c r="G61" s="43">
        <v>42881.71</v>
      </c>
      <c r="H61" s="101">
        <v>51.7</v>
      </c>
      <c r="I61" s="102"/>
    </row>
    <row r="62" spans="1:9" ht="13.5" customHeight="1">
      <c r="A62" s="60">
        <v>5</v>
      </c>
      <c r="B62" s="43">
        <v>233204.84</v>
      </c>
      <c r="C62" s="85">
        <v>123908.15</v>
      </c>
      <c r="D62" s="85">
        <v>2841.75</v>
      </c>
      <c r="E62" s="43">
        <v>121066.4</v>
      </c>
      <c r="F62" s="85">
        <v>77595.210000000006</v>
      </c>
      <c r="G62" s="43">
        <v>43471.19</v>
      </c>
      <c r="H62" s="101">
        <v>51.9</v>
      </c>
      <c r="I62" s="102"/>
    </row>
    <row r="63" spans="1:9" ht="13.5" customHeight="1">
      <c r="A63" s="60">
        <v>6</v>
      </c>
      <c r="B63" s="43">
        <v>233353.21</v>
      </c>
      <c r="C63" s="85">
        <v>123989.45</v>
      </c>
      <c r="D63" s="85">
        <v>3445.48</v>
      </c>
      <c r="E63" s="43">
        <v>120543.97</v>
      </c>
      <c r="F63" s="85">
        <v>76937.210000000006</v>
      </c>
      <c r="G63" s="43">
        <v>43606.74</v>
      </c>
      <c r="H63" s="101">
        <v>51.7</v>
      </c>
      <c r="I63" s="102"/>
    </row>
    <row r="64" spans="1:9" ht="13.5" customHeight="1">
      <c r="A64" s="60"/>
      <c r="B64" s="43"/>
      <c r="C64" s="85"/>
      <c r="D64" s="85"/>
      <c r="E64" s="43"/>
      <c r="F64" s="85"/>
      <c r="G64" s="43"/>
      <c r="H64" s="101"/>
      <c r="I64" s="102"/>
    </row>
    <row r="65" spans="1:9" ht="13.5" customHeight="1">
      <c r="A65" s="60">
        <v>7</v>
      </c>
      <c r="B65" s="43">
        <v>233875.57</v>
      </c>
      <c r="C65" s="85">
        <v>124973.11</v>
      </c>
      <c r="D65" s="85">
        <v>3441.45</v>
      </c>
      <c r="E65" s="43">
        <v>121531.66</v>
      </c>
      <c r="F65" s="85">
        <v>77367.58</v>
      </c>
      <c r="G65" s="43">
        <v>44164.12</v>
      </c>
      <c r="H65" s="101">
        <v>52</v>
      </c>
      <c r="I65" s="102"/>
    </row>
    <row r="66" spans="1:9" ht="13.5" customHeight="1">
      <c r="A66" s="60">
        <v>8</v>
      </c>
      <c r="B66" s="43">
        <v>234836.19</v>
      </c>
      <c r="C66" s="85">
        <v>125802.72</v>
      </c>
      <c r="D66" s="85">
        <v>3434.15</v>
      </c>
      <c r="E66" s="43">
        <v>122368.57</v>
      </c>
      <c r="F66" s="85">
        <v>77687.740000000005</v>
      </c>
      <c r="G66" s="43">
        <v>44680.78</v>
      </c>
      <c r="H66" s="101">
        <v>52.1</v>
      </c>
      <c r="I66" s="102"/>
    </row>
    <row r="67" spans="1:9" ht="13.5" customHeight="1">
      <c r="A67" s="60">
        <v>9</v>
      </c>
      <c r="B67" s="43">
        <v>235933.5</v>
      </c>
      <c r="C67" s="85">
        <v>126464.89</v>
      </c>
      <c r="D67" s="85">
        <v>3296.57</v>
      </c>
      <c r="E67" s="43">
        <v>123168.32000000001</v>
      </c>
      <c r="F67" s="85">
        <v>78084.639999999999</v>
      </c>
      <c r="G67" s="43">
        <v>45083.64</v>
      </c>
      <c r="H67" s="101">
        <v>52.2</v>
      </c>
      <c r="I67" s="102"/>
    </row>
    <row r="68" spans="1:9" ht="13.5" customHeight="1">
      <c r="A68" s="60"/>
      <c r="B68" s="43"/>
      <c r="C68" s="85"/>
      <c r="D68" s="85"/>
      <c r="E68" s="43"/>
      <c r="F68" s="85"/>
      <c r="G68" s="43"/>
      <c r="H68" s="101"/>
      <c r="I68" s="102"/>
    </row>
    <row r="69" spans="1:9" ht="13.5" customHeight="1">
      <c r="A69" s="60">
        <v>10</v>
      </c>
      <c r="B69" s="43">
        <v>236935.18</v>
      </c>
      <c r="C69" s="85">
        <v>127008.46</v>
      </c>
      <c r="D69" s="85">
        <v>3282.93</v>
      </c>
      <c r="E69" s="43">
        <v>123725.53</v>
      </c>
      <c r="F69" s="85">
        <v>78479.72</v>
      </c>
      <c r="G69" s="43">
        <v>45245.760000000002</v>
      </c>
      <c r="H69" s="101">
        <v>52.2</v>
      </c>
      <c r="I69" s="102"/>
    </row>
    <row r="70" spans="1:9" ht="13.5" customHeight="1">
      <c r="A70" s="60">
        <v>11</v>
      </c>
      <c r="B70" s="43">
        <v>238419.1</v>
      </c>
      <c r="C70" s="85">
        <v>127784.01</v>
      </c>
      <c r="D70" s="85">
        <v>3276.42</v>
      </c>
      <c r="E70" s="43">
        <v>124507.59</v>
      </c>
      <c r="F70" s="85">
        <v>79040.399999999994</v>
      </c>
      <c r="G70" s="43">
        <v>45467.21</v>
      </c>
      <c r="H70" s="101">
        <v>52.2</v>
      </c>
      <c r="I70" s="102"/>
    </row>
    <row r="71" spans="1:9" ht="13.5" customHeight="1">
      <c r="A71" s="60">
        <v>12</v>
      </c>
      <c r="B71" s="43">
        <v>238862.84</v>
      </c>
      <c r="C71" s="85">
        <v>127930.55</v>
      </c>
      <c r="D71" s="85">
        <v>3304.3</v>
      </c>
      <c r="E71" s="43">
        <v>124626.25</v>
      </c>
      <c r="F71" s="85">
        <v>78791.39</v>
      </c>
      <c r="G71" s="43">
        <v>45834.91</v>
      </c>
      <c r="H71" s="101">
        <v>52.2</v>
      </c>
      <c r="I71" s="102"/>
    </row>
    <row r="72" spans="1:9" ht="13.5" customHeight="1">
      <c r="A72" s="60"/>
      <c r="B72" s="43"/>
      <c r="C72" s="85"/>
      <c r="D72" s="85"/>
      <c r="E72" s="43"/>
      <c r="F72" s="85"/>
      <c r="G72" s="43"/>
      <c r="H72" s="101"/>
      <c r="I72" s="102"/>
    </row>
    <row r="73" spans="1:9" ht="13.5" customHeight="1">
      <c r="A73" s="60">
        <v>2022.1</v>
      </c>
      <c r="B73" s="43">
        <v>240479.7</v>
      </c>
      <c r="C73" s="85">
        <v>128490.4</v>
      </c>
      <c r="D73" s="85">
        <v>3305.51</v>
      </c>
      <c r="E73" s="43">
        <v>125184.89</v>
      </c>
      <c r="F73" s="85">
        <v>79169.02</v>
      </c>
      <c r="G73" s="43">
        <v>46015.92</v>
      </c>
      <c r="H73" s="101">
        <v>52.1</v>
      </c>
      <c r="I73" s="102"/>
    </row>
    <row r="74" spans="1:9" ht="13.5" customHeight="1">
      <c r="A74" s="60">
        <v>2</v>
      </c>
      <c r="B74" s="43">
        <v>239689.16</v>
      </c>
      <c r="C74" s="85">
        <v>128778.66</v>
      </c>
      <c r="D74" s="85">
        <v>3291.31</v>
      </c>
      <c r="E74" s="43">
        <v>125487.35</v>
      </c>
      <c r="F74" s="85">
        <v>79698.19</v>
      </c>
      <c r="G74" s="43">
        <v>45789.21</v>
      </c>
      <c r="H74" s="101">
        <v>52.4</v>
      </c>
      <c r="I74" s="102"/>
    </row>
    <row r="75" spans="1:9" ht="13.5" customHeight="1">
      <c r="A75" s="60">
        <v>3</v>
      </c>
      <c r="B75" s="43">
        <v>239880.59</v>
      </c>
      <c r="C75" s="85">
        <v>129408.2</v>
      </c>
      <c r="D75" s="85">
        <v>3044.56</v>
      </c>
      <c r="E75" s="43">
        <v>126363.64</v>
      </c>
      <c r="F75" s="85">
        <v>80447.06</v>
      </c>
      <c r="G75" s="43">
        <v>45916.59</v>
      </c>
      <c r="H75" s="101">
        <v>52.7</v>
      </c>
      <c r="I75" s="102"/>
    </row>
    <row r="76" spans="1:9" ht="13.5" customHeight="1">
      <c r="A76" s="60"/>
      <c r="B76" s="43"/>
      <c r="C76" s="85"/>
      <c r="D76" s="85"/>
      <c r="E76" s="43"/>
      <c r="F76" s="85"/>
      <c r="G76" s="43"/>
      <c r="H76" s="101"/>
      <c r="I76" s="102"/>
    </row>
    <row r="77" spans="1:9" ht="13.5" customHeight="1">
      <c r="A77" s="60">
        <v>4</v>
      </c>
      <c r="B77" s="43">
        <v>240857.64</v>
      </c>
      <c r="C77" s="85">
        <v>130304.19</v>
      </c>
      <c r="D77" s="85">
        <v>3304.39</v>
      </c>
      <c r="E77" s="43">
        <v>126999.8</v>
      </c>
      <c r="F77" s="85">
        <v>80694.759999999995</v>
      </c>
      <c r="G77" s="43">
        <v>46305.1</v>
      </c>
      <c r="H77" s="101">
        <v>52.7</v>
      </c>
      <c r="I77" s="102"/>
    </row>
    <row r="78" spans="1:9" ht="13.5" customHeight="1">
      <c r="A78" s="60">
        <v>5</v>
      </c>
      <c r="B78" s="43">
        <v>242441.31</v>
      </c>
      <c r="C78" s="85">
        <v>132079.62</v>
      </c>
      <c r="D78" s="85">
        <v>3445.12</v>
      </c>
      <c r="E78" s="43">
        <v>128634.5</v>
      </c>
      <c r="F78" s="85">
        <v>81668.399999999994</v>
      </c>
      <c r="G78" s="43">
        <v>46966.2</v>
      </c>
      <c r="H78" s="101">
        <v>53.1</v>
      </c>
      <c r="I78" s="102"/>
    </row>
    <row r="79" spans="1:9" ht="13.5" customHeight="1">
      <c r="A79" s="60">
        <v>6</v>
      </c>
      <c r="B79" s="43">
        <v>241834.49</v>
      </c>
      <c r="C79" s="85">
        <v>131764.4</v>
      </c>
      <c r="D79" s="85">
        <v>3373.55</v>
      </c>
      <c r="E79" s="43">
        <v>128390.85</v>
      </c>
      <c r="F79" s="85">
        <v>81148.92</v>
      </c>
      <c r="G79" s="43">
        <v>47241.919999999998</v>
      </c>
      <c r="H79" s="101">
        <v>53.1</v>
      </c>
      <c r="I79" s="102"/>
    </row>
    <row r="80" spans="1:9" ht="13.5" customHeight="1">
      <c r="A80" s="60"/>
      <c r="B80" s="43"/>
      <c r="C80" s="85"/>
      <c r="D80" s="85"/>
      <c r="E80" s="43"/>
      <c r="F80" s="85"/>
      <c r="G80" s="43"/>
      <c r="H80" s="101"/>
      <c r="I80" s="102"/>
    </row>
    <row r="81" spans="1:9" ht="13.5" customHeight="1">
      <c r="A81" s="60">
        <v>7</v>
      </c>
      <c r="B81" s="43">
        <v>242446.55</v>
      </c>
      <c r="C81" s="85">
        <v>133023.67000000001</v>
      </c>
      <c r="D81" s="85">
        <v>3571.82</v>
      </c>
      <c r="E81" s="43">
        <v>129451.85</v>
      </c>
      <c r="F81" s="85">
        <v>81837.7</v>
      </c>
      <c r="G81" s="43">
        <v>47614.239999999998</v>
      </c>
      <c r="H81" s="101">
        <v>53.4</v>
      </c>
      <c r="I81" s="102"/>
    </row>
    <row r="82" spans="1:9" ht="13.5" customHeight="1">
      <c r="A82" s="60">
        <v>8</v>
      </c>
      <c r="B82" s="43">
        <v>243389.75</v>
      </c>
      <c r="C82" s="85">
        <v>133642.41</v>
      </c>
      <c r="D82" s="85">
        <v>3600.09</v>
      </c>
      <c r="E82" s="43">
        <v>130042.32</v>
      </c>
      <c r="F82" s="85">
        <v>82053.94</v>
      </c>
      <c r="G82" s="43">
        <v>47988.51</v>
      </c>
      <c r="H82" s="101">
        <v>53.4</v>
      </c>
      <c r="I82" s="102"/>
    </row>
    <row r="83" spans="1:9" ht="13.5" customHeight="1">
      <c r="A83" s="60">
        <v>9</v>
      </c>
      <c r="B83" s="43">
        <v>244300.55</v>
      </c>
      <c r="C83" s="85">
        <v>134992.6</v>
      </c>
      <c r="D83" s="85">
        <v>4498.8900000000003</v>
      </c>
      <c r="E83" s="43">
        <v>130493.71</v>
      </c>
      <c r="F83" s="85">
        <v>82123.850000000006</v>
      </c>
      <c r="G83" s="43">
        <v>48369.88</v>
      </c>
      <c r="H83" s="101">
        <v>53.4</v>
      </c>
      <c r="I83" s="102"/>
    </row>
    <row r="84" spans="1:9" ht="13.5" customHeight="1">
      <c r="A84" s="60"/>
      <c r="B84" s="43"/>
      <c r="C84" s="85"/>
      <c r="D84" s="85"/>
      <c r="E84" s="43"/>
      <c r="F84" s="85"/>
      <c r="G84" s="43"/>
      <c r="H84" s="101"/>
      <c r="I84" s="102"/>
    </row>
    <row r="85" spans="1:9" ht="13.5" customHeight="1">
      <c r="A85" s="60">
        <v>10</v>
      </c>
      <c r="B85" s="43">
        <v>245542.21</v>
      </c>
      <c r="C85" s="85">
        <v>135840.29999999999</v>
      </c>
      <c r="D85" s="85">
        <v>4404.17</v>
      </c>
      <c r="E85" s="43">
        <v>131436.13</v>
      </c>
      <c r="F85" s="85">
        <v>82857.850000000006</v>
      </c>
      <c r="G85" s="43">
        <v>48578.32</v>
      </c>
      <c r="H85" s="101">
        <v>53.5</v>
      </c>
      <c r="I85" s="102"/>
    </row>
    <row r="86" spans="1:9" ht="13.5" customHeight="1">
      <c r="A86" s="60">
        <v>11</v>
      </c>
      <c r="B86" s="43">
        <v>245524.1</v>
      </c>
      <c r="C86" s="85">
        <v>135481.64000000001</v>
      </c>
      <c r="D86" s="85">
        <v>4344.79</v>
      </c>
      <c r="E86" s="43">
        <v>131136.85</v>
      </c>
      <c r="F86" s="85">
        <v>82473.509999999995</v>
      </c>
      <c r="G86" s="43">
        <v>48663.38</v>
      </c>
      <c r="H86" s="101">
        <v>53.4</v>
      </c>
      <c r="I86" s="102"/>
    </row>
    <row r="87" spans="1:9" ht="13.5" customHeight="1">
      <c r="A87" s="60">
        <v>12</v>
      </c>
      <c r="B87" s="43">
        <v>245910.74</v>
      </c>
      <c r="C87" s="85">
        <v>135208.21</v>
      </c>
      <c r="D87" s="85">
        <v>4401.88</v>
      </c>
      <c r="E87" s="43">
        <v>130806.33</v>
      </c>
      <c r="F87" s="85">
        <v>82395.55</v>
      </c>
      <c r="G87" s="43">
        <v>48410.78</v>
      </c>
      <c r="H87" s="101">
        <v>53.2</v>
      </c>
      <c r="I87" s="102"/>
    </row>
    <row r="88" spans="1:9" ht="13.5" customHeight="1">
      <c r="A88" s="60"/>
      <c r="B88" s="43"/>
      <c r="C88" s="85"/>
      <c r="D88" s="85"/>
      <c r="E88" s="43"/>
      <c r="F88" s="85"/>
      <c r="G88" s="43"/>
      <c r="H88" s="101"/>
      <c r="I88" s="102"/>
    </row>
    <row r="89" spans="1:9" ht="13.5" customHeight="1">
      <c r="A89" s="60">
        <v>2023.1</v>
      </c>
      <c r="B89" s="43">
        <v>246258.09</v>
      </c>
      <c r="C89" s="85">
        <v>135367.46</v>
      </c>
      <c r="D89" s="85">
        <v>4479.8500000000004</v>
      </c>
      <c r="E89" s="43">
        <v>130887.61</v>
      </c>
      <c r="F89" s="85">
        <v>82381.509999999995</v>
      </c>
      <c r="G89" s="43">
        <v>48506.04</v>
      </c>
      <c r="H89" s="101">
        <v>53.2</v>
      </c>
      <c r="I89" s="102"/>
    </row>
    <row r="90" spans="1:9" ht="13.5" customHeight="1">
      <c r="A90" s="60">
        <v>2</v>
      </c>
      <c r="B90" s="43">
        <v>245315.20000000001</v>
      </c>
      <c r="C90" s="85">
        <v>135452.89000000001</v>
      </c>
      <c r="D90" s="85">
        <v>4408.05</v>
      </c>
      <c r="E90" s="43">
        <v>131044.84</v>
      </c>
      <c r="F90" s="85">
        <v>82693.38</v>
      </c>
      <c r="G90" s="43">
        <v>48351.48</v>
      </c>
      <c r="H90" s="101">
        <v>53.4</v>
      </c>
      <c r="I90" s="102"/>
    </row>
    <row r="91" spans="1:9" ht="13.5" customHeight="1">
      <c r="A91" s="60">
        <v>3</v>
      </c>
      <c r="B91" s="43">
        <v>244335.23</v>
      </c>
      <c r="C91" s="85">
        <v>136103.85999999999</v>
      </c>
      <c r="D91" s="85">
        <v>4368.53</v>
      </c>
      <c r="E91" s="43">
        <v>131735.32999999999</v>
      </c>
      <c r="F91" s="85">
        <v>83040.399999999994</v>
      </c>
      <c r="G91" s="43">
        <v>48694.95</v>
      </c>
      <c r="H91" s="101">
        <v>53.9</v>
      </c>
      <c r="I91" s="102"/>
    </row>
    <row r="92" spans="1:9" ht="13.5" customHeight="1">
      <c r="A92" s="60"/>
      <c r="B92" s="43"/>
      <c r="C92" s="85"/>
      <c r="D92" s="85"/>
      <c r="E92" s="43"/>
      <c r="F92" s="85"/>
      <c r="G92" s="43"/>
      <c r="H92" s="101"/>
      <c r="I92" s="102"/>
    </row>
    <row r="93" spans="1:9" ht="13.5" customHeight="1">
      <c r="A93" s="60">
        <v>4</v>
      </c>
      <c r="B93" s="43">
        <v>245456.52</v>
      </c>
      <c r="C93" s="85">
        <v>137148.51</v>
      </c>
      <c r="D93" s="85">
        <v>4791.05</v>
      </c>
      <c r="E93" s="43">
        <v>132357.46</v>
      </c>
      <c r="F93" s="85">
        <v>83347.509999999995</v>
      </c>
      <c r="G93" s="43">
        <v>49009.95</v>
      </c>
      <c r="H93" s="101">
        <v>53.9</v>
      </c>
      <c r="I93" s="102"/>
    </row>
    <row r="94" spans="1:9" ht="13.5" customHeight="1">
      <c r="A94" s="60">
        <v>5</v>
      </c>
      <c r="B94" s="43">
        <v>246430.44</v>
      </c>
      <c r="C94" s="85">
        <v>137637.88</v>
      </c>
      <c r="D94" s="85">
        <v>4976.2700000000004</v>
      </c>
      <c r="E94" s="43">
        <v>132661.60999999999</v>
      </c>
      <c r="F94" s="85">
        <v>83310.27</v>
      </c>
      <c r="G94" s="43">
        <v>49351.26</v>
      </c>
      <c r="H94" s="101">
        <v>53.8</v>
      </c>
      <c r="I94" s="102"/>
    </row>
    <row r="95" spans="1:9" ht="13.5" customHeight="1">
      <c r="A95" s="60">
        <v>6</v>
      </c>
      <c r="B95" s="43">
        <v>246601.55</v>
      </c>
      <c r="C95" s="85">
        <v>137383.01999999999</v>
      </c>
      <c r="D95" s="85">
        <v>4927.71</v>
      </c>
      <c r="E95" s="43">
        <v>132455.31</v>
      </c>
      <c r="F95" s="85">
        <v>82607.399999999994</v>
      </c>
      <c r="G95" s="43">
        <v>49847.96</v>
      </c>
      <c r="H95" s="101">
        <v>53.7</v>
      </c>
      <c r="I95" s="102"/>
    </row>
    <row r="96" spans="1:9" ht="13.5" customHeight="1">
      <c r="A96" s="60"/>
      <c r="B96" s="43"/>
      <c r="C96" s="85"/>
      <c r="D96" s="85"/>
      <c r="E96" s="43"/>
      <c r="F96" s="85"/>
      <c r="G96" s="43"/>
      <c r="H96" s="101"/>
      <c r="I96" s="102"/>
    </row>
    <row r="97" spans="1:9" ht="13.5" customHeight="1">
      <c r="A97" s="60">
        <v>7</v>
      </c>
      <c r="B97" s="43">
        <v>248976.02</v>
      </c>
      <c r="C97" s="85">
        <v>138340.57999999999</v>
      </c>
      <c r="D97" s="85">
        <v>5078.12</v>
      </c>
      <c r="E97" s="43">
        <v>133262.46</v>
      </c>
      <c r="F97" s="85">
        <v>83138.91</v>
      </c>
      <c r="G97" s="43">
        <v>50123.54</v>
      </c>
      <c r="H97" s="101">
        <v>53.5</v>
      </c>
      <c r="I97" s="102"/>
    </row>
    <row r="98" spans="1:9" ht="13.5" customHeight="1">
      <c r="A98" s="60">
        <v>8</v>
      </c>
      <c r="B98" s="43">
        <v>250191.9</v>
      </c>
      <c r="C98" s="85">
        <v>139004.85</v>
      </c>
      <c r="D98" s="85">
        <v>5086.6899999999996</v>
      </c>
      <c r="E98" s="43">
        <v>133918.16</v>
      </c>
      <c r="F98" s="85">
        <v>83355.53</v>
      </c>
      <c r="G98" s="43">
        <v>50562.71</v>
      </c>
      <c r="H98" s="101">
        <v>53.5</v>
      </c>
      <c r="I98" s="102"/>
    </row>
    <row r="99" spans="1:9" ht="13.5" customHeight="1">
      <c r="A99" s="60">
        <v>9</v>
      </c>
      <c r="B99" s="43">
        <v>251096.79</v>
      </c>
      <c r="C99" s="85">
        <v>139505.35999999999</v>
      </c>
      <c r="D99" s="85">
        <v>5064.0600000000004</v>
      </c>
      <c r="E99" s="43">
        <v>134441.29999999999</v>
      </c>
      <c r="F99" s="85">
        <v>83249.039999999994</v>
      </c>
      <c r="G99" s="43">
        <v>51192.23</v>
      </c>
      <c r="H99" s="101">
        <v>53.5</v>
      </c>
      <c r="I99" s="102"/>
    </row>
    <row r="100" spans="1:9" ht="13.5" customHeight="1">
      <c r="A100" s="60"/>
      <c r="B100" s="43"/>
      <c r="C100" s="85"/>
      <c r="D100" s="85"/>
      <c r="E100" s="43"/>
      <c r="F100" s="85"/>
      <c r="G100" s="43"/>
      <c r="H100" s="101"/>
      <c r="I100" s="102"/>
    </row>
    <row r="101" spans="1:9" ht="13.5" customHeight="1">
      <c r="A101" s="60">
        <v>10</v>
      </c>
      <c r="B101" s="43">
        <v>252416.76</v>
      </c>
      <c r="C101" s="85">
        <v>140029.26999999999</v>
      </c>
      <c r="D101" s="85">
        <v>5074.78</v>
      </c>
      <c r="E101" s="43">
        <v>134954.49</v>
      </c>
      <c r="F101" s="85">
        <v>83788.759999999995</v>
      </c>
      <c r="G101" s="43">
        <v>51165.82</v>
      </c>
      <c r="H101" s="101">
        <v>53.5</v>
      </c>
      <c r="I101" s="102"/>
    </row>
    <row r="102" spans="1:9" ht="13.5" customHeight="1">
      <c r="A102" s="60">
        <v>11</v>
      </c>
      <c r="B102" s="43">
        <v>252550.98</v>
      </c>
      <c r="C102" s="85">
        <v>140201.82999999999</v>
      </c>
      <c r="D102" s="85">
        <v>5283.83</v>
      </c>
      <c r="E102" s="43">
        <v>134918</v>
      </c>
      <c r="F102" s="85">
        <v>83694.509999999995</v>
      </c>
      <c r="G102" s="43">
        <v>51223.49</v>
      </c>
      <c r="H102" s="101">
        <v>53.4</v>
      </c>
      <c r="I102" s="102"/>
    </row>
    <row r="103" spans="1:9" ht="13.5" customHeight="1">
      <c r="A103" s="60">
        <v>12</v>
      </c>
      <c r="B103" s="43">
        <v>252982.92</v>
      </c>
      <c r="C103" s="85">
        <v>140139</v>
      </c>
      <c r="D103" s="85">
        <v>5311.67</v>
      </c>
      <c r="E103" s="43">
        <v>134827.32999999999</v>
      </c>
      <c r="F103" s="85">
        <v>83856.87</v>
      </c>
      <c r="G103" s="43">
        <v>50970.43</v>
      </c>
      <c r="H103" s="101">
        <v>53.3</v>
      </c>
      <c r="I103" s="102"/>
    </row>
    <row r="104" spans="1:9" ht="13.5" customHeight="1">
      <c r="A104" s="60"/>
      <c r="B104" s="43"/>
      <c r="C104" s="85"/>
      <c r="D104" s="85"/>
      <c r="E104" s="43"/>
      <c r="F104" s="85"/>
      <c r="G104" s="43"/>
      <c r="H104" s="101"/>
      <c r="I104" s="102"/>
    </row>
    <row r="105" spans="1:9" ht="13.5" customHeight="1">
      <c r="A105" s="60">
        <v>2024.1</v>
      </c>
      <c r="B105" s="43">
        <v>253095.84</v>
      </c>
      <c r="C105" s="85">
        <v>139074.79999999999</v>
      </c>
      <c r="D105" s="85">
        <v>5199.67</v>
      </c>
      <c r="E105" s="43">
        <v>133875.13</v>
      </c>
      <c r="F105" s="85">
        <v>82995.48</v>
      </c>
      <c r="G105" s="43">
        <v>50879.67</v>
      </c>
      <c r="H105" s="101">
        <v>52.9</v>
      </c>
      <c r="I105" s="102"/>
    </row>
    <row r="106" spans="1:9" ht="13.5" customHeight="1">
      <c r="A106" s="60">
        <v>2</v>
      </c>
      <c r="B106" s="43">
        <v>253044.28</v>
      </c>
      <c r="C106" s="85">
        <v>139237.07999999999</v>
      </c>
      <c r="D106" s="85">
        <v>5088.8999999999996</v>
      </c>
      <c r="E106" s="43">
        <v>134148.18</v>
      </c>
      <c r="F106" s="85">
        <v>83197.41</v>
      </c>
      <c r="G106" s="43">
        <v>50950.81</v>
      </c>
      <c r="H106" s="101">
        <v>53</v>
      </c>
      <c r="I106" s="102"/>
    </row>
    <row r="107" spans="1:9" ht="13.5" customHeight="1">
      <c r="A107" s="60">
        <v>3</v>
      </c>
      <c r="B107" s="43">
        <v>252446.75</v>
      </c>
      <c r="C107" s="85">
        <v>139664.21</v>
      </c>
      <c r="D107" s="85">
        <v>5156.32</v>
      </c>
      <c r="E107" s="43">
        <v>134507.89000000001</v>
      </c>
      <c r="F107" s="85">
        <v>83421.02</v>
      </c>
      <c r="G107" s="43">
        <v>51086.86</v>
      </c>
      <c r="H107" s="101">
        <v>53.3</v>
      </c>
      <c r="I107" s="102"/>
    </row>
    <row r="108" spans="1:9" ht="13.5" customHeight="1">
      <c r="A108" s="60"/>
      <c r="B108" s="43"/>
      <c r="C108" s="85"/>
      <c r="D108" s="85"/>
      <c r="E108" s="43"/>
      <c r="F108" s="85"/>
      <c r="G108" s="43"/>
      <c r="H108" s="101"/>
      <c r="I108" s="102"/>
    </row>
    <row r="109" spans="1:9" ht="13.5" customHeight="1">
      <c r="A109" s="60">
        <v>4</v>
      </c>
      <c r="B109" s="43">
        <v>253386.75</v>
      </c>
      <c r="C109" s="85">
        <v>140217.87</v>
      </c>
      <c r="D109" s="85">
        <v>5583.25</v>
      </c>
      <c r="E109" s="43">
        <v>134634.62</v>
      </c>
      <c r="F109" s="85">
        <v>83325.37</v>
      </c>
      <c r="G109" s="43">
        <v>51309.24</v>
      </c>
      <c r="H109" s="101">
        <v>53.1</v>
      </c>
      <c r="I109" s="102"/>
    </row>
    <row r="110" spans="1:9" ht="13.5" customHeight="1">
      <c r="A110" s="60">
        <v>5</v>
      </c>
      <c r="B110" s="43">
        <v>255324.58</v>
      </c>
      <c r="C110" s="85">
        <v>140966.29</v>
      </c>
      <c r="D110" s="85">
        <v>5689.63</v>
      </c>
      <c r="E110" s="43">
        <v>135276.66</v>
      </c>
      <c r="F110" s="85">
        <v>83145.77</v>
      </c>
      <c r="G110" s="43">
        <v>52130.89</v>
      </c>
      <c r="H110" s="101">
        <v>53</v>
      </c>
      <c r="I110" s="102"/>
    </row>
    <row r="111" spans="1:9" ht="13.5" customHeight="1">
      <c r="A111" s="60">
        <v>6</v>
      </c>
      <c r="B111" s="43">
        <v>255281.66</v>
      </c>
      <c r="C111" s="85">
        <v>139965.04</v>
      </c>
      <c r="D111" s="85">
        <v>6274.41</v>
      </c>
      <c r="E111" s="43">
        <v>133690.63</v>
      </c>
      <c r="F111" s="85">
        <v>81407.679999999993</v>
      </c>
      <c r="G111" s="43">
        <v>52282.97</v>
      </c>
      <c r="H111" s="101">
        <v>52.4</v>
      </c>
      <c r="I111" s="102"/>
    </row>
    <row r="112" spans="1:9" ht="13.5" customHeight="1">
      <c r="A112" s="60"/>
      <c r="B112" s="43"/>
      <c r="C112" s="85"/>
      <c r="D112" s="85"/>
      <c r="E112" s="43"/>
      <c r="F112" s="85"/>
      <c r="G112" s="43"/>
      <c r="H112" s="101"/>
      <c r="I112" s="102"/>
    </row>
    <row r="113" spans="1:9" ht="13.5" customHeight="1">
      <c r="A113" s="60">
        <v>7</v>
      </c>
      <c r="B113" s="43">
        <v>258189.66</v>
      </c>
      <c r="C113" s="85">
        <v>141533.57999999999</v>
      </c>
      <c r="D113" s="85">
        <v>6456.35</v>
      </c>
      <c r="E113" s="43">
        <v>135077.23000000001</v>
      </c>
      <c r="F113" s="85">
        <v>82102.41</v>
      </c>
      <c r="G113" s="43">
        <v>52974.84</v>
      </c>
      <c r="H113" s="101">
        <v>52.3</v>
      </c>
      <c r="I113" s="102"/>
    </row>
    <row r="114" spans="1:9" ht="13.5" customHeight="1">
      <c r="A114" s="60">
        <v>8</v>
      </c>
      <c r="B114" s="43">
        <v>258987.82</v>
      </c>
      <c r="C114" s="85">
        <v>141525.07</v>
      </c>
      <c r="D114" s="85">
        <v>6586.2</v>
      </c>
      <c r="E114" s="43">
        <v>134938.87</v>
      </c>
      <c r="F114" s="85">
        <v>81660.429999999993</v>
      </c>
      <c r="G114" s="43">
        <v>53278.42</v>
      </c>
      <c r="H114" s="101">
        <v>52.1</v>
      </c>
      <c r="I114" s="102"/>
    </row>
    <row r="115" spans="1:9" ht="13.5" customHeight="1">
      <c r="A115" s="60">
        <v>9</v>
      </c>
      <c r="B115" s="43">
        <v>259776.98</v>
      </c>
      <c r="C115" s="85">
        <v>142162.54999999999</v>
      </c>
      <c r="D115" s="85">
        <v>6986.66</v>
      </c>
      <c r="E115" s="43">
        <v>135175.89000000001</v>
      </c>
      <c r="F115" s="85">
        <v>81527.03</v>
      </c>
      <c r="G115" s="43">
        <v>53648.79</v>
      </c>
      <c r="H115" s="101">
        <v>52</v>
      </c>
      <c r="I115" s="102"/>
    </row>
    <row r="116" spans="1:9" ht="13.5" customHeight="1">
      <c r="A116" s="60"/>
      <c r="B116" s="43"/>
      <c r="C116" s="85"/>
      <c r="D116" s="85"/>
      <c r="E116" s="43"/>
      <c r="F116" s="85"/>
      <c r="G116" s="43"/>
      <c r="H116" s="101"/>
      <c r="I116" s="102"/>
    </row>
    <row r="117" spans="1:9" ht="13.5" customHeight="1">
      <c r="A117" s="60">
        <v>10</v>
      </c>
      <c r="B117" s="43">
        <v>261674.3</v>
      </c>
      <c r="C117" s="85">
        <v>143563.10999999999</v>
      </c>
      <c r="D117" s="85">
        <v>7168.51</v>
      </c>
      <c r="E117" s="43">
        <v>136394.6</v>
      </c>
      <c r="F117" s="85">
        <v>82493.19</v>
      </c>
      <c r="G117" s="43">
        <v>53901.45</v>
      </c>
      <c r="H117" s="101">
        <v>52.1</v>
      </c>
      <c r="I117" s="102"/>
    </row>
    <row r="118" spans="1:9" ht="13.5" customHeight="1">
      <c r="A118" s="60">
        <v>11</v>
      </c>
      <c r="B118" s="43">
        <v>261413.15</v>
      </c>
      <c r="C118" s="85">
        <v>143429.18</v>
      </c>
      <c r="D118" s="85">
        <v>6994.4</v>
      </c>
      <c r="E118" s="43">
        <v>136434.78</v>
      </c>
      <c r="F118" s="85">
        <v>82267.509999999995</v>
      </c>
      <c r="G118" s="43">
        <v>54167.27</v>
      </c>
      <c r="H118" s="101">
        <v>52.2</v>
      </c>
      <c r="I118" s="102"/>
    </row>
    <row r="119" spans="1:9" ht="13.5" customHeight="1">
      <c r="A119" s="60">
        <v>12</v>
      </c>
      <c r="B119" s="43">
        <v>261436.54</v>
      </c>
      <c r="C119" s="85">
        <v>143924.1</v>
      </c>
      <c r="D119" s="85">
        <v>7148.41</v>
      </c>
      <c r="E119" s="43">
        <v>136775.69</v>
      </c>
      <c r="F119" s="85">
        <v>82783.289999999994</v>
      </c>
      <c r="G119" s="43">
        <v>53992.52</v>
      </c>
      <c r="H119" s="101">
        <v>52.3</v>
      </c>
      <c r="I119" s="102"/>
    </row>
    <row r="120" spans="1:9" ht="13.5" customHeight="1">
      <c r="A120" s="60"/>
      <c r="B120" s="43"/>
      <c r="C120" s="85"/>
      <c r="D120" s="85"/>
      <c r="E120" s="43"/>
      <c r="F120" s="85"/>
      <c r="G120" s="43"/>
      <c r="H120" s="101"/>
      <c r="I120" s="102"/>
    </row>
    <row r="121" spans="1:9" ht="13.5" customHeight="1">
      <c r="A121" s="60">
        <v>2025.1</v>
      </c>
      <c r="B121" s="43">
        <v>261937.66</v>
      </c>
      <c r="C121" s="85">
        <v>143832.54</v>
      </c>
      <c r="D121" s="85">
        <v>7234.6</v>
      </c>
      <c r="E121" s="43">
        <v>136597.94</v>
      </c>
      <c r="F121" s="85">
        <v>82670.16</v>
      </c>
      <c r="G121" s="43">
        <v>53927.81</v>
      </c>
      <c r="H121" s="101">
        <v>52.1</v>
      </c>
      <c r="I121" s="102"/>
    </row>
    <row r="122" spans="1:9" ht="13.5" customHeight="1">
      <c r="A122" s="60">
        <v>2</v>
      </c>
      <c r="B122" s="43">
        <v>263759.58</v>
      </c>
      <c r="C122" s="85">
        <v>144586.60999999999</v>
      </c>
      <c r="D122" s="85">
        <v>7468.76</v>
      </c>
      <c r="E122" s="43">
        <v>137117.85</v>
      </c>
      <c r="F122" s="85">
        <v>83323.95</v>
      </c>
      <c r="G122" s="43">
        <v>53793.919999999998</v>
      </c>
      <c r="H122" s="101">
        <v>52</v>
      </c>
      <c r="I122" s="102"/>
    </row>
    <row r="123" spans="1:9" ht="13.5" customHeight="1">
      <c r="A123" s="60">
        <v>3</v>
      </c>
      <c r="B123" s="43">
        <v>265014.74</v>
      </c>
      <c r="C123" s="85">
        <v>144946.38</v>
      </c>
      <c r="D123" s="85">
        <v>7406.72</v>
      </c>
      <c r="E123" s="43">
        <v>137539.66</v>
      </c>
      <c r="F123" s="85">
        <v>83619.61</v>
      </c>
      <c r="G123" s="43">
        <v>53919.97</v>
      </c>
      <c r="H123" s="101">
        <v>51.9</v>
      </c>
      <c r="I123" s="102"/>
    </row>
    <row r="124" spans="1:9" ht="13.5" customHeight="1">
      <c r="A124" s="60"/>
      <c r="B124" s="43"/>
      <c r="C124" s="85"/>
      <c r="D124" s="85"/>
      <c r="E124" s="43"/>
      <c r="F124" s="85"/>
      <c r="G124" s="43"/>
      <c r="H124" s="101"/>
      <c r="I124" s="102"/>
    </row>
    <row r="125" spans="1:9" ht="13.5" customHeight="1">
      <c r="A125" s="60">
        <v>4</v>
      </c>
      <c r="B125" s="43">
        <v>266736.59999999998</v>
      </c>
      <c r="C125" s="85">
        <v>146312.79</v>
      </c>
      <c r="D125" s="85">
        <v>7886.77</v>
      </c>
      <c r="E125" s="43">
        <v>138426.01999999999</v>
      </c>
      <c r="F125" s="85">
        <v>84201.78</v>
      </c>
      <c r="G125" s="43">
        <v>54224.27</v>
      </c>
      <c r="H125" s="101">
        <v>51.9</v>
      </c>
      <c r="I125" s="102"/>
    </row>
    <row r="126" spans="1:9" ht="13.5" customHeight="1">
      <c r="A126" s="60">
        <v>5</v>
      </c>
      <c r="B126" s="43">
        <v>268098.43</v>
      </c>
      <c r="C126" s="85">
        <v>147483.15</v>
      </c>
      <c r="D126" s="85">
        <v>7929.65</v>
      </c>
      <c r="E126" s="43">
        <v>139553.5</v>
      </c>
      <c r="F126" s="85">
        <v>85133.33</v>
      </c>
      <c r="G126" s="43">
        <v>54420.13</v>
      </c>
      <c r="H126" s="101">
        <v>52.1</v>
      </c>
      <c r="I126" s="102"/>
    </row>
    <row r="127" spans="1:9" ht="13.5" customHeight="1">
      <c r="A127" s="60">
        <v>6</v>
      </c>
      <c r="B127" s="43">
        <v>268338.56</v>
      </c>
      <c r="C127" s="85">
        <v>146501.24</v>
      </c>
      <c r="D127" s="85">
        <v>8086.45</v>
      </c>
      <c r="E127" s="43">
        <v>138414.79</v>
      </c>
      <c r="F127" s="85">
        <v>84267.73</v>
      </c>
      <c r="G127" s="43">
        <v>54147.05</v>
      </c>
      <c r="H127" s="101">
        <v>51.6</v>
      </c>
      <c r="I127" s="102"/>
    </row>
    <row r="128" spans="1:9" ht="13.5" customHeight="1">
      <c r="A128" s="60"/>
      <c r="B128" s="43"/>
      <c r="C128" s="85"/>
      <c r="D128" s="85"/>
      <c r="E128" s="43"/>
      <c r="F128" s="85"/>
      <c r="G128" s="43"/>
      <c r="H128" s="101"/>
      <c r="I128" s="102"/>
    </row>
    <row r="129" spans="1:9" ht="13.5" customHeight="1">
      <c r="A129" s="60">
        <v>7</v>
      </c>
      <c r="B129" s="43">
        <v>269044.84000000003</v>
      </c>
      <c r="C129" s="85">
        <v>147076.04999999999</v>
      </c>
      <c r="D129" s="85">
        <v>8534.99</v>
      </c>
      <c r="E129" s="43">
        <v>138541.06</v>
      </c>
      <c r="F129" s="85">
        <v>84427.839999999997</v>
      </c>
      <c r="G129" s="43">
        <v>54113.29</v>
      </c>
      <c r="H129" s="101">
        <v>51.5</v>
      </c>
      <c r="I129" s="102"/>
    </row>
    <row r="130" spans="1:9" ht="13.5" customHeight="1">
      <c r="A130" s="60">
        <v>8</v>
      </c>
      <c r="B130" s="43">
        <v>269592.46999999997</v>
      </c>
      <c r="C130" s="85">
        <v>147078.63</v>
      </c>
      <c r="D130" s="85">
        <v>8584.76</v>
      </c>
      <c r="E130" s="43">
        <v>138493.87</v>
      </c>
      <c r="F130" s="85">
        <v>84111.91</v>
      </c>
      <c r="G130" s="43">
        <v>54382</v>
      </c>
      <c r="H130" s="101">
        <v>51.4</v>
      </c>
      <c r="I130" s="102"/>
    </row>
    <row r="131" spans="1:9" ht="13.5" customHeight="1">
      <c r="A131" s="60">
        <v>9</v>
      </c>
      <c r="B131" s="43">
        <v>269058.27</v>
      </c>
      <c r="C131" s="85">
        <v>147067.60999999999</v>
      </c>
      <c r="D131" s="85">
        <v>8423.74</v>
      </c>
      <c r="E131" s="43">
        <v>138643.87</v>
      </c>
      <c r="F131" s="85">
        <v>83858.149999999994</v>
      </c>
      <c r="G131" s="43">
        <v>54785.73</v>
      </c>
      <c r="H131" s="101">
        <v>51.5</v>
      </c>
      <c r="I131" s="102"/>
    </row>
    <row r="132" spans="1:9" ht="13.5" customHeight="1">
      <c r="A132" s="60"/>
      <c r="B132" s="43"/>
      <c r="C132" s="85"/>
      <c r="D132" s="85"/>
      <c r="E132" s="43"/>
      <c r="F132" s="85"/>
      <c r="G132" s="43"/>
      <c r="H132" s="101"/>
      <c r="I132" s="102"/>
    </row>
    <row r="133" spans="1:9" ht="13.5" customHeight="1">
      <c r="A133" s="60">
        <v>10</v>
      </c>
      <c r="B133" s="43">
        <v>271251.36</v>
      </c>
      <c r="C133" s="85">
        <v>147752.38</v>
      </c>
      <c r="D133" s="85">
        <v>8387.64</v>
      </c>
      <c r="E133" s="43">
        <v>139364.74</v>
      </c>
      <c r="F133" s="85">
        <v>84435.17</v>
      </c>
      <c r="G133" s="43">
        <v>54929.61</v>
      </c>
      <c r="H133" s="101">
        <v>51.4</v>
      </c>
      <c r="I133" s="102"/>
    </row>
    <row r="134" spans="1:9" ht="13.5" customHeight="1">
      <c r="A134" s="60">
        <v>11</v>
      </c>
      <c r="B134" s="43">
        <v>272721.91999999998</v>
      </c>
      <c r="C134" s="85">
        <v>147812.46</v>
      </c>
      <c r="D134" s="85">
        <v>8322.4599999999991</v>
      </c>
      <c r="E134" s="43">
        <v>139490</v>
      </c>
      <c r="F134" s="85">
        <v>84450.92</v>
      </c>
      <c r="G134" s="43">
        <v>55039.15</v>
      </c>
      <c r="H134" s="101">
        <v>51.1</v>
      </c>
      <c r="I134" s="143"/>
    </row>
    <row r="135" spans="1:9" ht="13.5" customHeight="1">
      <c r="A135" s="194" t="s">
        <v>213</v>
      </c>
      <c r="B135" s="203">
        <v>274874.90999999997</v>
      </c>
      <c r="C135" s="203">
        <v>147861.43</v>
      </c>
      <c r="D135" s="203">
        <v>8271.1</v>
      </c>
      <c r="E135" s="203">
        <v>139590.32999999999</v>
      </c>
      <c r="F135" s="203">
        <v>84529.1</v>
      </c>
      <c r="G135" s="203">
        <v>55061.26</v>
      </c>
      <c r="H135" s="270">
        <v>50.8</v>
      </c>
      <c r="I135" s="45"/>
    </row>
    <row r="136" spans="1:9" ht="13.5" customHeight="1">
      <c r="A136" s="60"/>
      <c r="B136" s="43"/>
      <c r="C136" s="85"/>
      <c r="D136" s="85"/>
      <c r="E136" s="43"/>
      <c r="F136" s="85"/>
      <c r="G136" s="43"/>
      <c r="H136" s="101"/>
      <c r="I136" s="102"/>
    </row>
    <row r="137" spans="1:9" ht="13.5" customHeight="1">
      <c r="A137" s="194" t="s">
        <v>266</v>
      </c>
      <c r="B137" s="203">
        <v>274512.5</v>
      </c>
      <c r="C137" s="203">
        <v>147939.72</v>
      </c>
      <c r="D137" s="203">
        <v>8311.7199999999993</v>
      </c>
      <c r="E137" s="203">
        <v>139628</v>
      </c>
      <c r="F137" s="203">
        <v>84533.38</v>
      </c>
      <c r="G137" s="203">
        <v>55094.63</v>
      </c>
      <c r="H137" s="270">
        <v>50.9</v>
      </c>
      <c r="I137" s="45"/>
    </row>
    <row r="138" spans="1:9">
      <c r="A138" s="194" t="s">
        <v>215</v>
      </c>
      <c r="B138" s="203">
        <v>275015.94</v>
      </c>
      <c r="C138" s="203">
        <v>148390.49</v>
      </c>
      <c r="D138" s="203">
        <v>8293.5</v>
      </c>
      <c r="E138" s="203">
        <v>140096.99</v>
      </c>
      <c r="F138" s="203">
        <v>85011.4</v>
      </c>
      <c r="G138" s="203">
        <v>55085.59</v>
      </c>
      <c r="H138" s="270">
        <v>50.9</v>
      </c>
      <c r="I138" s="13"/>
    </row>
    <row r="139" spans="1:9">
      <c r="A139" s="195" t="s">
        <v>265</v>
      </c>
      <c r="B139" s="198">
        <v>275282.55</v>
      </c>
      <c r="C139" s="198">
        <v>148034.12</v>
      </c>
      <c r="D139" s="198">
        <v>7743.61</v>
      </c>
      <c r="E139" s="198">
        <v>140290.51</v>
      </c>
      <c r="F139" s="198">
        <v>85467.11</v>
      </c>
      <c r="G139" s="198">
        <v>54823.37</v>
      </c>
      <c r="H139" s="211">
        <v>51</v>
      </c>
      <c r="I139" s="14"/>
    </row>
    <row r="140" spans="1:9">
      <c r="A140" s="40" t="s">
        <v>162</v>
      </c>
    </row>
    <row r="141" spans="1:9">
      <c r="C141" s="105"/>
      <c r="D141" s="105"/>
      <c r="E141" s="105"/>
      <c r="F141" s="105"/>
      <c r="G141" s="105"/>
      <c r="H141" s="105"/>
      <c r="I141" s="155"/>
    </row>
    <row r="142" spans="1:9">
      <c r="C142" s="105"/>
      <c r="D142" s="105"/>
      <c r="E142" s="105"/>
      <c r="F142" s="105"/>
      <c r="G142" s="105"/>
      <c r="H142" s="105"/>
      <c r="I142" s="155"/>
    </row>
  </sheetData>
  <mergeCells count="8">
    <mergeCell ref="E6:E7"/>
    <mergeCell ref="H5:H7"/>
    <mergeCell ref="F6:G6"/>
    <mergeCell ref="C5:G5"/>
    <mergeCell ref="A5:A7"/>
    <mergeCell ref="B5:B7"/>
    <mergeCell ref="C6:C7"/>
    <mergeCell ref="D6:D7"/>
  </mergeCells>
  <phoneticPr fontId="9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4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101"/>
  <sheetViews>
    <sheetView zoomScale="85" zoomScaleNormal="85" workbookViewId="0">
      <pane xSplit="1" ySplit="9" topLeftCell="B84" activePane="bottomRight" state="frozen"/>
      <selection activeCell="E91" sqref="E91"/>
      <selection pane="topRight" activeCell="E91" sqref="E91"/>
      <selection pane="bottomLeft" activeCell="E91" sqref="E91"/>
      <selection pane="bottomRight" activeCell="D88" sqref="D88"/>
    </sheetView>
  </sheetViews>
  <sheetFormatPr defaultColWidth="8.88671875" defaultRowHeight="13.5"/>
  <cols>
    <col min="1" max="1" width="10.77734375" style="95" customWidth="1"/>
    <col min="2" max="2" width="11.77734375" style="95" customWidth="1"/>
    <col min="3" max="15" width="11.77734375" style="51" customWidth="1"/>
    <col min="16" max="16384" width="8.88671875" style="51"/>
  </cols>
  <sheetData>
    <row r="1" spans="1:16" s="1" customFormat="1" ht="12">
      <c r="A1" s="39"/>
      <c r="B1" s="39"/>
    </row>
    <row r="2" spans="1:16" s="1" customFormat="1" ht="1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3" spans="1:16" s="1" customFormat="1" ht="12">
      <c r="A3" s="53"/>
      <c r="B3" s="54"/>
      <c r="C3" s="54"/>
      <c r="D3" s="54"/>
      <c r="E3" s="54"/>
      <c r="F3" s="54"/>
      <c r="G3" s="54"/>
      <c r="H3" s="48"/>
      <c r="I3" s="137"/>
      <c r="J3" s="136"/>
      <c r="K3" s="136"/>
      <c r="L3" s="136"/>
      <c r="M3" s="136"/>
      <c r="N3" s="136"/>
      <c r="O3" s="136"/>
    </row>
    <row r="4" spans="1:16" s="1" customFormat="1" ht="14.25">
      <c r="A4" s="52" t="s">
        <v>143</v>
      </c>
      <c r="B4" s="54"/>
      <c r="C4" s="54"/>
      <c r="D4" s="54"/>
      <c r="E4" s="54"/>
      <c r="F4" s="54"/>
      <c r="G4" s="54"/>
      <c r="H4" s="48"/>
      <c r="I4" s="137"/>
      <c r="J4" s="136"/>
      <c r="K4" s="136"/>
      <c r="L4" s="136"/>
      <c r="M4" s="136"/>
      <c r="N4" s="136"/>
      <c r="O4" s="136"/>
    </row>
    <row r="5" spans="1:16" s="1" customFormat="1" ht="12">
      <c r="A5" s="52"/>
      <c r="B5" s="122"/>
      <c r="C5" s="122"/>
      <c r="D5" s="122"/>
      <c r="E5" s="122"/>
      <c r="F5" s="122"/>
      <c r="G5" s="122"/>
      <c r="H5" s="123"/>
      <c r="I5" s="137"/>
      <c r="J5" s="136"/>
      <c r="K5" s="136"/>
      <c r="L5" s="136"/>
      <c r="M5" s="136"/>
      <c r="N5" s="136"/>
      <c r="O5" s="136"/>
    </row>
    <row r="6" spans="1:16" s="1" customFormat="1" ht="12">
      <c r="A6" s="52"/>
      <c r="B6" s="122"/>
      <c r="C6" s="122"/>
      <c r="D6" s="122"/>
      <c r="E6" s="122"/>
      <c r="F6" s="122"/>
      <c r="G6" s="122"/>
      <c r="H6" s="123"/>
      <c r="I6" s="137"/>
      <c r="J6" s="136"/>
      <c r="K6" s="136"/>
      <c r="L6" s="136"/>
      <c r="M6" s="136"/>
      <c r="N6" s="136"/>
      <c r="O6" s="136"/>
    </row>
    <row r="7" spans="1:16">
      <c r="A7" s="1" t="s">
        <v>98</v>
      </c>
      <c r="B7" s="55"/>
      <c r="C7" s="55"/>
      <c r="D7" s="55"/>
      <c r="E7" s="55"/>
      <c r="F7" s="55"/>
      <c r="G7" s="55"/>
      <c r="H7" s="4" t="s">
        <v>100</v>
      </c>
      <c r="I7" s="4"/>
      <c r="J7" s="4"/>
      <c r="K7" s="4"/>
      <c r="L7" s="4"/>
      <c r="M7" s="4"/>
      <c r="N7" s="4"/>
      <c r="O7" s="4"/>
    </row>
    <row r="8" spans="1:16" ht="24" customHeight="1">
      <c r="A8" s="276" t="s">
        <v>150</v>
      </c>
      <c r="B8" s="303" t="s">
        <v>144</v>
      </c>
      <c r="C8" s="304"/>
      <c r="D8" s="304"/>
      <c r="E8" s="304"/>
      <c r="F8" s="304"/>
      <c r="G8" s="304"/>
      <c r="H8" s="304"/>
      <c r="I8" s="139"/>
      <c r="J8" s="139"/>
      <c r="K8" s="139"/>
      <c r="L8" s="139"/>
      <c r="M8" s="139"/>
      <c r="N8" s="139"/>
      <c r="O8" s="139"/>
    </row>
    <row r="9" spans="1:16" ht="33.75" customHeight="1">
      <c r="A9" s="277"/>
      <c r="B9" s="9" t="s">
        <v>133</v>
      </c>
      <c r="C9" s="108" t="s">
        <v>75</v>
      </c>
      <c r="D9" s="96" t="s">
        <v>76</v>
      </c>
      <c r="E9" s="96" t="s">
        <v>77</v>
      </c>
      <c r="F9" s="24" t="s">
        <v>136</v>
      </c>
      <c r="G9" s="24" t="s">
        <v>137</v>
      </c>
      <c r="H9" s="109" t="s">
        <v>109</v>
      </c>
      <c r="I9" s="140"/>
      <c r="J9" s="140"/>
      <c r="K9" s="140"/>
      <c r="L9" s="140"/>
      <c r="M9" s="140"/>
      <c r="N9" s="140"/>
      <c r="O9" s="140"/>
    </row>
    <row r="10" spans="1:16" ht="13.5" customHeight="1">
      <c r="A10" s="58">
        <v>2011</v>
      </c>
      <c r="B10" s="57">
        <v>59818</v>
      </c>
      <c r="C10" s="57">
        <v>9184</v>
      </c>
      <c r="D10" s="57">
        <v>687</v>
      </c>
      <c r="E10" s="57">
        <v>11692</v>
      </c>
      <c r="F10" s="57">
        <v>4134</v>
      </c>
      <c r="G10" s="57">
        <v>9754</v>
      </c>
      <c r="H10" s="128">
        <v>5143</v>
      </c>
      <c r="I10" s="124"/>
      <c r="J10" s="124"/>
      <c r="K10" s="124"/>
      <c r="L10" s="124"/>
      <c r="M10" s="124"/>
      <c r="N10" s="124"/>
      <c r="O10" s="124"/>
      <c r="P10" s="90"/>
    </row>
    <row r="11" spans="1:16" ht="13.5" customHeight="1">
      <c r="A11" s="58">
        <v>2012</v>
      </c>
      <c r="B11" s="57">
        <v>63176</v>
      </c>
      <c r="C11" s="57">
        <v>9486</v>
      </c>
      <c r="D11" s="57">
        <v>731</v>
      </c>
      <c r="E11" s="57">
        <v>12714</v>
      </c>
      <c r="F11" s="57">
        <v>3755</v>
      </c>
      <c r="G11" s="57">
        <v>10486</v>
      </c>
      <c r="H11" s="128">
        <v>5769</v>
      </c>
      <c r="I11" s="124"/>
      <c r="J11" s="124"/>
      <c r="K11" s="124"/>
      <c r="L11" s="124"/>
      <c r="M11" s="124"/>
      <c r="N11" s="124"/>
      <c r="O11" s="124"/>
      <c r="P11" s="90"/>
    </row>
    <row r="12" spans="1:16" ht="13.5" customHeight="1">
      <c r="A12" s="58">
        <v>2013</v>
      </c>
      <c r="B12" s="57">
        <v>70187</v>
      </c>
      <c r="C12" s="57">
        <v>9898</v>
      </c>
      <c r="D12" s="57">
        <v>894</v>
      </c>
      <c r="E12" s="57">
        <v>13385</v>
      </c>
      <c r="F12" s="57">
        <v>3809</v>
      </c>
      <c r="G12" s="57">
        <v>11193</v>
      </c>
      <c r="H12" s="128">
        <v>6217</v>
      </c>
      <c r="I12" s="124"/>
      <c r="J12" s="124"/>
      <c r="K12" s="124"/>
      <c r="L12" s="124"/>
      <c r="M12" s="124"/>
      <c r="N12" s="124"/>
      <c r="O12" s="124"/>
      <c r="P12" s="90"/>
    </row>
    <row r="13" spans="1:16" ht="13.5" customHeight="1">
      <c r="A13" s="58">
        <v>2014</v>
      </c>
      <c r="B13" s="57">
        <v>77547</v>
      </c>
      <c r="C13" s="57">
        <v>10254</v>
      </c>
      <c r="D13" s="57">
        <v>1472</v>
      </c>
      <c r="E13" s="57">
        <v>15956</v>
      </c>
      <c r="F13" s="57">
        <v>3442</v>
      </c>
      <c r="G13" s="57">
        <v>11827</v>
      </c>
      <c r="H13" s="128">
        <v>6940</v>
      </c>
      <c r="I13" s="124"/>
      <c r="J13" s="124"/>
      <c r="K13" s="124"/>
      <c r="L13" s="124"/>
      <c r="M13" s="124"/>
      <c r="N13" s="124"/>
      <c r="O13" s="124"/>
      <c r="P13" s="90"/>
    </row>
    <row r="14" spans="1:16" ht="13.5" customHeight="1">
      <c r="A14" s="58">
        <v>2015</v>
      </c>
      <c r="B14" s="57">
        <v>87743</v>
      </c>
      <c r="C14" s="57">
        <v>10557</v>
      </c>
      <c r="D14" s="57">
        <v>3114</v>
      </c>
      <c r="E14" s="57">
        <v>17709</v>
      </c>
      <c r="F14" s="57">
        <v>2891</v>
      </c>
      <c r="G14" s="57">
        <v>12609</v>
      </c>
      <c r="H14" s="128">
        <v>7472</v>
      </c>
      <c r="I14" s="124"/>
      <c r="J14" s="124"/>
      <c r="K14" s="124"/>
      <c r="L14" s="124"/>
      <c r="M14" s="124"/>
      <c r="N14" s="124"/>
      <c r="O14" s="124"/>
      <c r="P14" s="90"/>
    </row>
    <row r="15" spans="1:16" ht="13.5" customHeight="1">
      <c r="A15" s="58"/>
      <c r="B15" s="57"/>
      <c r="C15" s="57"/>
      <c r="D15" s="57"/>
      <c r="E15" s="57"/>
      <c r="F15" s="57"/>
      <c r="G15" s="57"/>
      <c r="H15" s="128"/>
      <c r="I15" s="124"/>
      <c r="J15" s="124"/>
      <c r="K15" s="124"/>
      <c r="L15" s="124"/>
      <c r="M15" s="124"/>
      <c r="N15" s="124"/>
      <c r="O15" s="124"/>
      <c r="P15" s="90"/>
    </row>
    <row r="16" spans="1:16" ht="13.5" customHeight="1">
      <c r="A16" s="58">
        <v>2016</v>
      </c>
      <c r="B16" s="57">
        <v>91228</v>
      </c>
      <c r="C16" s="57">
        <v>10837</v>
      </c>
      <c r="D16" s="57">
        <v>3690</v>
      </c>
      <c r="E16" s="57">
        <v>19379</v>
      </c>
      <c r="F16" s="57">
        <v>2895</v>
      </c>
      <c r="G16" s="57">
        <v>13138</v>
      </c>
      <c r="H16" s="128">
        <v>7723</v>
      </c>
      <c r="I16" s="124"/>
      <c r="J16" s="124"/>
      <c r="K16" s="124"/>
      <c r="L16" s="124"/>
      <c r="M16" s="124"/>
      <c r="N16" s="124"/>
      <c r="O16" s="124"/>
      <c r="P16" s="90"/>
    </row>
    <row r="17" spans="1:16" ht="13.5" customHeight="1">
      <c r="A17" s="58">
        <v>2017</v>
      </c>
      <c r="B17" s="57">
        <v>94198</v>
      </c>
      <c r="C17" s="57">
        <v>11560</v>
      </c>
      <c r="D17" s="57">
        <v>1464</v>
      </c>
      <c r="E17" s="57">
        <v>21706</v>
      </c>
      <c r="F17" s="57">
        <v>2837</v>
      </c>
      <c r="G17" s="57">
        <v>13726</v>
      </c>
      <c r="H17" s="128">
        <v>8611</v>
      </c>
      <c r="I17" s="124"/>
      <c r="J17" s="124"/>
      <c r="K17" s="124"/>
      <c r="L17" s="124"/>
      <c r="M17" s="124"/>
      <c r="N17" s="124"/>
      <c r="O17" s="124"/>
      <c r="P17" s="90"/>
    </row>
    <row r="18" spans="1:16" ht="13.5" customHeight="1">
      <c r="A18" s="58">
        <v>2018</v>
      </c>
      <c r="B18" s="57">
        <v>99869</v>
      </c>
      <c r="C18" s="57">
        <v>12763</v>
      </c>
      <c r="D18" s="57">
        <v>1122</v>
      </c>
      <c r="E18" s="57">
        <v>23366</v>
      </c>
      <c r="F18" s="57">
        <v>3445</v>
      </c>
      <c r="G18" s="57">
        <v>14752</v>
      </c>
      <c r="H18" s="128">
        <v>9422</v>
      </c>
      <c r="I18" s="124"/>
      <c r="J18" s="124"/>
      <c r="K18" s="124"/>
      <c r="L18" s="124"/>
      <c r="M18" s="124"/>
      <c r="N18" s="124"/>
      <c r="O18" s="124"/>
      <c r="P18" s="90"/>
    </row>
    <row r="19" spans="1:16" ht="13.5" customHeight="1">
      <c r="A19" s="58">
        <v>2019</v>
      </c>
      <c r="B19" s="57">
        <v>109275.23</v>
      </c>
      <c r="C19" s="57">
        <v>14426.72</v>
      </c>
      <c r="D19" s="57">
        <v>984.23</v>
      </c>
      <c r="E19" s="57">
        <v>25660</v>
      </c>
      <c r="F19" s="57">
        <v>3473.99</v>
      </c>
      <c r="G19" s="57">
        <v>16408.02</v>
      </c>
      <c r="H19" s="128">
        <v>10648.5</v>
      </c>
      <c r="I19" s="124"/>
      <c r="J19" s="124"/>
      <c r="K19" s="124"/>
      <c r="L19" s="124"/>
      <c r="M19" s="124"/>
      <c r="N19" s="124"/>
      <c r="O19" s="124"/>
      <c r="P19" s="90"/>
    </row>
    <row r="20" spans="1:16" ht="13.5" customHeight="1">
      <c r="A20" s="73">
        <v>2020</v>
      </c>
      <c r="B20" s="57">
        <v>122359.81</v>
      </c>
      <c r="C20" s="57">
        <v>15457.23</v>
      </c>
      <c r="D20" s="57">
        <v>1269.05</v>
      </c>
      <c r="E20" s="57">
        <v>27845.55</v>
      </c>
      <c r="F20" s="57">
        <v>4372.9399999999996</v>
      </c>
      <c r="G20" s="57">
        <v>19166.38</v>
      </c>
      <c r="H20" s="128">
        <v>13475.69</v>
      </c>
      <c r="I20" s="124"/>
      <c r="J20" s="124"/>
      <c r="K20" s="124"/>
      <c r="L20" s="124"/>
      <c r="M20" s="124"/>
      <c r="N20" s="124"/>
      <c r="O20" s="124"/>
      <c r="P20" s="90"/>
    </row>
    <row r="21" spans="1:16" ht="13.5" customHeight="1">
      <c r="A21" s="59"/>
      <c r="B21" s="57"/>
      <c r="C21" s="57"/>
      <c r="D21" s="57"/>
      <c r="E21" s="57"/>
      <c r="F21" s="57"/>
      <c r="G21" s="57"/>
      <c r="H21" s="128"/>
      <c r="I21" s="124"/>
      <c r="J21" s="124"/>
      <c r="K21" s="124"/>
      <c r="L21" s="124"/>
      <c r="M21" s="124"/>
      <c r="N21" s="124"/>
      <c r="O21" s="124"/>
      <c r="P21" s="90"/>
    </row>
    <row r="22" spans="1:16" ht="13.5" customHeight="1">
      <c r="A22" s="168">
        <v>2021</v>
      </c>
      <c r="B22" s="169">
        <v>130529.03</v>
      </c>
      <c r="C22" s="169">
        <v>16107.49</v>
      </c>
      <c r="D22" s="169">
        <v>1215.31</v>
      </c>
      <c r="E22" s="169">
        <v>28369.1</v>
      </c>
      <c r="F22" s="169">
        <v>5129.1400000000003</v>
      </c>
      <c r="G22" s="169">
        <v>21096.94</v>
      </c>
      <c r="H22" s="170">
        <v>14755.36</v>
      </c>
      <c r="I22" s="124"/>
      <c r="J22" s="124"/>
      <c r="K22" s="124"/>
      <c r="L22" s="124"/>
      <c r="M22" s="124"/>
      <c r="N22" s="124"/>
      <c r="O22" s="124"/>
      <c r="P22" s="90"/>
    </row>
    <row r="23" spans="1:16" ht="13.5" customHeight="1">
      <c r="A23" s="59"/>
      <c r="B23" s="57"/>
      <c r="C23" s="57"/>
      <c r="D23" s="57"/>
      <c r="E23" s="57"/>
      <c r="F23" s="57"/>
      <c r="G23" s="57"/>
      <c r="H23" s="128"/>
      <c r="I23" s="124"/>
      <c r="J23" s="124"/>
      <c r="K23" s="124"/>
      <c r="L23" s="124"/>
      <c r="M23" s="124"/>
      <c r="N23" s="124"/>
      <c r="O23" s="124"/>
      <c r="P23" s="90"/>
    </row>
    <row r="24" spans="1:16" ht="13.5" customHeight="1">
      <c r="A24" s="60">
        <v>2018.1</v>
      </c>
      <c r="B24" s="57" t="s">
        <v>163</v>
      </c>
      <c r="C24" s="57" t="s">
        <v>163</v>
      </c>
      <c r="D24" s="57" t="s">
        <v>165</v>
      </c>
      <c r="E24" s="57" t="s">
        <v>169</v>
      </c>
      <c r="F24" s="57" t="s">
        <v>164</v>
      </c>
      <c r="G24" s="57" t="s">
        <v>164</v>
      </c>
      <c r="H24" s="128" t="s">
        <v>163</v>
      </c>
      <c r="I24" s="124"/>
      <c r="J24" s="124"/>
      <c r="K24" s="124"/>
      <c r="L24" s="124"/>
      <c r="M24" s="124"/>
      <c r="N24" s="124"/>
      <c r="O24" s="124"/>
      <c r="P24" s="90"/>
    </row>
    <row r="25" spans="1:16" ht="13.5" customHeight="1">
      <c r="A25" s="60">
        <v>2</v>
      </c>
      <c r="B25" s="57" t="s">
        <v>163</v>
      </c>
      <c r="C25" s="57" t="s">
        <v>163</v>
      </c>
      <c r="D25" s="57" t="s">
        <v>163</v>
      </c>
      <c r="E25" s="57" t="s">
        <v>163</v>
      </c>
      <c r="F25" s="57" t="s">
        <v>169</v>
      </c>
      <c r="G25" s="57" t="s">
        <v>171</v>
      </c>
      <c r="H25" s="128" t="s">
        <v>165</v>
      </c>
      <c r="I25" s="124"/>
      <c r="J25" s="124"/>
      <c r="K25" s="124"/>
      <c r="L25" s="124"/>
      <c r="M25" s="124"/>
      <c r="N25" s="124"/>
      <c r="O25" s="124"/>
      <c r="P25" s="90"/>
    </row>
    <row r="26" spans="1:16" ht="13.5" customHeight="1">
      <c r="A26" s="60">
        <v>3</v>
      </c>
      <c r="B26" s="57">
        <v>95097.19</v>
      </c>
      <c r="C26" s="57">
        <v>11759.41</v>
      </c>
      <c r="D26" s="57">
        <v>991.07</v>
      </c>
      <c r="E26" s="57">
        <v>21719.360000000001</v>
      </c>
      <c r="F26" s="57">
        <v>3218.54</v>
      </c>
      <c r="G26" s="57">
        <v>14126.52</v>
      </c>
      <c r="H26" s="128">
        <v>8819.77</v>
      </c>
      <c r="I26" s="124"/>
      <c r="J26" s="124"/>
      <c r="K26" s="124"/>
      <c r="L26" s="124"/>
      <c r="M26" s="124"/>
      <c r="N26" s="124"/>
      <c r="O26" s="124"/>
      <c r="P26" s="90"/>
    </row>
    <row r="27" spans="1:16" ht="13.5" customHeight="1">
      <c r="A27" s="60"/>
      <c r="B27" s="57"/>
      <c r="C27" s="57"/>
      <c r="D27" s="57"/>
      <c r="E27" s="57"/>
      <c r="F27" s="57"/>
      <c r="G27" s="57"/>
      <c r="H27" s="128"/>
      <c r="I27" s="124"/>
      <c r="J27" s="124"/>
      <c r="K27" s="124"/>
      <c r="L27" s="124"/>
      <c r="M27" s="124"/>
      <c r="N27" s="124"/>
      <c r="O27" s="124"/>
      <c r="P27" s="90"/>
    </row>
    <row r="28" spans="1:16" ht="13.5" customHeight="1">
      <c r="A28" s="60">
        <v>4</v>
      </c>
      <c r="B28" s="57" t="s">
        <v>163</v>
      </c>
      <c r="C28" s="57" t="s">
        <v>171</v>
      </c>
      <c r="D28" s="57" t="s">
        <v>165</v>
      </c>
      <c r="E28" s="57" t="s">
        <v>169</v>
      </c>
      <c r="F28" s="57" t="s">
        <v>171</v>
      </c>
      <c r="G28" s="57" t="s">
        <v>164</v>
      </c>
      <c r="H28" s="128" t="s">
        <v>171</v>
      </c>
      <c r="I28" s="124"/>
      <c r="J28" s="124"/>
      <c r="K28" s="124"/>
      <c r="L28" s="124"/>
      <c r="M28" s="124"/>
      <c r="N28" s="124"/>
      <c r="O28" s="124"/>
      <c r="P28" s="90"/>
    </row>
    <row r="29" spans="1:16" ht="13.5" customHeight="1">
      <c r="A29" s="60">
        <v>5</v>
      </c>
      <c r="B29" s="57" t="s">
        <v>163</v>
      </c>
      <c r="C29" s="57" t="s">
        <v>171</v>
      </c>
      <c r="D29" s="57" t="s">
        <v>163</v>
      </c>
      <c r="E29" s="57" t="s">
        <v>163</v>
      </c>
      <c r="F29" s="57" t="s">
        <v>170</v>
      </c>
      <c r="G29" s="57" t="s">
        <v>163</v>
      </c>
      <c r="H29" s="128" t="s">
        <v>163</v>
      </c>
      <c r="I29" s="124"/>
      <c r="J29" s="124"/>
      <c r="K29" s="124"/>
      <c r="L29" s="124"/>
      <c r="M29" s="124"/>
      <c r="N29" s="124"/>
      <c r="O29" s="124"/>
      <c r="P29" s="90"/>
    </row>
    <row r="30" spans="1:16" ht="13.5" customHeight="1">
      <c r="A30" s="60">
        <v>6</v>
      </c>
      <c r="B30" s="57">
        <v>96846.78</v>
      </c>
      <c r="C30" s="57">
        <v>12140.74</v>
      </c>
      <c r="D30" s="57">
        <v>1183.31</v>
      </c>
      <c r="E30" s="57">
        <v>22336.61</v>
      </c>
      <c r="F30" s="57">
        <v>3303.17</v>
      </c>
      <c r="G30" s="57">
        <v>14220.04</v>
      </c>
      <c r="H30" s="128">
        <v>9151.5300000000007</v>
      </c>
      <c r="I30" s="124"/>
      <c r="J30" s="124"/>
      <c r="K30" s="124"/>
      <c r="L30" s="124"/>
      <c r="M30" s="124"/>
      <c r="N30" s="124"/>
      <c r="O30" s="124"/>
      <c r="P30" s="90"/>
    </row>
    <row r="31" spans="1:16" ht="13.5" customHeight="1">
      <c r="A31" s="60"/>
      <c r="B31" s="57"/>
      <c r="C31" s="57"/>
      <c r="D31" s="57"/>
      <c r="E31" s="57"/>
      <c r="F31" s="57"/>
      <c r="G31" s="57"/>
      <c r="H31" s="128"/>
      <c r="I31" s="124"/>
      <c r="J31" s="124"/>
      <c r="K31" s="124"/>
      <c r="L31" s="124"/>
      <c r="M31" s="124"/>
      <c r="N31" s="124"/>
      <c r="O31" s="124"/>
      <c r="P31" s="90"/>
    </row>
    <row r="32" spans="1:16" ht="13.5" customHeight="1">
      <c r="A32" s="60">
        <v>7</v>
      </c>
      <c r="B32" s="57" t="s">
        <v>163</v>
      </c>
      <c r="C32" s="57" t="s">
        <v>163</v>
      </c>
      <c r="D32" s="57" t="s">
        <v>163</v>
      </c>
      <c r="E32" s="57" t="s">
        <v>165</v>
      </c>
      <c r="F32" s="57" t="s">
        <v>172</v>
      </c>
      <c r="G32" s="57" t="s">
        <v>169</v>
      </c>
      <c r="H32" s="128" t="s">
        <v>163</v>
      </c>
      <c r="I32" s="124"/>
      <c r="J32" s="124"/>
      <c r="K32" s="124"/>
      <c r="L32" s="124"/>
      <c r="M32" s="124"/>
      <c r="N32" s="124"/>
      <c r="O32" s="124"/>
      <c r="P32" s="90"/>
    </row>
    <row r="33" spans="1:16" ht="13.5" customHeight="1">
      <c r="A33" s="60">
        <v>8</v>
      </c>
      <c r="B33" s="57" t="s">
        <v>171</v>
      </c>
      <c r="C33" s="57" t="s">
        <v>163</v>
      </c>
      <c r="D33" s="57" t="s">
        <v>173</v>
      </c>
      <c r="E33" s="57" t="s">
        <v>169</v>
      </c>
      <c r="F33" s="57" t="s">
        <v>165</v>
      </c>
      <c r="G33" s="57" t="s">
        <v>171</v>
      </c>
      <c r="H33" s="128" t="s">
        <v>169</v>
      </c>
      <c r="I33" s="124"/>
      <c r="J33" s="124"/>
      <c r="K33" s="124"/>
      <c r="L33" s="124"/>
      <c r="M33" s="124"/>
      <c r="N33" s="124"/>
      <c r="O33" s="124"/>
      <c r="P33" s="90"/>
    </row>
    <row r="34" spans="1:16" ht="13.5" customHeight="1">
      <c r="A34" s="60">
        <v>9</v>
      </c>
      <c r="B34" s="57">
        <v>98769.3</v>
      </c>
      <c r="C34" s="57">
        <v>12569.71</v>
      </c>
      <c r="D34" s="57">
        <v>1222.6300000000001</v>
      </c>
      <c r="E34" s="57">
        <v>22806.15</v>
      </c>
      <c r="F34" s="57">
        <v>3634.46</v>
      </c>
      <c r="G34" s="57">
        <v>14579.85</v>
      </c>
      <c r="H34" s="128">
        <v>9382.24</v>
      </c>
      <c r="I34" s="124"/>
      <c r="J34" s="124"/>
      <c r="K34" s="124"/>
      <c r="L34" s="124"/>
      <c r="M34" s="124"/>
      <c r="N34" s="124"/>
      <c r="O34" s="124"/>
      <c r="P34" s="90"/>
    </row>
    <row r="35" spans="1:16" ht="13.5" customHeight="1">
      <c r="A35" s="60"/>
      <c r="B35" s="57"/>
      <c r="C35" s="57"/>
      <c r="D35" s="57"/>
      <c r="E35" s="57"/>
      <c r="F35" s="57"/>
      <c r="G35" s="57"/>
      <c r="H35" s="128"/>
      <c r="I35" s="124"/>
      <c r="J35" s="124"/>
      <c r="K35" s="124"/>
      <c r="L35" s="124"/>
      <c r="M35" s="124"/>
      <c r="N35" s="124"/>
      <c r="O35" s="124"/>
      <c r="P35" s="90"/>
    </row>
    <row r="36" spans="1:16" ht="13.5" customHeight="1">
      <c r="A36" s="60">
        <v>10</v>
      </c>
      <c r="B36" s="57" t="s">
        <v>163</v>
      </c>
      <c r="C36" s="57" t="s">
        <v>171</v>
      </c>
      <c r="D36" s="57" t="s">
        <v>163</v>
      </c>
      <c r="E36" s="57" t="s">
        <v>172</v>
      </c>
      <c r="F36" s="57" t="s">
        <v>169</v>
      </c>
      <c r="G36" s="57" t="s">
        <v>163</v>
      </c>
      <c r="H36" s="128" t="s">
        <v>163</v>
      </c>
      <c r="I36" s="124"/>
      <c r="J36" s="124"/>
      <c r="K36" s="124"/>
      <c r="L36" s="124"/>
      <c r="M36" s="124"/>
      <c r="N36" s="124"/>
      <c r="O36" s="124"/>
      <c r="P36" s="90"/>
    </row>
    <row r="37" spans="1:16" ht="13.5" customHeight="1">
      <c r="A37" s="60">
        <v>11</v>
      </c>
      <c r="B37" s="57" t="s">
        <v>171</v>
      </c>
      <c r="C37" s="57" t="s">
        <v>164</v>
      </c>
      <c r="D37" s="57" t="s">
        <v>163</v>
      </c>
      <c r="E37" s="57" t="s">
        <v>163</v>
      </c>
      <c r="F37" s="57" t="s">
        <v>163</v>
      </c>
      <c r="G37" s="57" t="s">
        <v>163</v>
      </c>
      <c r="H37" s="128" t="s">
        <v>169</v>
      </c>
      <c r="I37" s="124"/>
      <c r="J37" s="124"/>
      <c r="K37" s="124"/>
      <c r="L37" s="124"/>
      <c r="M37" s="124"/>
      <c r="N37" s="124"/>
      <c r="O37" s="124"/>
      <c r="P37" s="90"/>
    </row>
    <row r="38" spans="1:16" ht="13.5" customHeight="1">
      <c r="A38" s="60">
        <v>12</v>
      </c>
      <c r="B38" s="57">
        <v>99869</v>
      </c>
      <c r="C38" s="57">
        <v>12763</v>
      </c>
      <c r="D38" s="57">
        <v>1122</v>
      </c>
      <c r="E38" s="57">
        <v>23366</v>
      </c>
      <c r="F38" s="57">
        <v>3445</v>
      </c>
      <c r="G38" s="57">
        <v>14752</v>
      </c>
      <c r="H38" s="128">
        <v>9422</v>
      </c>
      <c r="I38" s="124"/>
      <c r="J38" s="124"/>
      <c r="K38" s="124"/>
      <c r="L38" s="124"/>
      <c r="M38" s="124"/>
      <c r="N38" s="124"/>
      <c r="O38" s="124"/>
      <c r="P38" s="90"/>
    </row>
    <row r="39" spans="1:16" ht="13.5" customHeight="1">
      <c r="A39" s="60"/>
      <c r="B39" s="57"/>
      <c r="C39" s="57"/>
      <c r="D39" s="57"/>
      <c r="E39" s="57"/>
      <c r="F39" s="57"/>
      <c r="G39" s="57"/>
      <c r="H39" s="128"/>
      <c r="I39" s="124"/>
      <c r="J39" s="124"/>
      <c r="K39" s="124"/>
      <c r="L39" s="124"/>
      <c r="M39" s="124"/>
      <c r="N39" s="124"/>
      <c r="O39" s="124"/>
      <c r="P39" s="90"/>
    </row>
    <row r="40" spans="1:16" ht="13.5" customHeight="1">
      <c r="A40" s="60">
        <v>2019.1</v>
      </c>
      <c r="B40" s="57" t="s">
        <v>163</v>
      </c>
      <c r="C40" s="57" t="s">
        <v>164</v>
      </c>
      <c r="D40" s="57" t="s">
        <v>163</v>
      </c>
      <c r="E40" s="57" t="s">
        <v>169</v>
      </c>
      <c r="F40" s="57" t="s">
        <v>163</v>
      </c>
      <c r="G40" s="57" t="s">
        <v>163</v>
      </c>
      <c r="H40" s="128" t="s">
        <v>163</v>
      </c>
      <c r="I40" s="124"/>
      <c r="J40" s="124"/>
      <c r="K40" s="124"/>
      <c r="L40" s="124"/>
      <c r="M40" s="124"/>
      <c r="N40" s="124"/>
      <c r="O40" s="124"/>
      <c r="P40" s="90"/>
    </row>
    <row r="41" spans="1:16" ht="13.5" customHeight="1">
      <c r="A41" s="60">
        <v>2</v>
      </c>
      <c r="B41" s="57" t="s">
        <v>163</v>
      </c>
      <c r="C41" s="57" t="s">
        <v>172</v>
      </c>
      <c r="D41" s="57" t="s">
        <v>164</v>
      </c>
      <c r="E41" s="57" t="s">
        <v>163</v>
      </c>
      <c r="F41" s="57" t="s">
        <v>164</v>
      </c>
      <c r="G41" s="57" t="s">
        <v>169</v>
      </c>
      <c r="H41" s="128" t="s">
        <v>171</v>
      </c>
      <c r="I41" s="124"/>
      <c r="J41" s="124"/>
      <c r="K41" s="124"/>
      <c r="L41" s="124"/>
      <c r="M41" s="124"/>
      <c r="N41" s="124"/>
      <c r="O41" s="124"/>
      <c r="P41" s="90"/>
    </row>
    <row r="42" spans="1:16" ht="13.5" customHeight="1">
      <c r="A42" s="60">
        <v>3</v>
      </c>
      <c r="B42" s="57">
        <v>101375.7</v>
      </c>
      <c r="C42" s="57">
        <v>13008.3</v>
      </c>
      <c r="D42" s="57">
        <v>1036.8</v>
      </c>
      <c r="E42" s="57">
        <v>23865.7</v>
      </c>
      <c r="F42" s="57">
        <v>3909.3</v>
      </c>
      <c r="G42" s="57">
        <v>15045.9</v>
      </c>
      <c r="H42" s="128">
        <v>9436.5</v>
      </c>
      <c r="I42" s="124"/>
      <c r="J42" s="124"/>
      <c r="K42" s="124"/>
      <c r="L42" s="124"/>
      <c r="M42" s="124"/>
      <c r="N42" s="124"/>
      <c r="O42" s="124"/>
      <c r="P42" s="90"/>
    </row>
    <row r="43" spans="1:16" ht="13.5" customHeight="1">
      <c r="A43" s="60"/>
      <c r="B43" s="57"/>
      <c r="C43" s="57"/>
      <c r="D43" s="57"/>
      <c r="E43" s="57"/>
      <c r="F43" s="57"/>
      <c r="G43" s="57"/>
      <c r="H43" s="128"/>
      <c r="I43" s="124"/>
      <c r="J43" s="124"/>
      <c r="K43" s="124"/>
      <c r="L43" s="124"/>
      <c r="M43" s="124"/>
      <c r="N43" s="124"/>
      <c r="O43" s="124"/>
      <c r="P43" s="90"/>
    </row>
    <row r="44" spans="1:16" ht="13.5" customHeight="1">
      <c r="A44" s="60">
        <v>4</v>
      </c>
      <c r="B44" s="57" t="s">
        <v>163</v>
      </c>
      <c r="C44" s="57" t="s">
        <v>163</v>
      </c>
      <c r="D44" s="57" t="s">
        <v>172</v>
      </c>
      <c r="E44" s="57" t="s">
        <v>163</v>
      </c>
      <c r="F44" s="57" t="s">
        <v>165</v>
      </c>
      <c r="G44" s="57" t="s">
        <v>169</v>
      </c>
      <c r="H44" s="128" t="s">
        <v>163</v>
      </c>
      <c r="I44" s="124"/>
      <c r="J44" s="124"/>
      <c r="K44" s="124"/>
      <c r="L44" s="124"/>
      <c r="M44" s="124"/>
      <c r="N44" s="124"/>
      <c r="O44" s="124"/>
      <c r="P44" s="90"/>
    </row>
    <row r="45" spans="1:16" ht="13.5" customHeight="1">
      <c r="A45" s="60">
        <v>5</v>
      </c>
      <c r="B45" s="57" t="s">
        <v>163</v>
      </c>
      <c r="C45" s="57" t="s">
        <v>163</v>
      </c>
      <c r="D45" s="57" t="s">
        <v>163</v>
      </c>
      <c r="E45" s="57" t="s">
        <v>164</v>
      </c>
      <c r="F45" s="57" t="s">
        <v>163</v>
      </c>
      <c r="G45" s="57" t="s">
        <v>172</v>
      </c>
      <c r="H45" s="128" t="s">
        <v>163</v>
      </c>
      <c r="I45" s="124"/>
      <c r="J45" s="90"/>
      <c r="K45" s="90"/>
      <c r="L45" s="90"/>
      <c r="M45" s="142"/>
      <c r="N45" s="90"/>
      <c r="O45" s="142"/>
      <c r="P45" s="90"/>
    </row>
    <row r="46" spans="1:16" ht="13.5" customHeight="1">
      <c r="A46" s="60">
        <v>6</v>
      </c>
      <c r="B46" s="57">
        <v>104102.65</v>
      </c>
      <c r="C46" s="57">
        <v>13499.2</v>
      </c>
      <c r="D46" s="57">
        <v>980.55</v>
      </c>
      <c r="E46" s="57">
        <v>24345.07</v>
      </c>
      <c r="F46" s="57">
        <v>3901.05</v>
      </c>
      <c r="G46" s="57">
        <v>15684.1</v>
      </c>
      <c r="H46" s="128">
        <v>10086.85</v>
      </c>
      <c r="I46" s="124"/>
      <c r="J46" s="124"/>
      <c r="K46" s="124"/>
      <c r="L46" s="124"/>
      <c r="M46" s="124"/>
      <c r="N46" s="124"/>
      <c r="O46" s="124"/>
      <c r="P46" s="90"/>
    </row>
    <row r="47" spans="1:16" ht="13.5" customHeight="1">
      <c r="A47" s="60"/>
      <c r="B47" s="57"/>
      <c r="C47" s="57"/>
      <c r="D47" s="57"/>
      <c r="E47" s="57"/>
      <c r="F47" s="57"/>
      <c r="G47" s="57"/>
      <c r="H47" s="128"/>
      <c r="I47" s="124"/>
      <c r="J47" s="124"/>
      <c r="K47" s="124"/>
      <c r="L47" s="124"/>
      <c r="M47" s="124"/>
      <c r="N47" s="124"/>
      <c r="O47" s="124"/>
      <c r="P47" s="90"/>
    </row>
    <row r="48" spans="1:16" ht="13.5" customHeight="1">
      <c r="A48" s="60">
        <v>7</v>
      </c>
      <c r="B48" s="57" t="s">
        <v>163</v>
      </c>
      <c r="C48" s="57" t="s">
        <v>164</v>
      </c>
      <c r="D48" s="57" t="s">
        <v>165</v>
      </c>
      <c r="E48" s="57" t="s">
        <v>170</v>
      </c>
      <c r="F48" s="57" t="s">
        <v>163</v>
      </c>
      <c r="G48" s="57" t="s">
        <v>163</v>
      </c>
      <c r="H48" s="128" t="s">
        <v>163</v>
      </c>
      <c r="I48" s="124"/>
      <c r="J48" s="124"/>
      <c r="K48" s="124"/>
      <c r="L48" s="124"/>
      <c r="M48" s="124"/>
      <c r="N48" s="124"/>
      <c r="O48" s="124"/>
      <c r="P48" s="90"/>
    </row>
    <row r="49" spans="1:16" ht="13.5" customHeight="1">
      <c r="A49" s="60">
        <v>8</v>
      </c>
      <c r="B49" s="57" t="s">
        <v>171</v>
      </c>
      <c r="C49" s="57" t="s">
        <v>163</v>
      </c>
      <c r="D49" s="57" t="s">
        <v>163</v>
      </c>
      <c r="E49" s="57" t="s">
        <v>165</v>
      </c>
      <c r="F49" s="57" t="s">
        <v>163</v>
      </c>
      <c r="G49" s="57" t="s">
        <v>169</v>
      </c>
      <c r="H49" s="128" t="s">
        <v>169</v>
      </c>
      <c r="I49" s="124"/>
      <c r="J49" s="90"/>
      <c r="K49" s="90"/>
      <c r="L49" s="90"/>
      <c r="M49" s="142"/>
      <c r="N49" s="90"/>
      <c r="O49" s="142"/>
      <c r="P49" s="90"/>
    </row>
    <row r="50" spans="1:16" ht="13.5" customHeight="1">
      <c r="A50" s="60">
        <v>9</v>
      </c>
      <c r="B50" s="57">
        <v>106983.42</v>
      </c>
      <c r="C50" s="57">
        <v>14050.52</v>
      </c>
      <c r="D50" s="57">
        <v>963.81</v>
      </c>
      <c r="E50" s="57">
        <v>24979.06</v>
      </c>
      <c r="F50" s="57">
        <v>3899.03</v>
      </c>
      <c r="G50" s="57">
        <v>16118.36</v>
      </c>
      <c r="H50" s="128">
        <v>10607.21</v>
      </c>
      <c r="I50" s="124"/>
      <c r="J50" s="124"/>
      <c r="K50" s="124"/>
      <c r="L50" s="124"/>
      <c r="M50" s="124"/>
      <c r="N50" s="124"/>
      <c r="O50" s="124"/>
      <c r="P50" s="138"/>
    </row>
    <row r="51" spans="1:16" ht="13.5" customHeight="1">
      <c r="A51" s="60"/>
      <c r="B51" s="57"/>
      <c r="C51" s="57"/>
      <c r="D51" s="57"/>
      <c r="E51" s="57"/>
      <c r="F51" s="57"/>
      <c r="G51" s="57"/>
      <c r="H51" s="128"/>
      <c r="I51" s="124"/>
      <c r="J51" s="124"/>
      <c r="K51" s="124"/>
      <c r="L51" s="124"/>
      <c r="M51" s="124"/>
      <c r="N51" s="124"/>
      <c r="O51" s="124"/>
      <c r="P51" s="90"/>
    </row>
    <row r="52" spans="1:16" ht="13.5" customHeight="1">
      <c r="A52" s="60">
        <v>10</v>
      </c>
      <c r="B52" s="57" t="s">
        <v>169</v>
      </c>
      <c r="C52" s="57" t="s">
        <v>163</v>
      </c>
      <c r="D52" s="57" t="s">
        <v>163</v>
      </c>
      <c r="E52" s="57" t="s">
        <v>163</v>
      </c>
      <c r="F52" s="57" t="s">
        <v>163</v>
      </c>
      <c r="G52" s="57" t="s">
        <v>163</v>
      </c>
      <c r="H52" s="128" t="s">
        <v>163</v>
      </c>
      <c r="I52" s="124"/>
      <c r="J52" s="124"/>
      <c r="K52" s="124"/>
      <c r="L52" s="124"/>
      <c r="M52" s="124"/>
      <c r="N52" s="124"/>
      <c r="O52" s="124"/>
      <c r="P52" s="90"/>
    </row>
    <row r="53" spans="1:16" ht="13.5" customHeight="1">
      <c r="A53" s="60">
        <v>11</v>
      </c>
      <c r="B53" s="57" t="s">
        <v>163</v>
      </c>
      <c r="C53" s="57" t="s">
        <v>163</v>
      </c>
      <c r="D53" s="57" t="s">
        <v>163</v>
      </c>
      <c r="E53" s="57" t="s">
        <v>169</v>
      </c>
      <c r="F53" s="57" t="s">
        <v>163</v>
      </c>
      <c r="G53" s="57" t="s">
        <v>163</v>
      </c>
      <c r="H53" s="128" t="s">
        <v>165</v>
      </c>
      <c r="I53" s="124"/>
      <c r="J53" s="90"/>
      <c r="K53" s="90"/>
      <c r="L53" s="90"/>
      <c r="M53" s="142"/>
      <c r="N53" s="90"/>
      <c r="O53" s="142"/>
      <c r="P53" s="90"/>
    </row>
    <row r="54" spans="1:16" ht="13.5" customHeight="1">
      <c r="A54" s="60">
        <v>12</v>
      </c>
      <c r="B54" s="57">
        <v>109275.23</v>
      </c>
      <c r="C54" s="57">
        <v>14426.72</v>
      </c>
      <c r="D54" s="57">
        <v>984.23</v>
      </c>
      <c r="E54" s="57">
        <v>25660</v>
      </c>
      <c r="F54" s="57">
        <v>3473.99</v>
      </c>
      <c r="G54" s="57">
        <v>16408.02</v>
      </c>
      <c r="H54" s="128">
        <v>10648.5</v>
      </c>
      <c r="I54" s="124"/>
      <c r="J54" s="124"/>
      <c r="K54" s="124"/>
      <c r="L54" s="124"/>
      <c r="M54" s="124"/>
      <c r="N54" s="124"/>
      <c r="O54" s="124"/>
      <c r="P54" s="138"/>
    </row>
    <row r="55" spans="1:16" ht="13.5" customHeight="1">
      <c r="A55" s="60"/>
      <c r="B55" s="57"/>
      <c r="C55" s="57"/>
      <c r="D55" s="57"/>
      <c r="E55" s="57"/>
      <c r="F55" s="57"/>
      <c r="G55" s="57"/>
      <c r="H55" s="128"/>
      <c r="I55" s="124"/>
      <c r="J55" s="124"/>
      <c r="K55" s="124"/>
      <c r="L55" s="124"/>
      <c r="M55" s="124"/>
      <c r="N55" s="124"/>
      <c r="O55" s="124"/>
      <c r="P55" s="90"/>
    </row>
    <row r="56" spans="1:16" ht="13.5" customHeight="1">
      <c r="A56" s="60">
        <v>2020.1</v>
      </c>
      <c r="B56" s="57" t="s">
        <v>163</v>
      </c>
      <c r="C56" s="57" t="s">
        <v>163</v>
      </c>
      <c r="D56" s="57" t="s">
        <v>165</v>
      </c>
      <c r="E56" s="57" t="s">
        <v>163</v>
      </c>
      <c r="F56" s="57" t="s">
        <v>163</v>
      </c>
      <c r="G56" s="57" t="s">
        <v>163</v>
      </c>
      <c r="H56" s="128" t="s">
        <v>163</v>
      </c>
      <c r="I56" s="124"/>
      <c r="J56" s="124"/>
      <c r="K56" s="124"/>
      <c r="L56" s="124"/>
      <c r="M56" s="124"/>
      <c r="N56" s="124"/>
      <c r="O56" s="124"/>
      <c r="P56" s="90"/>
    </row>
    <row r="57" spans="1:16" ht="13.5" customHeight="1">
      <c r="A57" s="60">
        <v>2</v>
      </c>
      <c r="B57" s="57" t="s">
        <v>163</v>
      </c>
      <c r="C57" s="57" t="s">
        <v>163</v>
      </c>
      <c r="D57" s="57" t="s">
        <v>165</v>
      </c>
      <c r="E57" s="57" t="s">
        <v>163</v>
      </c>
      <c r="F57" s="57" t="s">
        <v>165</v>
      </c>
      <c r="G57" s="57" t="s">
        <v>165</v>
      </c>
      <c r="H57" s="128" t="s">
        <v>165</v>
      </c>
      <c r="I57" s="124"/>
      <c r="J57" s="90"/>
      <c r="K57" s="90"/>
      <c r="L57" s="90"/>
      <c r="M57" s="142"/>
      <c r="N57" s="90"/>
      <c r="O57" s="142"/>
      <c r="P57" s="90"/>
    </row>
    <row r="58" spans="1:16" ht="13.5" customHeight="1">
      <c r="A58" s="60">
        <v>3</v>
      </c>
      <c r="B58" s="57">
        <v>111047.71</v>
      </c>
      <c r="C58" s="57">
        <v>14819.38</v>
      </c>
      <c r="D58" s="57">
        <v>961.74</v>
      </c>
      <c r="E58" s="57">
        <v>25788.13</v>
      </c>
      <c r="F58" s="57">
        <v>4004.99</v>
      </c>
      <c r="G58" s="57">
        <v>16813.27</v>
      </c>
      <c r="H58" s="128">
        <v>11321.04</v>
      </c>
      <c r="I58" s="124"/>
      <c r="J58" s="124"/>
      <c r="K58" s="124"/>
      <c r="L58" s="124"/>
      <c r="M58" s="124"/>
      <c r="N58" s="124"/>
      <c r="O58" s="124"/>
      <c r="P58" s="138"/>
    </row>
    <row r="59" spans="1:16" ht="13.5" customHeight="1">
      <c r="A59" s="60"/>
      <c r="B59" s="57"/>
      <c r="C59" s="57"/>
      <c r="D59" s="57"/>
      <c r="E59" s="57"/>
      <c r="F59" s="57"/>
      <c r="G59" s="57"/>
      <c r="H59" s="128"/>
      <c r="I59" s="124"/>
      <c r="J59" s="90"/>
      <c r="K59" s="90"/>
      <c r="L59" s="90"/>
      <c r="M59" s="90"/>
      <c r="N59" s="90"/>
      <c r="O59" s="90"/>
      <c r="P59" s="90"/>
    </row>
    <row r="60" spans="1:16" ht="13.5" customHeight="1">
      <c r="A60" s="60">
        <v>4</v>
      </c>
      <c r="B60" s="57" t="s">
        <v>163</v>
      </c>
      <c r="C60" s="57" t="s">
        <v>163</v>
      </c>
      <c r="D60" s="57" t="s">
        <v>165</v>
      </c>
      <c r="E60" s="57" t="s">
        <v>165</v>
      </c>
      <c r="F60" s="57" t="s">
        <v>163</v>
      </c>
      <c r="G60" s="57" t="s">
        <v>165</v>
      </c>
      <c r="H60" s="128" t="s">
        <v>163</v>
      </c>
      <c r="I60" s="124"/>
      <c r="J60" s="90"/>
      <c r="K60" s="90"/>
      <c r="L60" s="90"/>
      <c r="M60" s="90"/>
      <c r="N60" s="90"/>
      <c r="O60" s="90"/>
      <c r="P60" s="90"/>
    </row>
    <row r="61" spans="1:16" ht="13.5" customHeight="1">
      <c r="A61" s="60">
        <v>5</v>
      </c>
      <c r="B61" s="57" t="s">
        <v>163</v>
      </c>
      <c r="C61" s="57" t="s">
        <v>163</v>
      </c>
      <c r="D61" s="57" t="s">
        <v>165</v>
      </c>
      <c r="E61" s="57" t="s">
        <v>165</v>
      </c>
      <c r="F61" s="57" t="s">
        <v>165</v>
      </c>
      <c r="G61" s="57" t="s">
        <v>164</v>
      </c>
      <c r="H61" s="128" t="s">
        <v>163</v>
      </c>
      <c r="I61" s="124"/>
      <c r="J61" s="90"/>
      <c r="K61" s="90"/>
      <c r="L61" s="90"/>
      <c r="M61" s="142"/>
      <c r="N61" s="90"/>
      <c r="O61" s="142"/>
      <c r="P61" s="90"/>
    </row>
    <row r="62" spans="1:16" ht="13.5" customHeight="1">
      <c r="A62" s="60">
        <v>6</v>
      </c>
      <c r="B62" s="57">
        <v>116919.28</v>
      </c>
      <c r="C62" s="57">
        <v>15259.29</v>
      </c>
      <c r="D62" s="57">
        <v>1019.51</v>
      </c>
      <c r="E62" s="57">
        <v>26989.78</v>
      </c>
      <c r="F62" s="57">
        <v>4370.2</v>
      </c>
      <c r="G62" s="57">
        <v>18392.16</v>
      </c>
      <c r="H62" s="128">
        <v>12850.18</v>
      </c>
      <c r="I62" s="124"/>
      <c r="J62" s="124"/>
      <c r="K62" s="124"/>
      <c r="L62" s="124"/>
      <c r="M62" s="124"/>
      <c r="N62" s="124"/>
      <c r="O62" s="124"/>
      <c r="P62" s="90"/>
    </row>
    <row r="63" spans="1:16" ht="13.5" customHeight="1">
      <c r="A63" s="60"/>
      <c r="B63" s="57"/>
      <c r="C63" s="57"/>
      <c r="D63" s="57"/>
      <c r="E63" s="57"/>
      <c r="F63" s="57"/>
      <c r="G63" s="57"/>
      <c r="H63" s="128"/>
      <c r="I63" s="124"/>
      <c r="J63" s="90"/>
      <c r="K63" s="90"/>
      <c r="L63" s="90"/>
      <c r="M63" s="142"/>
      <c r="N63" s="90"/>
      <c r="O63" s="142"/>
      <c r="P63" s="90"/>
    </row>
    <row r="64" spans="1:16" ht="13.5" customHeight="1">
      <c r="A64" s="60">
        <v>7</v>
      </c>
      <c r="B64" s="57" t="s">
        <v>163</v>
      </c>
      <c r="C64" s="57" t="s">
        <v>163</v>
      </c>
      <c r="D64" s="57" t="s">
        <v>163</v>
      </c>
      <c r="E64" s="57" t="s">
        <v>165</v>
      </c>
      <c r="F64" s="57" t="s">
        <v>163</v>
      </c>
      <c r="G64" s="57" t="s">
        <v>165</v>
      </c>
      <c r="H64" s="128" t="s">
        <v>165</v>
      </c>
      <c r="I64" s="124"/>
      <c r="J64" s="90"/>
      <c r="K64" s="90"/>
      <c r="L64" s="90"/>
      <c r="M64" s="142"/>
      <c r="N64" s="90"/>
      <c r="O64" s="142"/>
      <c r="P64" s="90"/>
    </row>
    <row r="65" spans="1:16" ht="13.5" customHeight="1">
      <c r="A65" s="60">
        <v>8</v>
      </c>
      <c r="B65" s="57" t="s">
        <v>165</v>
      </c>
      <c r="C65" s="57" t="s">
        <v>165</v>
      </c>
      <c r="D65" s="57" t="s">
        <v>165</v>
      </c>
      <c r="E65" s="57" t="s">
        <v>168</v>
      </c>
      <c r="F65" s="57" t="s">
        <v>165</v>
      </c>
      <c r="G65" s="57" t="s">
        <v>165</v>
      </c>
      <c r="H65" s="128" t="s">
        <v>163</v>
      </c>
      <c r="I65" s="124"/>
      <c r="J65" s="90"/>
      <c r="K65" s="90"/>
      <c r="L65" s="90"/>
      <c r="M65" s="142"/>
      <c r="N65" s="90"/>
      <c r="O65" s="142"/>
      <c r="P65" s="90"/>
    </row>
    <row r="66" spans="1:16" ht="13.5" customHeight="1">
      <c r="A66" s="60">
        <v>9</v>
      </c>
      <c r="B66" s="57">
        <v>119456.96000000001</v>
      </c>
      <c r="C66" s="57">
        <v>15448.75</v>
      </c>
      <c r="D66" s="57">
        <v>1034.54</v>
      </c>
      <c r="E66" s="57">
        <v>27781.39</v>
      </c>
      <c r="F66" s="57">
        <v>4688.25</v>
      </c>
      <c r="G66" s="57">
        <v>18796.14</v>
      </c>
      <c r="H66" s="128">
        <v>13192.3</v>
      </c>
      <c r="I66" s="124"/>
      <c r="J66" s="124"/>
      <c r="K66" s="124"/>
      <c r="L66" s="124"/>
      <c r="M66" s="124"/>
      <c r="N66" s="124"/>
      <c r="O66" s="124"/>
      <c r="P66" s="90"/>
    </row>
    <row r="67" spans="1:16" ht="13.5" customHeight="1">
      <c r="A67" s="60"/>
      <c r="B67" s="57"/>
      <c r="C67" s="57"/>
      <c r="D67" s="57"/>
      <c r="E67" s="57"/>
      <c r="F67" s="57"/>
      <c r="G67" s="57"/>
      <c r="H67" s="128"/>
      <c r="I67" s="124"/>
      <c r="J67" s="90"/>
      <c r="K67" s="90"/>
      <c r="L67" s="90"/>
      <c r="M67" s="142"/>
      <c r="N67" s="90"/>
      <c r="O67" s="142"/>
      <c r="P67" s="90"/>
    </row>
    <row r="68" spans="1:16" ht="13.5" customHeight="1">
      <c r="A68" s="60">
        <v>10</v>
      </c>
      <c r="B68" s="57" t="s">
        <v>163</v>
      </c>
      <c r="C68" s="57" t="s">
        <v>163</v>
      </c>
      <c r="D68" s="57" t="s">
        <v>163</v>
      </c>
      <c r="E68" s="57" t="s">
        <v>165</v>
      </c>
      <c r="F68" s="57" t="s">
        <v>165</v>
      </c>
      <c r="G68" s="57" t="s">
        <v>165</v>
      </c>
      <c r="H68" s="128" t="s">
        <v>164</v>
      </c>
      <c r="I68" s="124"/>
      <c r="J68" s="90"/>
      <c r="K68" s="90"/>
      <c r="L68" s="90"/>
      <c r="M68" s="142"/>
      <c r="N68" s="90"/>
      <c r="O68" s="142"/>
      <c r="P68" s="90"/>
    </row>
    <row r="69" spans="1:16" ht="13.5" customHeight="1">
      <c r="A69" s="60">
        <v>11</v>
      </c>
      <c r="B69" s="57" t="s">
        <v>163</v>
      </c>
      <c r="C69" s="57" t="s">
        <v>165</v>
      </c>
      <c r="D69" s="57" t="s">
        <v>164</v>
      </c>
      <c r="E69" s="57" t="s">
        <v>163</v>
      </c>
      <c r="F69" s="57" t="s">
        <v>165</v>
      </c>
      <c r="G69" s="57" t="s">
        <v>165</v>
      </c>
      <c r="H69" s="128" t="s">
        <v>165</v>
      </c>
      <c r="I69" s="124"/>
      <c r="J69" s="90"/>
      <c r="K69" s="90"/>
      <c r="L69" s="90"/>
      <c r="M69" s="142"/>
      <c r="N69" s="90"/>
      <c r="O69" s="142"/>
      <c r="P69" s="90"/>
    </row>
    <row r="70" spans="1:16" ht="13.5" customHeight="1">
      <c r="A70" s="60">
        <v>12</v>
      </c>
      <c r="B70" s="57">
        <v>122359.81</v>
      </c>
      <c r="C70" s="57">
        <v>15457.23</v>
      </c>
      <c r="D70" s="57">
        <v>1269.05</v>
      </c>
      <c r="E70" s="57">
        <v>27845.55</v>
      </c>
      <c r="F70" s="57">
        <v>4372.9399999999996</v>
      </c>
      <c r="G70" s="57">
        <v>19166.38</v>
      </c>
      <c r="H70" s="128">
        <v>13475.69</v>
      </c>
      <c r="I70" s="124"/>
      <c r="J70" s="124"/>
      <c r="K70" s="124"/>
      <c r="L70" s="124"/>
      <c r="M70" s="124"/>
      <c r="N70" s="124"/>
      <c r="O70" s="124"/>
      <c r="P70" s="90"/>
    </row>
    <row r="71" spans="1:16" ht="13.5" customHeight="1">
      <c r="A71" s="60"/>
      <c r="B71" s="57"/>
      <c r="C71" s="57"/>
      <c r="D71" s="57"/>
      <c r="E71" s="57"/>
      <c r="F71" s="57"/>
      <c r="G71" s="57"/>
      <c r="H71" s="128"/>
      <c r="I71" s="124"/>
      <c r="J71" s="90"/>
      <c r="K71" s="90"/>
      <c r="L71" s="90"/>
      <c r="M71" s="142"/>
      <c r="N71" s="90"/>
      <c r="O71" s="142"/>
      <c r="P71" s="90"/>
    </row>
    <row r="72" spans="1:16" ht="13.5" customHeight="1">
      <c r="A72" s="60">
        <v>2021.1</v>
      </c>
      <c r="B72" s="57" t="s">
        <v>163</v>
      </c>
      <c r="C72" s="57" t="s">
        <v>165</v>
      </c>
      <c r="D72" s="57" t="s">
        <v>165</v>
      </c>
      <c r="E72" s="57" t="s">
        <v>165</v>
      </c>
      <c r="F72" s="57" t="s">
        <v>168</v>
      </c>
      <c r="G72" s="57" t="s">
        <v>165</v>
      </c>
      <c r="H72" s="128" t="s">
        <v>165</v>
      </c>
      <c r="I72" s="124"/>
      <c r="J72" s="90"/>
      <c r="K72" s="90"/>
      <c r="L72" s="90"/>
      <c r="M72" s="142"/>
      <c r="N72" s="90"/>
      <c r="O72" s="142"/>
      <c r="P72" s="90"/>
    </row>
    <row r="73" spans="1:16" ht="13.5" customHeight="1">
      <c r="A73" s="60">
        <v>2</v>
      </c>
      <c r="B73" s="57" t="s">
        <v>163</v>
      </c>
      <c r="C73" s="57" t="s">
        <v>165</v>
      </c>
      <c r="D73" s="57" t="s">
        <v>163</v>
      </c>
      <c r="E73" s="57" t="s">
        <v>163</v>
      </c>
      <c r="F73" s="57" t="s">
        <v>165</v>
      </c>
      <c r="G73" s="57" t="s">
        <v>165</v>
      </c>
      <c r="H73" s="128" t="s">
        <v>164</v>
      </c>
      <c r="I73" s="124"/>
      <c r="J73" s="90"/>
      <c r="K73" s="90"/>
      <c r="L73" s="90"/>
      <c r="M73" s="142"/>
      <c r="N73" s="90"/>
      <c r="O73" s="142"/>
      <c r="P73" s="90"/>
    </row>
    <row r="74" spans="1:16" ht="13.5" customHeight="1">
      <c r="A74" s="60">
        <v>3</v>
      </c>
      <c r="B74" s="57">
        <v>125240.39</v>
      </c>
      <c r="C74" s="57">
        <v>15648.52</v>
      </c>
      <c r="D74" s="57">
        <v>1108.17</v>
      </c>
      <c r="E74" s="57">
        <v>28145.31</v>
      </c>
      <c r="F74" s="57">
        <v>4856.8500000000004</v>
      </c>
      <c r="G74" s="57">
        <v>19737.02</v>
      </c>
      <c r="H74" s="128">
        <v>14150.56</v>
      </c>
      <c r="I74" s="124"/>
      <c r="J74" s="90"/>
      <c r="K74" s="90"/>
      <c r="L74" s="90"/>
      <c r="M74" s="142"/>
      <c r="N74" s="90"/>
      <c r="O74" s="142"/>
      <c r="P74" s="90"/>
    </row>
    <row r="75" spans="1:16" ht="13.5" customHeight="1">
      <c r="A75" s="60"/>
      <c r="B75" s="57"/>
      <c r="C75" s="57"/>
      <c r="D75" s="57"/>
      <c r="E75" s="57"/>
      <c r="F75" s="57"/>
      <c r="G75" s="57"/>
      <c r="H75" s="128"/>
      <c r="I75" s="124"/>
      <c r="J75" s="90"/>
      <c r="K75" s="90"/>
      <c r="L75" s="90"/>
      <c r="M75" s="142"/>
      <c r="N75" s="90"/>
      <c r="O75" s="142"/>
      <c r="P75" s="90"/>
    </row>
    <row r="76" spans="1:16" ht="13.5" customHeight="1">
      <c r="A76" s="60">
        <v>4</v>
      </c>
      <c r="B76" s="57" t="s">
        <v>165</v>
      </c>
      <c r="C76" s="57" t="s">
        <v>163</v>
      </c>
      <c r="D76" s="57" t="s">
        <v>163</v>
      </c>
      <c r="E76" s="57" t="s">
        <v>165</v>
      </c>
      <c r="F76" s="57" t="s">
        <v>165</v>
      </c>
      <c r="G76" s="57" t="s">
        <v>165</v>
      </c>
      <c r="H76" s="128" t="s">
        <v>165</v>
      </c>
      <c r="I76" s="124"/>
      <c r="J76" s="90"/>
      <c r="K76" s="90"/>
      <c r="L76" s="90"/>
      <c r="M76" s="142"/>
      <c r="N76" s="90"/>
      <c r="O76" s="142"/>
      <c r="P76" s="90"/>
    </row>
    <row r="77" spans="1:16" ht="13.5" customHeight="1">
      <c r="A77" s="60">
        <v>5</v>
      </c>
      <c r="B77" s="57" t="s">
        <v>165</v>
      </c>
      <c r="C77" s="57" t="s">
        <v>163</v>
      </c>
      <c r="D77" s="57" t="s">
        <v>163</v>
      </c>
      <c r="E77" s="57" t="s">
        <v>165</v>
      </c>
      <c r="F77" s="57" t="s">
        <v>165</v>
      </c>
      <c r="G77" s="57" t="s">
        <v>163</v>
      </c>
      <c r="H77" s="128" t="s">
        <v>163</v>
      </c>
      <c r="I77" s="124"/>
      <c r="J77" s="90"/>
      <c r="K77" s="90"/>
      <c r="L77" s="90"/>
      <c r="M77" s="142"/>
      <c r="N77" s="90"/>
      <c r="O77" s="142"/>
      <c r="P77" s="90"/>
    </row>
    <row r="78" spans="1:16" ht="13.5" customHeight="1">
      <c r="A78" s="60">
        <v>6</v>
      </c>
      <c r="B78" s="57">
        <v>126195.18</v>
      </c>
      <c r="C78" s="57">
        <v>15897.56</v>
      </c>
      <c r="D78" s="57">
        <v>1092.6600000000001</v>
      </c>
      <c r="E78" s="57">
        <v>27749</v>
      </c>
      <c r="F78" s="57">
        <v>4935.26</v>
      </c>
      <c r="G78" s="57">
        <v>20282.62</v>
      </c>
      <c r="H78" s="128">
        <v>14264.17</v>
      </c>
      <c r="I78" s="124"/>
      <c r="J78" s="90"/>
      <c r="K78" s="90"/>
      <c r="L78" s="90"/>
      <c r="M78" s="142"/>
      <c r="N78" s="90"/>
      <c r="O78" s="142"/>
      <c r="P78" s="90"/>
    </row>
    <row r="79" spans="1:16" ht="13.5" customHeight="1">
      <c r="A79" s="60"/>
      <c r="B79" s="57"/>
      <c r="C79" s="57"/>
      <c r="D79" s="57"/>
      <c r="E79" s="57"/>
      <c r="F79" s="57"/>
      <c r="G79" s="57"/>
      <c r="H79" s="128"/>
      <c r="I79" s="124"/>
      <c r="J79" s="90"/>
      <c r="K79" s="90"/>
      <c r="L79" s="90"/>
      <c r="M79" s="142"/>
      <c r="N79" s="90"/>
      <c r="O79" s="142"/>
      <c r="P79" s="90"/>
    </row>
    <row r="80" spans="1:16" ht="13.5" customHeight="1">
      <c r="A80" s="60">
        <v>7</v>
      </c>
      <c r="B80" s="57" t="s">
        <v>165</v>
      </c>
      <c r="C80" s="57" t="s">
        <v>163</v>
      </c>
      <c r="D80" s="57" t="s">
        <v>163</v>
      </c>
      <c r="E80" s="57" t="s">
        <v>165</v>
      </c>
      <c r="F80" s="57" t="s">
        <v>165</v>
      </c>
      <c r="G80" s="57" t="s">
        <v>163</v>
      </c>
      <c r="H80" s="128" t="s">
        <v>163</v>
      </c>
      <c r="I80" s="124"/>
      <c r="J80" s="90"/>
      <c r="K80" s="90"/>
      <c r="L80" s="90"/>
      <c r="M80" s="142"/>
      <c r="N80" s="90"/>
      <c r="O80" s="142"/>
      <c r="P80" s="90"/>
    </row>
    <row r="81" spans="1:17" ht="13.5" customHeight="1">
      <c r="A81" s="60">
        <v>8</v>
      </c>
      <c r="B81" s="57" t="s">
        <v>165</v>
      </c>
      <c r="C81" s="57" t="s">
        <v>165</v>
      </c>
      <c r="D81" s="57" t="s">
        <v>163</v>
      </c>
      <c r="E81" s="57" t="s">
        <v>165</v>
      </c>
      <c r="F81" s="57" t="s">
        <v>165</v>
      </c>
      <c r="G81" s="57" t="s">
        <v>165</v>
      </c>
      <c r="H81" s="128" t="s">
        <v>163</v>
      </c>
      <c r="I81" s="124"/>
      <c r="J81" s="90"/>
      <c r="K81" s="90"/>
      <c r="L81" s="90"/>
      <c r="M81" s="142"/>
      <c r="N81" s="90"/>
      <c r="O81" s="142"/>
      <c r="P81" s="90"/>
    </row>
    <row r="82" spans="1:17" ht="13.5" customHeight="1">
      <c r="A82" s="60">
        <v>9</v>
      </c>
      <c r="B82" s="57">
        <v>128603.16</v>
      </c>
      <c r="C82" s="57">
        <v>16061.39</v>
      </c>
      <c r="D82" s="57">
        <v>1181.47</v>
      </c>
      <c r="E82" s="57">
        <v>28293.94</v>
      </c>
      <c r="F82" s="57">
        <v>5349.05</v>
      </c>
      <c r="G82" s="57">
        <v>20891.27</v>
      </c>
      <c r="H82" s="128">
        <v>14574.33</v>
      </c>
      <c r="I82" s="124"/>
      <c r="J82" s="90"/>
      <c r="K82" s="90"/>
      <c r="L82" s="90"/>
      <c r="M82" s="142"/>
      <c r="N82" s="90"/>
      <c r="O82" s="142"/>
      <c r="P82" s="90"/>
    </row>
    <row r="83" spans="1:17" ht="13.5" customHeight="1">
      <c r="A83" s="60"/>
      <c r="B83" s="57"/>
      <c r="C83" s="57"/>
      <c r="D83" s="57"/>
      <c r="E83" s="57"/>
      <c r="F83" s="57"/>
      <c r="G83" s="57"/>
      <c r="H83" s="128"/>
      <c r="I83" s="124"/>
      <c r="J83" s="90"/>
      <c r="K83" s="90"/>
      <c r="L83" s="90"/>
      <c r="M83" s="142"/>
      <c r="N83" s="90"/>
      <c r="O83" s="142"/>
      <c r="P83" s="90"/>
    </row>
    <row r="84" spans="1:17" ht="13.5" customHeight="1">
      <c r="A84" s="60">
        <v>10</v>
      </c>
      <c r="B84" s="57" t="s">
        <v>163</v>
      </c>
      <c r="C84" s="57" t="s">
        <v>163</v>
      </c>
      <c r="D84" s="57" t="s">
        <v>165</v>
      </c>
      <c r="E84" s="57" t="s">
        <v>165</v>
      </c>
      <c r="F84" s="57" t="s">
        <v>163</v>
      </c>
      <c r="G84" s="57" t="s">
        <v>163</v>
      </c>
      <c r="H84" s="128" t="s">
        <v>163</v>
      </c>
      <c r="I84" s="124"/>
      <c r="J84" s="90"/>
      <c r="K84" s="90"/>
      <c r="L84" s="90"/>
      <c r="M84" s="142"/>
      <c r="N84" s="90"/>
      <c r="O84" s="142"/>
      <c r="P84" s="90"/>
    </row>
    <row r="85" spans="1:17" ht="13.5" customHeight="1">
      <c r="A85" s="60">
        <v>11</v>
      </c>
      <c r="B85" s="57" t="s">
        <v>163</v>
      </c>
      <c r="C85" s="57" t="s">
        <v>165</v>
      </c>
      <c r="D85" s="57" t="s">
        <v>165</v>
      </c>
      <c r="E85" s="57" t="s">
        <v>163</v>
      </c>
      <c r="F85" s="57" t="s">
        <v>163</v>
      </c>
      <c r="G85" s="57" t="s">
        <v>167</v>
      </c>
      <c r="H85" s="128" t="s">
        <v>165</v>
      </c>
      <c r="I85" s="124"/>
      <c r="J85" s="90"/>
      <c r="K85" s="90"/>
      <c r="L85" s="90"/>
      <c r="M85" s="142"/>
      <c r="N85" s="90"/>
      <c r="O85" s="142"/>
      <c r="P85" s="90"/>
    </row>
    <row r="86" spans="1:17" ht="13.5" customHeight="1">
      <c r="A86" s="60">
        <v>12</v>
      </c>
      <c r="B86" s="57">
        <v>130529.03</v>
      </c>
      <c r="C86" s="57">
        <v>16107.49</v>
      </c>
      <c r="D86" s="57">
        <v>1215.31</v>
      </c>
      <c r="E86" s="57">
        <v>28369.1</v>
      </c>
      <c r="F86" s="57">
        <v>5129.1400000000003</v>
      </c>
      <c r="G86" s="57">
        <v>21096.94</v>
      </c>
      <c r="H86" s="128">
        <v>14755.36</v>
      </c>
      <c r="I86" s="124"/>
      <c r="J86" s="90"/>
      <c r="K86" s="90"/>
      <c r="L86" s="90"/>
      <c r="M86" s="142"/>
      <c r="N86" s="90"/>
      <c r="O86" s="142"/>
      <c r="P86" s="90"/>
    </row>
    <row r="87" spans="1:17" ht="13.5" customHeight="1">
      <c r="A87" s="60"/>
      <c r="B87" s="57"/>
      <c r="C87" s="57"/>
      <c r="D87" s="57"/>
      <c r="E87" s="57"/>
      <c r="F87" s="57"/>
      <c r="G87" s="57"/>
      <c r="H87" s="128"/>
      <c r="I87" s="124"/>
      <c r="J87" s="90"/>
      <c r="K87" s="90"/>
      <c r="L87" s="90"/>
      <c r="M87" s="142"/>
      <c r="N87" s="90"/>
      <c r="O87" s="142"/>
      <c r="P87" s="90"/>
    </row>
    <row r="88" spans="1:17" ht="13.5" customHeight="1">
      <c r="A88" s="60">
        <v>2022.1</v>
      </c>
      <c r="B88" s="57" t="s">
        <v>163</v>
      </c>
      <c r="C88" s="57" t="s">
        <v>163</v>
      </c>
      <c r="D88" s="57" t="s">
        <v>164</v>
      </c>
      <c r="E88" s="57" t="s">
        <v>163</v>
      </c>
      <c r="F88" s="57" t="s">
        <v>163</v>
      </c>
      <c r="G88" s="57" t="s">
        <v>163</v>
      </c>
      <c r="H88" s="128" t="s">
        <v>163</v>
      </c>
      <c r="I88" s="124"/>
      <c r="J88" s="90"/>
      <c r="K88" s="90"/>
      <c r="L88" s="90"/>
      <c r="M88" s="142"/>
      <c r="N88" s="90"/>
      <c r="O88" s="142"/>
      <c r="P88" s="90"/>
    </row>
    <row r="89" spans="1:17" ht="13.5" customHeight="1">
      <c r="A89" s="60">
        <v>2</v>
      </c>
      <c r="B89" s="57" t="s">
        <v>165</v>
      </c>
      <c r="C89" s="57" t="s">
        <v>163</v>
      </c>
      <c r="D89" s="57" t="s">
        <v>163</v>
      </c>
      <c r="E89" s="57" t="s">
        <v>165</v>
      </c>
      <c r="F89" s="57" t="s">
        <v>163</v>
      </c>
      <c r="G89" s="57" t="s">
        <v>163</v>
      </c>
      <c r="H89" s="128" t="s">
        <v>165</v>
      </c>
      <c r="I89" s="124"/>
      <c r="J89" s="90"/>
      <c r="K89" s="90"/>
      <c r="L89" s="90"/>
      <c r="M89" s="142"/>
      <c r="N89" s="90"/>
      <c r="O89" s="142"/>
      <c r="P89" s="90"/>
    </row>
    <row r="90" spans="1:17" ht="13.5" customHeight="1">
      <c r="A90" s="60">
        <v>3</v>
      </c>
      <c r="B90" s="57">
        <v>132004.01</v>
      </c>
      <c r="C90" s="57">
        <v>16141.58</v>
      </c>
      <c r="D90" s="57">
        <v>1233.92</v>
      </c>
      <c r="E90" s="57">
        <v>28496.91</v>
      </c>
      <c r="F90" s="57">
        <v>5724.64</v>
      </c>
      <c r="G90" s="57">
        <v>21607.7</v>
      </c>
      <c r="H90" s="128">
        <v>15206.6</v>
      </c>
      <c r="I90" s="124"/>
      <c r="J90" s="90"/>
      <c r="K90" s="90"/>
      <c r="L90" s="90"/>
      <c r="M90" s="142"/>
      <c r="N90" s="90"/>
      <c r="O90" s="142"/>
      <c r="P90" s="90"/>
    </row>
    <row r="91" spans="1:17" ht="13.5" customHeight="1">
      <c r="A91" s="60"/>
      <c r="B91" s="57"/>
      <c r="C91" s="57"/>
      <c r="D91" s="57"/>
      <c r="E91" s="57"/>
      <c r="F91" s="57"/>
      <c r="G91" s="57"/>
      <c r="H91" s="128"/>
      <c r="I91" s="124"/>
      <c r="J91" s="90"/>
      <c r="K91" s="90"/>
      <c r="L91" s="90"/>
      <c r="M91" s="142"/>
      <c r="N91" s="90"/>
      <c r="O91" s="142"/>
      <c r="P91" s="90"/>
    </row>
    <row r="92" spans="1:17" ht="13.5" customHeight="1">
      <c r="A92" s="60">
        <v>4</v>
      </c>
      <c r="B92" s="57" t="s">
        <v>163</v>
      </c>
      <c r="C92" s="57" t="s">
        <v>163</v>
      </c>
      <c r="D92" s="57" t="s">
        <v>163</v>
      </c>
      <c r="E92" s="57" t="s">
        <v>163</v>
      </c>
      <c r="F92" s="57" t="s">
        <v>163</v>
      </c>
      <c r="G92" s="57" t="s">
        <v>163</v>
      </c>
      <c r="H92" s="128" t="s">
        <v>163</v>
      </c>
      <c r="I92" s="124"/>
      <c r="J92" s="90"/>
      <c r="K92" s="90"/>
      <c r="L92" s="90"/>
      <c r="M92" s="142"/>
      <c r="N92" s="90"/>
      <c r="O92" s="142"/>
      <c r="P92" s="90"/>
    </row>
    <row r="93" spans="1:17" ht="13.5" customHeight="1">
      <c r="A93" s="60">
        <v>5</v>
      </c>
      <c r="B93" s="57" t="s">
        <v>163</v>
      </c>
      <c r="C93" s="57" t="s">
        <v>163</v>
      </c>
      <c r="D93" s="57" t="s">
        <v>163</v>
      </c>
      <c r="E93" s="57" t="s">
        <v>163</v>
      </c>
      <c r="F93" s="57" t="s">
        <v>163</v>
      </c>
      <c r="G93" s="57" t="s">
        <v>163</v>
      </c>
      <c r="H93" s="128" t="s">
        <v>163</v>
      </c>
      <c r="I93" s="124"/>
      <c r="J93" s="90"/>
      <c r="K93" s="90"/>
      <c r="L93" s="90"/>
      <c r="M93" s="142"/>
      <c r="N93" s="90"/>
      <c r="O93" s="142"/>
      <c r="P93" s="90"/>
    </row>
    <row r="94" spans="1:17" ht="13.5" customHeight="1">
      <c r="A94" s="171" t="s">
        <v>166</v>
      </c>
      <c r="B94" s="169">
        <v>134375.54</v>
      </c>
      <c r="C94" s="169">
        <v>16353.34</v>
      </c>
      <c r="D94" s="169">
        <v>1250.28</v>
      </c>
      <c r="E94" s="169">
        <v>29307.45</v>
      </c>
      <c r="F94" s="169">
        <v>5928.26</v>
      </c>
      <c r="G94" s="169">
        <v>22330.37</v>
      </c>
      <c r="H94" s="170">
        <v>15537.75</v>
      </c>
      <c r="I94" s="124"/>
      <c r="J94" s="90"/>
      <c r="K94" s="90"/>
      <c r="L94" s="90"/>
      <c r="M94" s="142"/>
      <c r="N94" s="90"/>
      <c r="O94" s="142"/>
      <c r="P94" s="90"/>
    </row>
    <row r="95" spans="1:17" ht="13.5" customHeight="1">
      <c r="A95" s="60"/>
      <c r="B95" s="57"/>
      <c r="C95" s="57"/>
      <c r="D95" s="57"/>
      <c r="E95" s="57"/>
      <c r="F95" s="57"/>
      <c r="G95" s="57"/>
      <c r="H95" s="128"/>
      <c r="I95" s="124"/>
      <c r="J95" s="90"/>
      <c r="K95" s="90"/>
      <c r="L95" s="90"/>
      <c r="M95" s="142"/>
      <c r="N95" s="90"/>
      <c r="O95" s="142"/>
      <c r="P95" s="90"/>
    </row>
    <row r="96" spans="1:17" ht="13.5" customHeight="1">
      <c r="A96" s="172">
        <v>7</v>
      </c>
      <c r="B96" s="173" t="s">
        <v>163</v>
      </c>
      <c r="C96" s="173" t="s">
        <v>163</v>
      </c>
      <c r="D96" s="173" t="s">
        <v>164</v>
      </c>
      <c r="E96" s="173" t="s">
        <v>165</v>
      </c>
      <c r="F96" s="173" t="s">
        <v>163</v>
      </c>
      <c r="G96" s="173" t="s">
        <v>163</v>
      </c>
      <c r="H96" s="174" t="s">
        <v>163</v>
      </c>
      <c r="I96" s="124"/>
      <c r="J96" s="124"/>
      <c r="K96" s="124"/>
      <c r="L96" s="124"/>
      <c r="M96" s="124"/>
      <c r="N96" s="124"/>
      <c r="O96" s="124"/>
      <c r="P96" s="138"/>
      <c r="Q96" s="141"/>
    </row>
    <row r="97" spans="1:16" ht="13.5" customHeight="1">
      <c r="A97" s="40" t="s">
        <v>156</v>
      </c>
      <c r="B97" s="40"/>
      <c r="E97" s="90"/>
      <c r="P97" s="90"/>
    </row>
    <row r="98" spans="1:16" ht="13.5" customHeight="1">
      <c r="A98" s="40" t="s">
        <v>78</v>
      </c>
      <c r="B98" s="40"/>
      <c r="P98" s="90"/>
    </row>
    <row r="99" spans="1:16" ht="13.5" customHeight="1">
      <c r="A99" s="40"/>
      <c r="P99" s="90"/>
    </row>
    <row r="100" spans="1:16" ht="13.5" customHeight="1"/>
    <row r="101" spans="1:16" ht="13.5" customHeight="1">
      <c r="B101" s="132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</row>
  </sheetData>
  <mergeCells count="2">
    <mergeCell ref="A8:A9"/>
    <mergeCell ref="B8:H8"/>
  </mergeCells>
  <phoneticPr fontId="9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56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108"/>
  <sheetViews>
    <sheetView view="pageBreakPreview" topLeftCell="A5" zoomScale="60" zoomScaleNormal="85" workbookViewId="0">
      <pane xSplit="1" ySplit="3" topLeftCell="B50" activePane="bottomRight" state="frozen"/>
      <selection activeCell="E91" sqref="E91"/>
      <selection pane="topRight" activeCell="E91" sqref="E91"/>
      <selection pane="bottomLeft" activeCell="E91" sqref="E91"/>
      <selection pane="bottomRight" activeCell="E76" sqref="E76"/>
    </sheetView>
  </sheetViews>
  <sheetFormatPr defaultColWidth="8.88671875" defaultRowHeight="13.5"/>
  <cols>
    <col min="1" max="1" width="10.77734375" style="95" customWidth="1"/>
    <col min="2" max="2" width="12.109375" style="51" customWidth="1"/>
    <col min="3" max="4" width="12.77734375" style="51" customWidth="1"/>
    <col min="5" max="5" width="13.6640625" style="51" customWidth="1"/>
    <col min="6" max="7" width="12.77734375" style="51" customWidth="1"/>
    <col min="8" max="16384" width="8.88671875" style="51"/>
  </cols>
  <sheetData>
    <row r="1" spans="1:8" s="1" customFormat="1" ht="12" hidden="1">
      <c r="A1" s="39"/>
    </row>
    <row r="2" spans="1:8" s="1" customFormat="1" ht="12" hidden="1">
      <c r="A2" s="305"/>
      <c r="B2" s="305"/>
      <c r="C2" s="305"/>
      <c r="D2" s="305"/>
      <c r="E2" s="305"/>
      <c r="F2" s="305"/>
      <c r="G2" s="305"/>
    </row>
    <row r="3" spans="1:8" s="1" customFormat="1" ht="12" hidden="1">
      <c r="A3" s="306"/>
      <c r="B3" s="306"/>
      <c r="C3" s="306"/>
      <c r="D3" s="306"/>
      <c r="E3" s="306"/>
      <c r="F3" s="306"/>
      <c r="G3" s="306"/>
    </row>
    <row r="4" spans="1:8" s="1" customFormat="1" ht="12" hidden="1">
      <c r="A4" s="48"/>
      <c r="B4" s="48"/>
      <c r="C4" s="48"/>
      <c r="D4" s="48"/>
      <c r="E4" s="48"/>
      <c r="F4" s="48"/>
      <c r="G4" s="48"/>
    </row>
    <row r="5" spans="1:8">
      <c r="A5" s="1" t="s">
        <v>98</v>
      </c>
      <c r="B5" s="49"/>
      <c r="C5" s="49"/>
      <c r="D5" s="49"/>
      <c r="E5" s="49"/>
      <c r="F5" s="49"/>
      <c r="G5" s="4" t="s">
        <v>100</v>
      </c>
    </row>
    <row r="6" spans="1:8" ht="24" customHeight="1">
      <c r="A6" s="276" t="s">
        <v>1</v>
      </c>
      <c r="B6" s="309" t="s">
        <v>110</v>
      </c>
      <c r="C6" s="310"/>
      <c r="D6" s="310"/>
      <c r="E6" s="311"/>
      <c r="F6" s="287" t="s">
        <v>79</v>
      </c>
      <c r="G6" s="307" t="s">
        <v>80</v>
      </c>
      <c r="H6" s="90"/>
    </row>
    <row r="7" spans="1:8" ht="33.75" customHeight="1">
      <c r="A7" s="277"/>
      <c r="B7" s="129" t="s">
        <v>138</v>
      </c>
      <c r="C7" s="96" t="s">
        <v>108</v>
      </c>
      <c r="D7" s="96" t="s">
        <v>139</v>
      </c>
      <c r="E7" s="24" t="s">
        <v>140</v>
      </c>
      <c r="F7" s="292"/>
      <c r="G7" s="308"/>
    </row>
    <row r="8" spans="1:8" ht="13.5" customHeight="1">
      <c r="A8" s="58">
        <v>2011</v>
      </c>
      <c r="B8" s="10">
        <v>3382</v>
      </c>
      <c r="C8" s="10">
        <v>3485</v>
      </c>
      <c r="D8" s="10">
        <v>3386</v>
      </c>
      <c r="E8" s="10">
        <v>2509</v>
      </c>
      <c r="F8" s="10">
        <v>54766</v>
      </c>
      <c r="G8" s="61">
        <v>114584</v>
      </c>
    </row>
    <row r="9" spans="1:8" ht="13.5" customHeight="1">
      <c r="A9" s="58">
        <v>2012</v>
      </c>
      <c r="B9" s="10">
        <v>3470</v>
      </c>
      <c r="C9" s="10">
        <v>2722</v>
      </c>
      <c r="D9" s="10">
        <v>4227</v>
      </c>
      <c r="E9" s="10">
        <v>2898</v>
      </c>
      <c r="F9" s="10">
        <v>58266</v>
      </c>
      <c r="G9" s="61">
        <v>121443</v>
      </c>
    </row>
    <row r="10" spans="1:8" ht="13.5" customHeight="1">
      <c r="A10" s="58">
        <v>2013</v>
      </c>
      <c r="B10" s="10">
        <v>3617</v>
      </c>
      <c r="C10" s="10">
        <v>3039</v>
      </c>
      <c r="D10" s="10">
        <v>4961</v>
      </c>
      <c r="E10" s="10">
        <v>5878</v>
      </c>
      <c r="F10" s="10">
        <v>62412</v>
      </c>
      <c r="G10" s="61">
        <v>132599</v>
      </c>
      <c r="H10" s="1"/>
    </row>
    <row r="11" spans="1:8" ht="13.5" customHeight="1">
      <c r="A11" s="58">
        <v>2014</v>
      </c>
      <c r="B11" s="10">
        <v>2150</v>
      </c>
      <c r="C11" s="10">
        <v>3669</v>
      </c>
      <c r="D11" s="10">
        <v>5057</v>
      </c>
      <c r="E11" s="10">
        <v>9193</v>
      </c>
      <c r="F11" s="10">
        <v>64300</v>
      </c>
      <c r="G11" s="61">
        <v>141847</v>
      </c>
      <c r="H11" s="1"/>
    </row>
    <row r="12" spans="1:8" ht="13.5" customHeight="1">
      <c r="A12" s="58">
        <v>2015</v>
      </c>
      <c r="B12" s="10">
        <v>2408</v>
      </c>
      <c r="C12" s="10">
        <v>3617</v>
      </c>
      <c r="D12" s="10">
        <v>6537</v>
      </c>
      <c r="E12" s="10">
        <v>10514</v>
      </c>
      <c r="F12" s="10">
        <v>66906</v>
      </c>
      <c r="G12" s="61">
        <v>154649</v>
      </c>
      <c r="H12" s="1"/>
    </row>
    <row r="13" spans="1:8" ht="13.5" customHeight="1">
      <c r="A13" s="58"/>
      <c r="B13" s="10"/>
      <c r="C13" s="10"/>
      <c r="D13" s="10"/>
      <c r="E13" s="10"/>
      <c r="F13" s="10"/>
      <c r="G13" s="61"/>
      <c r="H13" s="1"/>
    </row>
    <row r="14" spans="1:8" ht="13.5" customHeight="1">
      <c r="A14" s="58">
        <v>2016</v>
      </c>
      <c r="B14" s="10">
        <v>2796</v>
      </c>
      <c r="C14" s="10">
        <v>4163</v>
      </c>
      <c r="D14" s="10">
        <v>8797</v>
      </c>
      <c r="E14" s="10">
        <v>8332</v>
      </c>
      <c r="F14" s="10">
        <v>72926</v>
      </c>
      <c r="G14" s="61">
        <v>164154</v>
      </c>
      <c r="H14" s="1"/>
    </row>
    <row r="15" spans="1:8" ht="13.5" customHeight="1">
      <c r="A15" s="58">
        <v>2017</v>
      </c>
      <c r="B15" s="10">
        <v>2638</v>
      </c>
      <c r="C15" s="10">
        <v>4871</v>
      </c>
      <c r="D15" s="10">
        <v>9954</v>
      </c>
      <c r="E15" s="10">
        <v>6875</v>
      </c>
      <c r="F15" s="10">
        <v>81678</v>
      </c>
      <c r="G15" s="61">
        <v>175876</v>
      </c>
      <c r="H15" s="1"/>
    </row>
    <row r="16" spans="1:8" ht="13.5" customHeight="1">
      <c r="A16" s="58">
        <v>2018</v>
      </c>
      <c r="B16" s="10">
        <v>2740.86</v>
      </c>
      <c r="C16" s="10">
        <v>5174.16</v>
      </c>
      <c r="D16" s="10">
        <v>11810.61</v>
      </c>
      <c r="E16" s="10">
        <v>4179.2100000000009</v>
      </c>
      <c r="F16" s="10">
        <v>92136</v>
      </c>
      <c r="G16" s="61">
        <v>192005</v>
      </c>
      <c r="H16" s="1"/>
    </row>
    <row r="17" spans="1:8" ht="13.5" customHeight="1">
      <c r="A17" s="58">
        <v>2019</v>
      </c>
      <c r="B17" s="10">
        <v>2901.77</v>
      </c>
      <c r="C17" s="10">
        <v>6034.06</v>
      </c>
      <c r="D17" s="10">
        <v>12786.67</v>
      </c>
      <c r="E17" s="10">
        <v>3721.64</v>
      </c>
      <c r="F17" s="10">
        <v>100638.39999999999</v>
      </c>
      <c r="G17" s="61">
        <v>209913.63</v>
      </c>
      <c r="H17" s="1"/>
    </row>
    <row r="18" spans="1:8" ht="13.5" customHeight="1">
      <c r="A18" s="58">
        <v>2020</v>
      </c>
      <c r="B18" s="10">
        <v>3243.56</v>
      </c>
      <c r="C18" s="10">
        <v>6396.22</v>
      </c>
      <c r="D18" s="10">
        <v>12706.36</v>
      </c>
      <c r="E18" s="10">
        <v>4254.8999999999996</v>
      </c>
      <c r="F18" s="10">
        <v>105954.59</v>
      </c>
      <c r="G18" s="61">
        <v>228314.4</v>
      </c>
      <c r="H18" s="1"/>
    </row>
    <row r="19" spans="1:8" ht="13.5" customHeight="1">
      <c r="A19" s="60"/>
      <c r="B19" s="10"/>
      <c r="C19" s="10"/>
      <c r="D19" s="10"/>
      <c r="E19" s="10"/>
      <c r="F19" s="10"/>
      <c r="G19" s="61"/>
      <c r="H19" s="1"/>
    </row>
    <row r="20" spans="1:8" ht="13.5" customHeight="1">
      <c r="A20" s="175">
        <v>2021</v>
      </c>
      <c r="B20" s="176">
        <v>3620.32</v>
      </c>
      <c r="C20" s="176">
        <v>7231.96</v>
      </c>
      <c r="D20" s="176">
        <v>13582.54</v>
      </c>
      <c r="E20" s="176">
        <v>4722.67</v>
      </c>
      <c r="F20" s="176">
        <v>108333.83</v>
      </c>
      <c r="G20" s="177">
        <v>238862.88</v>
      </c>
      <c r="H20" s="1"/>
    </row>
    <row r="21" spans="1:8" ht="13.5" customHeight="1">
      <c r="A21" s="60"/>
      <c r="B21" s="10"/>
      <c r="C21" s="10"/>
      <c r="D21" s="10"/>
      <c r="E21" s="10"/>
      <c r="F21" s="10"/>
      <c r="G21" s="61"/>
      <c r="H21" s="1"/>
    </row>
    <row r="22" spans="1:8" ht="13.5" customHeight="1">
      <c r="A22" s="60">
        <v>2018.1</v>
      </c>
      <c r="B22" s="10" t="s">
        <v>164</v>
      </c>
      <c r="C22" s="10" t="s">
        <v>163</v>
      </c>
      <c r="D22" s="10" t="s">
        <v>163</v>
      </c>
      <c r="E22" s="10" t="s">
        <v>163</v>
      </c>
      <c r="F22" s="10" t="s">
        <v>164</v>
      </c>
      <c r="G22" s="61" t="s">
        <v>163</v>
      </c>
      <c r="H22" s="1"/>
    </row>
    <row r="23" spans="1:8" ht="13.5" customHeight="1">
      <c r="A23" s="60">
        <v>2</v>
      </c>
      <c r="B23" s="10" t="s">
        <v>174</v>
      </c>
      <c r="C23" s="10" t="s">
        <v>163</v>
      </c>
      <c r="D23" s="10" t="s">
        <v>164</v>
      </c>
      <c r="E23" s="10" t="s">
        <v>163</v>
      </c>
      <c r="F23" s="10" t="s">
        <v>164</v>
      </c>
      <c r="G23" s="61" t="s">
        <v>164</v>
      </c>
      <c r="H23" s="1"/>
    </row>
    <row r="24" spans="1:8" ht="13.5" customHeight="1">
      <c r="A24" s="60">
        <v>3</v>
      </c>
      <c r="B24" s="10">
        <v>2685.45</v>
      </c>
      <c r="C24" s="10">
        <v>4832.42</v>
      </c>
      <c r="D24" s="10">
        <v>10637.92</v>
      </c>
      <c r="E24" s="10">
        <v>6100.98</v>
      </c>
      <c r="F24" s="10">
        <v>82517.47</v>
      </c>
      <c r="G24" s="61">
        <v>177614.66</v>
      </c>
      <c r="H24" s="1"/>
    </row>
    <row r="25" spans="1:8" ht="13.5" customHeight="1">
      <c r="A25" s="60"/>
      <c r="B25" s="10"/>
      <c r="C25" s="10"/>
      <c r="D25" s="10"/>
      <c r="E25" s="10"/>
      <c r="F25" s="10"/>
      <c r="G25" s="61"/>
      <c r="H25" s="1"/>
    </row>
    <row r="26" spans="1:8" ht="13.5" customHeight="1">
      <c r="A26" s="60">
        <v>4</v>
      </c>
      <c r="B26" s="10" t="s">
        <v>164</v>
      </c>
      <c r="C26" s="10" t="s">
        <v>164</v>
      </c>
      <c r="D26" s="10" t="s">
        <v>174</v>
      </c>
      <c r="E26" s="10" t="s">
        <v>164</v>
      </c>
      <c r="F26" s="10" t="s">
        <v>164</v>
      </c>
      <c r="G26" s="61" t="s">
        <v>163</v>
      </c>
      <c r="H26" s="1"/>
    </row>
    <row r="27" spans="1:8" ht="13.5" customHeight="1">
      <c r="A27" s="60">
        <v>5</v>
      </c>
      <c r="B27" s="10" t="s">
        <v>164</v>
      </c>
      <c r="C27" s="10" t="s">
        <v>163</v>
      </c>
      <c r="D27" s="10" t="s">
        <v>164</v>
      </c>
      <c r="E27" s="10" t="s">
        <v>164</v>
      </c>
      <c r="F27" s="10" t="s">
        <v>163</v>
      </c>
      <c r="G27" s="61" t="s">
        <v>164</v>
      </c>
      <c r="H27" s="1"/>
    </row>
    <row r="28" spans="1:8" ht="13.5" customHeight="1">
      <c r="A28" s="60">
        <v>6</v>
      </c>
      <c r="B28" s="10">
        <v>2634.23</v>
      </c>
      <c r="C28" s="10">
        <v>4563.55</v>
      </c>
      <c r="D28" s="10">
        <v>11497.99</v>
      </c>
      <c r="E28" s="10">
        <v>5197.5600000000013</v>
      </c>
      <c r="F28" s="10">
        <v>85960.47</v>
      </c>
      <c r="G28" s="61">
        <v>182807.29</v>
      </c>
      <c r="H28" s="1"/>
    </row>
    <row r="29" spans="1:8" ht="13.5" customHeight="1">
      <c r="A29" s="60"/>
      <c r="B29" s="10"/>
      <c r="C29" s="10"/>
      <c r="D29" s="10"/>
      <c r="E29" s="10"/>
      <c r="F29" s="10"/>
      <c r="G29" s="61"/>
      <c r="H29" s="1"/>
    </row>
    <row r="30" spans="1:8" ht="13.5" customHeight="1">
      <c r="A30" s="60">
        <v>7</v>
      </c>
      <c r="B30" s="10" t="s">
        <v>164</v>
      </c>
      <c r="C30" s="10" t="s">
        <v>163</v>
      </c>
      <c r="D30" s="10" t="s">
        <v>164</v>
      </c>
      <c r="E30" s="10" t="s">
        <v>163</v>
      </c>
      <c r="F30" s="10" t="s">
        <v>164</v>
      </c>
      <c r="G30" s="61" t="s">
        <v>164</v>
      </c>
      <c r="H30" s="1"/>
    </row>
    <row r="31" spans="1:8" ht="13.5" customHeight="1">
      <c r="A31" s="60">
        <v>8</v>
      </c>
      <c r="B31" s="10" t="s">
        <v>163</v>
      </c>
      <c r="C31" s="10" t="s">
        <v>163</v>
      </c>
      <c r="D31" s="10" t="s">
        <v>164</v>
      </c>
      <c r="E31" s="10" t="s">
        <v>163</v>
      </c>
      <c r="F31" s="10" t="s">
        <v>164</v>
      </c>
      <c r="G31" s="61" t="s">
        <v>164</v>
      </c>
      <c r="H31" s="1"/>
    </row>
    <row r="32" spans="1:8" ht="13.5" customHeight="1">
      <c r="A32" s="60">
        <v>9</v>
      </c>
      <c r="B32" s="10">
        <v>2702.27</v>
      </c>
      <c r="C32" s="10">
        <v>4737.62</v>
      </c>
      <c r="D32" s="10">
        <v>11798.08</v>
      </c>
      <c r="E32" s="10">
        <v>4353.88</v>
      </c>
      <c r="F32" s="10">
        <v>88207.679999999993</v>
      </c>
      <c r="G32" s="61">
        <v>186976.91</v>
      </c>
      <c r="H32" s="1"/>
    </row>
    <row r="33" spans="1:14" ht="13.5" customHeight="1">
      <c r="A33" s="60"/>
      <c r="B33" s="10"/>
      <c r="C33" s="10"/>
      <c r="D33" s="10"/>
      <c r="E33" s="10"/>
      <c r="F33" s="10"/>
      <c r="G33" s="61"/>
      <c r="H33" s="1"/>
    </row>
    <row r="34" spans="1:14" ht="13.5" customHeight="1">
      <c r="A34" s="60">
        <v>10</v>
      </c>
      <c r="B34" s="10" t="s">
        <v>164</v>
      </c>
      <c r="C34" s="10" t="s">
        <v>164</v>
      </c>
      <c r="D34" s="10" t="s">
        <v>164</v>
      </c>
      <c r="E34" s="10" t="s">
        <v>164</v>
      </c>
      <c r="F34" s="10" t="s">
        <v>163</v>
      </c>
      <c r="G34" s="61" t="s">
        <v>164</v>
      </c>
      <c r="H34" s="1"/>
    </row>
    <row r="35" spans="1:14" ht="13.5" customHeight="1">
      <c r="A35" s="60">
        <v>11</v>
      </c>
      <c r="B35" s="10" t="s">
        <v>164</v>
      </c>
      <c r="C35" s="10" t="s">
        <v>164</v>
      </c>
      <c r="D35" s="10" t="s">
        <v>163</v>
      </c>
      <c r="E35" s="10" t="s">
        <v>164</v>
      </c>
      <c r="F35" s="10" t="s">
        <v>163</v>
      </c>
      <c r="G35" s="61" t="s">
        <v>164</v>
      </c>
      <c r="H35" s="1"/>
    </row>
    <row r="36" spans="1:14" ht="13.5" customHeight="1">
      <c r="A36" s="60">
        <v>12</v>
      </c>
      <c r="B36" s="61">
        <v>2740.86</v>
      </c>
      <c r="C36" s="61">
        <v>5174.16</v>
      </c>
      <c r="D36" s="61">
        <v>11810.61</v>
      </c>
      <c r="E36" s="61">
        <v>4179.2100000000009</v>
      </c>
      <c r="F36" s="61">
        <v>92136</v>
      </c>
      <c r="G36" s="61">
        <v>192005</v>
      </c>
      <c r="H36" s="1"/>
    </row>
    <row r="37" spans="1:14" ht="13.5" customHeight="1">
      <c r="A37" s="60"/>
      <c r="B37" s="61"/>
      <c r="C37" s="61"/>
      <c r="D37" s="61"/>
      <c r="E37" s="61"/>
      <c r="F37" s="61"/>
      <c r="G37" s="61"/>
      <c r="H37" s="1"/>
    </row>
    <row r="38" spans="1:14" ht="13.5" customHeight="1">
      <c r="A38" s="60">
        <v>2019.1</v>
      </c>
      <c r="B38" s="61" t="s">
        <v>164</v>
      </c>
      <c r="C38" s="61" t="s">
        <v>163</v>
      </c>
      <c r="D38" s="61" t="s">
        <v>164</v>
      </c>
      <c r="E38" s="61" t="s">
        <v>164</v>
      </c>
      <c r="F38" s="61" t="s">
        <v>163</v>
      </c>
      <c r="G38" s="61" t="s">
        <v>164</v>
      </c>
      <c r="H38" s="1"/>
    </row>
    <row r="39" spans="1:14" ht="13.5" customHeight="1">
      <c r="A39" s="60">
        <v>2</v>
      </c>
      <c r="B39" s="61" t="s">
        <v>163</v>
      </c>
      <c r="C39" s="61" t="s">
        <v>163</v>
      </c>
      <c r="D39" s="61" t="s">
        <v>164</v>
      </c>
      <c r="E39" s="61" t="s">
        <v>163</v>
      </c>
      <c r="F39" s="61" t="s">
        <v>164</v>
      </c>
      <c r="G39" s="61" t="s">
        <v>164</v>
      </c>
      <c r="H39" s="1"/>
    </row>
    <row r="40" spans="1:14" ht="13.5" customHeight="1">
      <c r="A40" s="60">
        <v>3</v>
      </c>
      <c r="B40" s="61">
        <v>2769.91</v>
      </c>
      <c r="C40" s="61">
        <v>5101.54</v>
      </c>
      <c r="D40" s="61">
        <v>12054.1</v>
      </c>
      <c r="E40" s="61">
        <v>3796.71</v>
      </c>
      <c r="F40" s="61">
        <v>94232</v>
      </c>
      <c r="G40" s="61">
        <v>195607.67</v>
      </c>
      <c r="H40" s="1"/>
    </row>
    <row r="41" spans="1:14" ht="13.5" customHeight="1">
      <c r="A41" s="60"/>
      <c r="B41" s="61"/>
      <c r="C41" s="61"/>
      <c r="D41" s="61"/>
      <c r="E41" s="61"/>
      <c r="F41" s="61"/>
      <c r="G41" s="61"/>
      <c r="H41" s="1"/>
    </row>
    <row r="42" spans="1:14" ht="13.5" customHeight="1">
      <c r="A42" s="60">
        <v>4</v>
      </c>
      <c r="B42" s="61" t="s">
        <v>164</v>
      </c>
      <c r="C42" s="61" t="s">
        <v>163</v>
      </c>
      <c r="D42" s="61" t="s">
        <v>163</v>
      </c>
      <c r="E42" s="61" t="s">
        <v>164</v>
      </c>
      <c r="F42" s="61" t="s">
        <v>163</v>
      </c>
      <c r="G42" s="61" t="s">
        <v>164</v>
      </c>
      <c r="H42" s="1"/>
    </row>
    <row r="43" spans="1:14" ht="13.5" customHeight="1">
      <c r="A43" s="60">
        <v>5</v>
      </c>
      <c r="B43" s="61" t="s">
        <v>164</v>
      </c>
      <c r="C43" s="61" t="s">
        <v>164</v>
      </c>
      <c r="D43" s="61" t="s">
        <v>164</v>
      </c>
      <c r="E43" s="61" t="s">
        <v>164</v>
      </c>
      <c r="F43" s="61" t="s">
        <v>164</v>
      </c>
      <c r="G43" s="61" t="s">
        <v>164</v>
      </c>
      <c r="H43" s="1"/>
    </row>
    <row r="44" spans="1:14" ht="13.5" customHeight="1">
      <c r="A44" s="60">
        <v>6</v>
      </c>
      <c r="B44" s="61">
        <v>2951.95</v>
      </c>
      <c r="C44" s="61">
        <v>5088.8900000000003</v>
      </c>
      <c r="D44" s="61">
        <v>12000.49</v>
      </c>
      <c r="E44" s="61">
        <v>3824.48</v>
      </c>
      <c r="F44" s="61">
        <v>96031</v>
      </c>
      <c r="G44" s="61">
        <v>200134</v>
      </c>
      <c r="H44" s="124"/>
      <c r="I44" s="124"/>
      <c r="J44" s="124"/>
      <c r="K44" s="124"/>
      <c r="L44" s="124"/>
      <c r="M44" s="124"/>
      <c r="N44" s="124"/>
    </row>
    <row r="45" spans="1:14" ht="13.5" customHeight="1">
      <c r="A45" s="60"/>
      <c r="B45" s="61"/>
      <c r="C45" s="61"/>
      <c r="D45" s="61"/>
      <c r="E45" s="61"/>
      <c r="F45" s="61"/>
      <c r="G45" s="61"/>
      <c r="H45" s="124"/>
      <c r="I45" s="124"/>
      <c r="J45" s="124"/>
      <c r="K45" s="124"/>
      <c r="L45" s="124"/>
      <c r="M45" s="124"/>
      <c r="N45" s="124"/>
    </row>
    <row r="46" spans="1:14" ht="13.5" customHeight="1">
      <c r="A46" s="60">
        <v>7</v>
      </c>
      <c r="B46" s="61" t="s">
        <v>163</v>
      </c>
      <c r="C46" s="61" t="s">
        <v>164</v>
      </c>
      <c r="D46" s="61" t="s">
        <v>163</v>
      </c>
      <c r="E46" s="61" t="s">
        <v>164</v>
      </c>
      <c r="F46" s="61" t="s">
        <v>163</v>
      </c>
      <c r="G46" s="61" t="s">
        <v>163</v>
      </c>
      <c r="H46" s="124"/>
      <c r="I46" s="124"/>
      <c r="J46" s="124"/>
      <c r="K46" s="124"/>
      <c r="L46" s="124"/>
      <c r="M46" s="124"/>
      <c r="N46" s="124"/>
    </row>
    <row r="47" spans="1:14" ht="13.5" customHeight="1">
      <c r="A47" s="60">
        <v>8</v>
      </c>
      <c r="B47" s="61" t="s">
        <v>164</v>
      </c>
      <c r="C47" s="61" t="s">
        <v>164</v>
      </c>
      <c r="D47" s="61" t="s">
        <v>163</v>
      </c>
      <c r="E47" s="61" t="s">
        <v>164</v>
      </c>
      <c r="F47" s="61" t="s">
        <v>164</v>
      </c>
      <c r="G47" s="61" t="s">
        <v>163</v>
      </c>
      <c r="H47" s="124"/>
      <c r="I47" s="90"/>
      <c r="J47" s="90"/>
      <c r="K47" s="90"/>
      <c r="L47" s="142"/>
      <c r="M47" s="90"/>
      <c r="N47" s="142"/>
    </row>
    <row r="48" spans="1:14" ht="13.5" customHeight="1">
      <c r="A48" s="60">
        <v>9</v>
      </c>
      <c r="B48" s="61">
        <v>2926.45</v>
      </c>
      <c r="C48" s="61">
        <v>5039.84</v>
      </c>
      <c r="D48" s="61">
        <v>12473.47</v>
      </c>
      <c r="E48" s="61">
        <v>3928.82</v>
      </c>
      <c r="F48" s="61">
        <v>98402</v>
      </c>
      <c r="G48" s="61">
        <v>205385</v>
      </c>
      <c r="H48" s="124"/>
      <c r="I48" s="124"/>
      <c r="J48" s="124"/>
      <c r="K48" s="124"/>
      <c r="L48" s="124"/>
      <c r="M48" s="124"/>
      <c r="N48" s="124"/>
    </row>
    <row r="49" spans="1:14" ht="13.5" customHeight="1">
      <c r="A49" s="60"/>
      <c r="B49" s="61"/>
      <c r="C49" s="61"/>
      <c r="D49" s="61"/>
      <c r="E49" s="61"/>
      <c r="F49" s="61"/>
      <c r="G49" s="61"/>
      <c r="H49" s="124"/>
      <c r="I49" s="124"/>
      <c r="J49" s="124"/>
      <c r="K49" s="124"/>
      <c r="L49" s="124"/>
      <c r="M49" s="124"/>
      <c r="N49" s="124"/>
    </row>
    <row r="50" spans="1:14" ht="13.5" customHeight="1">
      <c r="A50" s="60">
        <v>10</v>
      </c>
      <c r="B50" s="61" t="s">
        <v>164</v>
      </c>
      <c r="C50" s="61" t="s">
        <v>163</v>
      </c>
      <c r="D50" s="61" t="s">
        <v>163</v>
      </c>
      <c r="E50" s="61" t="s">
        <v>163</v>
      </c>
      <c r="F50" s="61" t="s">
        <v>163</v>
      </c>
      <c r="G50" s="61" t="s">
        <v>164</v>
      </c>
      <c r="H50" s="124"/>
      <c r="I50" s="124"/>
      <c r="J50" s="124"/>
      <c r="K50" s="124"/>
      <c r="L50" s="124"/>
      <c r="M50" s="124"/>
      <c r="N50" s="124"/>
    </row>
    <row r="51" spans="1:14" ht="13.5" customHeight="1">
      <c r="A51" s="60">
        <v>11</v>
      </c>
      <c r="B51" s="61" t="s">
        <v>163</v>
      </c>
      <c r="C51" s="61" t="s">
        <v>174</v>
      </c>
      <c r="D51" s="61" t="s">
        <v>164</v>
      </c>
      <c r="E51" s="61" t="s">
        <v>163</v>
      </c>
      <c r="F51" s="61" t="s">
        <v>164</v>
      </c>
      <c r="G51" s="61" t="s">
        <v>163</v>
      </c>
      <c r="H51" s="124"/>
      <c r="I51" s="90"/>
      <c r="J51" s="90"/>
      <c r="K51" s="90"/>
      <c r="L51" s="142"/>
      <c r="M51" s="90"/>
      <c r="N51" s="142"/>
    </row>
    <row r="52" spans="1:14" ht="13.5" customHeight="1">
      <c r="A52" s="60">
        <v>12</v>
      </c>
      <c r="B52" s="61">
        <v>2901.77</v>
      </c>
      <c r="C52" s="61">
        <v>6034.06</v>
      </c>
      <c r="D52" s="61">
        <v>12786.67</v>
      </c>
      <c r="E52" s="61">
        <v>3721.64</v>
      </c>
      <c r="F52" s="61">
        <v>100638.39999999999</v>
      </c>
      <c r="G52" s="61">
        <v>209913.63</v>
      </c>
      <c r="H52" s="124"/>
      <c r="I52" s="124"/>
      <c r="J52" s="124"/>
      <c r="K52" s="124"/>
      <c r="L52" s="124"/>
      <c r="M52" s="124"/>
      <c r="N52" s="124"/>
    </row>
    <row r="53" spans="1:14" ht="13.5" customHeight="1">
      <c r="A53" s="60"/>
      <c r="B53" s="61"/>
      <c r="C53" s="61"/>
      <c r="D53" s="61"/>
      <c r="E53" s="61"/>
      <c r="F53" s="61"/>
      <c r="G53" s="61"/>
      <c r="H53" s="124"/>
      <c r="I53" s="124"/>
      <c r="J53" s="124"/>
      <c r="K53" s="124"/>
      <c r="L53" s="124"/>
      <c r="M53" s="124"/>
      <c r="N53" s="124"/>
    </row>
    <row r="54" spans="1:14" ht="13.5" customHeight="1">
      <c r="A54" s="60">
        <v>2020.1</v>
      </c>
      <c r="B54" s="61" t="s">
        <v>164</v>
      </c>
      <c r="C54" s="61" t="s">
        <v>164</v>
      </c>
      <c r="D54" s="61" t="s">
        <v>163</v>
      </c>
      <c r="E54" s="61" t="s">
        <v>164</v>
      </c>
      <c r="F54" s="61" t="s">
        <v>164</v>
      </c>
      <c r="G54" s="61" t="s">
        <v>164</v>
      </c>
      <c r="H54" s="124"/>
      <c r="I54" s="124"/>
      <c r="J54" s="124"/>
      <c r="K54" s="124"/>
      <c r="L54" s="124"/>
      <c r="M54" s="124"/>
      <c r="N54" s="124"/>
    </row>
    <row r="55" spans="1:14" ht="13.5" customHeight="1">
      <c r="A55" s="60">
        <v>2</v>
      </c>
      <c r="B55" s="61" t="s">
        <v>164</v>
      </c>
      <c r="C55" s="61" t="s">
        <v>164</v>
      </c>
      <c r="D55" s="61" t="s">
        <v>164</v>
      </c>
      <c r="E55" s="61" t="s">
        <v>164</v>
      </c>
      <c r="F55" s="61" t="s">
        <v>163</v>
      </c>
      <c r="G55" s="61" t="s">
        <v>164</v>
      </c>
      <c r="H55" s="124"/>
      <c r="I55" s="90"/>
      <c r="J55" s="90"/>
      <c r="K55" s="90"/>
      <c r="L55" s="142"/>
      <c r="M55" s="90"/>
      <c r="N55" s="142"/>
    </row>
    <row r="56" spans="1:14" ht="13.5" customHeight="1">
      <c r="A56" s="60">
        <v>3</v>
      </c>
      <c r="B56" s="61">
        <v>2611.92</v>
      </c>
      <c r="C56" s="61">
        <v>5979.8</v>
      </c>
      <c r="D56" s="61">
        <v>12586.92</v>
      </c>
      <c r="E56" s="61">
        <v>3908.55</v>
      </c>
      <c r="F56" s="61">
        <v>101981</v>
      </c>
      <c r="G56" s="61">
        <v>213029</v>
      </c>
      <c r="H56" s="124"/>
      <c r="I56" s="124"/>
      <c r="J56" s="124"/>
      <c r="K56" s="124"/>
      <c r="L56" s="124"/>
      <c r="M56" s="124"/>
      <c r="N56" s="124"/>
    </row>
    <row r="57" spans="1:14" ht="13.5" customHeight="1">
      <c r="A57" s="60"/>
      <c r="B57" s="61"/>
      <c r="C57" s="61"/>
      <c r="D57" s="61"/>
      <c r="E57" s="61"/>
      <c r="F57" s="61"/>
      <c r="G57" s="61"/>
      <c r="H57" s="124"/>
      <c r="I57" s="90"/>
      <c r="J57" s="90"/>
      <c r="K57" s="90"/>
      <c r="L57" s="90"/>
      <c r="M57" s="90"/>
      <c r="N57" s="90"/>
    </row>
    <row r="58" spans="1:14" ht="13.5" customHeight="1">
      <c r="A58" s="60">
        <v>4</v>
      </c>
      <c r="B58" s="61" t="s">
        <v>163</v>
      </c>
      <c r="C58" s="61" t="s">
        <v>164</v>
      </c>
      <c r="D58" s="61" t="s">
        <v>164</v>
      </c>
      <c r="E58" s="61" t="s">
        <v>164</v>
      </c>
      <c r="F58" s="61" t="s">
        <v>164</v>
      </c>
      <c r="G58" s="61" t="s">
        <v>164</v>
      </c>
      <c r="H58" s="124"/>
      <c r="I58" s="90"/>
      <c r="J58" s="90"/>
      <c r="K58" s="90"/>
      <c r="L58" s="90"/>
      <c r="M58" s="90"/>
      <c r="N58" s="90"/>
    </row>
    <row r="59" spans="1:14" ht="13.5" customHeight="1">
      <c r="A59" s="60">
        <v>5</v>
      </c>
      <c r="B59" s="61" t="s">
        <v>164</v>
      </c>
      <c r="C59" s="61" t="s">
        <v>164</v>
      </c>
      <c r="D59" s="61" t="s">
        <v>164</v>
      </c>
      <c r="E59" s="61" t="s">
        <v>164</v>
      </c>
      <c r="F59" s="61" t="s">
        <v>164</v>
      </c>
      <c r="G59" s="61" t="s">
        <v>164</v>
      </c>
      <c r="H59" s="124"/>
      <c r="I59" s="90"/>
      <c r="J59" s="90"/>
      <c r="K59" s="90"/>
      <c r="L59" s="142"/>
      <c r="M59" s="90"/>
      <c r="N59" s="142"/>
    </row>
    <row r="60" spans="1:14" ht="13.5" customHeight="1">
      <c r="A60" s="60">
        <v>6</v>
      </c>
      <c r="B60" s="61">
        <v>2804.31</v>
      </c>
      <c r="C60" s="61">
        <v>5161.18</v>
      </c>
      <c r="D60" s="61">
        <v>12769.88</v>
      </c>
      <c r="E60" s="61">
        <v>4210.55</v>
      </c>
      <c r="F60" s="61">
        <v>103014.2</v>
      </c>
      <c r="G60" s="61">
        <v>219933.48</v>
      </c>
      <c r="H60" s="124"/>
      <c r="I60" s="124"/>
      <c r="J60" s="124"/>
      <c r="K60" s="124"/>
      <c r="L60" s="124"/>
      <c r="M60" s="124"/>
      <c r="N60" s="124"/>
    </row>
    <row r="61" spans="1:14" ht="13.5" customHeight="1">
      <c r="A61" s="60"/>
      <c r="B61" s="61"/>
      <c r="C61" s="61"/>
      <c r="D61" s="61"/>
      <c r="E61" s="61"/>
      <c r="F61" s="61"/>
      <c r="G61" s="61"/>
      <c r="H61" s="124"/>
      <c r="I61" s="90"/>
      <c r="J61" s="90"/>
      <c r="K61" s="90"/>
      <c r="L61" s="142"/>
      <c r="M61" s="90"/>
      <c r="N61" s="142"/>
    </row>
    <row r="62" spans="1:14" ht="13.5" customHeight="1">
      <c r="A62" s="60">
        <v>7</v>
      </c>
      <c r="B62" s="61" t="s">
        <v>164</v>
      </c>
      <c r="C62" s="61" t="s">
        <v>164</v>
      </c>
      <c r="D62" s="61" t="s">
        <v>164</v>
      </c>
      <c r="E62" s="61" t="s">
        <v>164</v>
      </c>
      <c r="F62" s="61" t="s">
        <v>164</v>
      </c>
      <c r="G62" s="61" t="s">
        <v>164</v>
      </c>
      <c r="H62" s="124"/>
      <c r="I62" s="90"/>
      <c r="J62" s="90"/>
      <c r="K62" s="90"/>
      <c r="L62" s="142"/>
      <c r="M62" s="90"/>
      <c r="N62" s="142"/>
    </row>
    <row r="63" spans="1:14" ht="13.5" customHeight="1">
      <c r="A63" s="60">
        <v>8</v>
      </c>
      <c r="B63" s="61" t="s">
        <v>164</v>
      </c>
      <c r="C63" s="61" t="s">
        <v>175</v>
      </c>
      <c r="D63" s="61" t="s">
        <v>164</v>
      </c>
      <c r="E63" s="61" t="s">
        <v>164</v>
      </c>
      <c r="F63" s="61" t="s">
        <v>164</v>
      </c>
      <c r="G63" s="61" t="s">
        <v>164</v>
      </c>
      <c r="H63" s="124"/>
      <c r="I63" s="90"/>
      <c r="J63" s="90"/>
      <c r="K63" s="90"/>
      <c r="L63" s="142"/>
      <c r="M63" s="90"/>
      <c r="N63" s="142"/>
    </row>
    <row r="64" spans="1:14" ht="13.5" customHeight="1">
      <c r="A64" s="60">
        <v>9</v>
      </c>
      <c r="B64" s="61">
        <v>2981.22</v>
      </c>
      <c r="C64" s="61">
        <v>5081.9399999999996</v>
      </c>
      <c r="D64" s="61">
        <v>12665.63</v>
      </c>
      <c r="E64" s="61">
        <v>4133.59</v>
      </c>
      <c r="F64" s="61">
        <v>103876.43</v>
      </c>
      <c r="G64" s="61">
        <v>223333.39</v>
      </c>
      <c r="H64" s="124"/>
      <c r="I64" s="124"/>
      <c r="J64" s="124"/>
      <c r="K64" s="124"/>
      <c r="L64" s="124"/>
      <c r="M64" s="124"/>
      <c r="N64" s="124"/>
    </row>
    <row r="65" spans="1:14" ht="13.5" customHeight="1">
      <c r="A65" s="60"/>
      <c r="B65" s="61"/>
      <c r="C65" s="61"/>
      <c r="D65" s="61"/>
      <c r="E65" s="61"/>
      <c r="F65" s="61"/>
      <c r="G65" s="61"/>
      <c r="H65" s="124"/>
      <c r="I65" s="90"/>
      <c r="J65" s="90"/>
      <c r="K65" s="90"/>
      <c r="L65" s="142"/>
      <c r="M65" s="90"/>
      <c r="N65" s="142"/>
    </row>
    <row r="66" spans="1:14" ht="13.5" customHeight="1">
      <c r="A66" s="60">
        <v>10</v>
      </c>
      <c r="B66" s="61" t="s">
        <v>164</v>
      </c>
      <c r="C66" s="61" t="s">
        <v>164</v>
      </c>
      <c r="D66" s="61" t="s">
        <v>164</v>
      </c>
      <c r="E66" s="61" t="s">
        <v>164</v>
      </c>
      <c r="F66" s="61" t="s">
        <v>164</v>
      </c>
      <c r="G66" s="61" t="s">
        <v>164</v>
      </c>
      <c r="H66" s="124"/>
      <c r="I66" s="90"/>
      <c r="J66" s="90"/>
      <c r="K66" s="90"/>
      <c r="L66" s="142"/>
      <c r="M66" s="90"/>
      <c r="N66" s="142"/>
    </row>
    <row r="67" spans="1:14" ht="13.5" customHeight="1">
      <c r="A67" s="60">
        <v>11</v>
      </c>
      <c r="B67" s="61" t="s">
        <v>164</v>
      </c>
      <c r="C67" s="61" t="s">
        <v>164</v>
      </c>
      <c r="D67" s="61" t="s">
        <v>164</v>
      </c>
      <c r="E67" s="61" t="s">
        <v>164</v>
      </c>
      <c r="F67" s="61" t="s">
        <v>164</v>
      </c>
      <c r="G67" s="61" t="s">
        <v>164</v>
      </c>
      <c r="H67" s="124"/>
      <c r="I67" s="90"/>
      <c r="J67" s="90"/>
      <c r="K67" s="90"/>
      <c r="L67" s="142"/>
      <c r="M67" s="90"/>
      <c r="N67" s="142"/>
    </row>
    <row r="68" spans="1:14" ht="13.5" customHeight="1">
      <c r="A68" s="60">
        <v>12</v>
      </c>
      <c r="B68" s="61">
        <v>3243.56</v>
      </c>
      <c r="C68" s="61">
        <v>6396.22</v>
      </c>
      <c r="D68" s="61">
        <v>12706.36</v>
      </c>
      <c r="E68" s="61">
        <v>4254.8999999999996</v>
      </c>
      <c r="F68" s="61">
        <v>105954.59</v>
      </c>
      <c r="G68" s="61">
        <v>228314.4</v>
      </c>
      <c r="H68" s="124"/>
      <c r="I68" s="124"/>
      <c r="J68" s="124"/>
      <c r="K68" s="124"/>
      <c r="L68" s="124"/>
      <c r="M68" s="124"/>
      <c r="N68" s="124"/>
    </row>
    <row r="69" spans="1:14" ht="13.5" customHeight="1">
      <c r="A69" s="60"/>
      <c r="B69" s="61"/>
      <c r="C69" s="61"/>
      <c r="D69" s="61"/>
      <c r="E69" s="61"/>
      <c r="F69" s="61"/>
      <c r="G69" s="61"/>
      <c r="H69" s="124"/>
      <c r="I69" s="90"/>
      <c r="J69" s="90"/>
      <c r="K69" s="90"/>
      <c r="L69" s="142"/>
      <c r="M69" s="90"/>
      <c r="N69" s="142"/>
    </row>
    <row r="70" spans="1:14" ht="13.5" customHeight="1">
      <c r="A70" s="60">
        <v>2021.1</v>
      </c>
      <c r="B70" s="61" t="s">
        <v>164</v>
      </c>
      <c r="C70" s="61" t="s">
        <v>176</v>
      </c>
      <c r="D70" s="61" t="s">
        <v>176</v>
      </c>
      <c r="E70" s="61" t="s">
        <v>176</v>
      </c>
      <c r="F70" s="61" t="s">
        <v>176</v>
      </c>
      <c r="G70" s="61" t="s">
        <v>176</v>
      </c>
      <c r="H70" s="124"/>
      <c r="I70" s="90"/>
      <c r="J70" s="90"/>
      <c r="K70" s="90"/>
      <c r="L70" s="142"/>
      <c r="M70" s="90"/>
      <c r="N70" s="142"/>
    </row>
    <row r="71" spans="1:14" ht="13.5" customHeight="1">
      <c r="A71" s="60">
        <v>2</v>
      </c>
      <c r="B71" s="61" t="s">
        <v>176</v>
      </c>
      <c r="C71" s="61" t="s">
        <v>176</v>
      </c>
      <c r="D71" s="61" t="s">
        <v>176</v>
      </c>
      <c r="E71" s="61" t="s">
        <v>176</v>
      </c>
      <c r="F71" s="61" t="s">
        <v>176</v>
      </c>
      <c r="G71" s="61" t="s">
        <v>176</v>
      </c>
      <c r="H71" s="124"/>
      <c r="I71" s="90"/>
      <c r="J71" s="90"/>
      <c r="K71" s="90"/>
      <c r="L71" s="142"/>
      <c r="M71" s="90"/>
      <c r="N71" s="142"/>
    </row>
    <row r="72" spans="1:14" ht="13.5" customHeight="1">
      <c r="A72" s="60">
        <v>3</v>
      </c>
      <c r="B72" s="61">
        <v>3207.86</v>
      </c>
      <c r="C72" s="61">
        <v>6797.84</v>
      </c>
      <c r="D72" s="61">
        <v>12857.88</v>
      </c>
      <c r="E72" s="61">
        <v>4323.58</v>
      </c>
      <c r="F72" s="61">
        <v>107191.06</v>
      </c>
      <c r="G72" s="61">
        <v>232431.45</v>
      </c>
      <c r="H72" s="124"/>
      <c r="I72" s="90"/>
      <c r="J72" s="90"/>
      <c r="K72" s="90"/>
      <c r="L72" s="142"/>
      <c r="M72" s="90"/>
      <c r="N72" s="142"/>
    </row>
    <row r="73" spans="1:14" ht="13.5" customHeight="1">
      <c r="A73" s="60"/>
      <c r="B73" s="61"/>
      <c r="C73" s="61"/>
      <c r="D73" s="61"/>
      <c r="E73" s="61"/>
      <c r="F73" s="61"/>
      <c r="G73" s="61"/>
      <c r="H73" s="124"/>
      <c r="I73" s="90"/>
      <c r="J73" s="90"/>
      <c r="K73" s="90"/>
      <c r="L73" s="142"/>
      <c r="M73" s="90"/>
      <c r="N73" s="142"/>
    </row>
    <row r="74" spans="1:14" ht="13.5" customHeight="1">
      <c r="A74" s="60">
        <v>4</v>
      </c>
      <c r="B74" s="61" t="s">
        <v>176</v>
      </c>
      <c r="C74" s="61" t="s">
        <v>176</v>
      </c>
      <c r="D74" s="61" t="s">
        <v>176</v>
      </c>
      <c r="E74" s="61" t="s">
        <v>176</v>
      </c>
      <c r="F74" s="61" t="s">
        <v>176</v>
      </c>
      <c r="G74" s="61" t="s">
        <v>176</v>
      </c>
      <c r="H74" s="124"/>
      <c r="I74" s="90"/>
      <c r="J74" s="90"/>
      <c r="K74" s="90"/>
      <c r="L74" s="142"/>
      <c r="M74" s="90"/>
      <c r="N74" s="142"/>
    </row>
    <row r="75" spans="1:14" ht="13.5" customHeight="1">
      <c r="A75" s="60">
        <v>5</v>
      </c>
      <c r="B75" s="61" t="s">
        <v>176</v>
      </c>
      <c r="C75" s="61" t="s">
        <v>176</v>
      </c>
      <c r="D75" s="61" t="s">
        <v>176</v>
      </c>
      <c r="E75" s="61" t="s">
        <v>176</v>
      </c>
      <c r="F75" s="61" t="s">
        <v>176</v>
      </c>
      <c r="G75" s="61" t="s">
        <v>176</v>
      </c>
      <c r="H75" s="124"/>
      <c r="I75" s="90"/>
      <c r="J75" s="90"/>
      <c r="K75" s="90"/>
      <c r="L75" s="142"/>
      <c r="M75" s="90"/>
      <c r="N75" s="142"/>
    </row>
    <row r="76" spans="1:14" ht="13.5" customHeight="1">
      <c r="A76" s="60">
        <v>6</v>
      </c>
      <c r="B76" s="61">
        <v>3638.31</v>
      </c>
      <c r="C76" s="61">
        <v>6435.97</v>
      </c>
      <c r="D76" s="61">
        <v>13142.04</v>
      </c>
      <c r="E76" s="61">
        <v>4259.4399999999996</v>
      </c>
      <c r="F76" s="61">
        <v>107157.89</v>
      </c>
      <c r="G76" s="61">
        <v>233353.11</v>
      </c>
      <c r="H76" s="124"/>
      <c r="I76" s="90"/>
      <c r="J76" s="90"/>
      <c r="K76" s="90"/>
      <c r="L76" s="142"/>
      <c r="M76" s="90"/>
      <c r="N76" s="142"/>
    </row>
    <row r="77" spans="1:14" ht="13.5" customHeight="1">
      <c r="A77" s="60"/>
      <c r="B77" s="61"/>
      <c r="C77" s="61"/>
      <c r="D77" s="61"/>
      <c r="E77" s="61"/>
      <c r="F77" s="61"/>
      <c r="G77" s="61"/>
      <c r="H77" s="124"/>
      <c r="I77" s="90"/>
      <c r="J77" s="90"/>
      <c r="K77" s="90"/>
      <c r="L77" s="142"/>
      <c r="M77" s="90"/>
      <c r="N77" s="142"/>
    </row>
    <row r="78" spans="1:14" ht="13.5" customHeight="1">
      <c r="A78" s="60">
        <v>7</v>
      </c>
      <c r="B78" s="61" t="s">
        <v>176</v>
      </c>
      <c r="C78" s="61" t="s">
        <v>176</v>
      </c>
      <c r="D78" s="61" t="s">
        <v>176</v>
      </c>
      <c r="E78" s="61" t="s">
        <v>176</v>
      </c>
      <c r="F78" s="61" t="s">
        <v>176</v>
      </c>
      <c r="G78" s="61" t="s">
        <v>176</v>
      </c>
      <c r="H78" s="124"/>
      <c r="I78" s="90"/>
      <c r="J78" s="90"/>
      <c r="K78" s="90"/>
      <c r="L78" s="142"/>
      <c r="M78" s="90"/>
      <c r="N78" s="142"/>
    </row>
    <row r="79" spans="1:14" ht="13.5" customHeight="1">
      <c r="A79" s="60">
        <v>8</v>
      </c>
      <c r="B79" s="61" t="s">
        <v>176</v>
      </c>
      <c r="C79" s="61" t="s">
        <v>176</v>
      </c>
      <c r="D79" s="61" t="s">
        <v>176</v>
      </c>
      <c r="E79" s="61" t="s">
        <v>176</v>
      </c>
      <c r="F79" s="61" t="s">
        <v>163</v>
      </c>
      <c r="G79" s="61" t="s">
        <v>176</v>
      </c>
      <c r="H79" s="124"/>
      <c r="I79" s="90"/>
      <c r="J79" s="90"/>
      <c r="K79" s="90"/>
      <c r="L79" s="142"/>
      <c r="M79" s="90"/>
      <c r="N79" s="142"/>
    </row>
    <row r="80" spans="1:14" ht="13.5" customHeight="1">
      <c r="A80" s="60">
        <v>9</v>
      </c>
      <c r="B80" s="61">
        <v>3587.52</v>
      </c>
      <c r="C80" s="61">
        <v>6223.46</v>
      </c>
      <c r="D80" s="61">
        <v>13517.07</v>
      </c>
      <c r="E80" s="61">
        <v>4335.38</v>
      </c>
      <c r="F80" s="61">
        <v>107330.33</v>
      </c>
      <c r="G80" s="61">
        <v>235933.49</v>
      </c>
      <c r="H80" s="124"/>
      <c r="I80" s="90"/>
      <c r="J80" s="90"/>
      <c r="K80" s="90"/>
      <c r="L80" s="142"/>
      <c r="M80" s="90"/>
      <c r="N80" s="142"/>
    </row>
    <row r="81" spans="1:14" ht="13.5" customHeight="1">
      <c r="A81" s="60"/>
      <c r="B81" s="61"/>
      <c r="C81" s="61"/>
      <c r="D81" s="61"/>
      <c r="E81" s="61"/>
      <c r="F81" s="61"/>
      <c r="G81" s="61"/>
      <c r="H81" s="124"/>
      <c r="I81" s="90"/>
      <c r="J81" s="90"/>
      <c r="K81" s="90"/>
      <c r="L81" s="142"/>
      <c r="M81" s="90"/>
      <c r="N81" s="142"/>
    </row>
    <row r="82" spans="1:14" ht="13.5" customHeight="1">
      <c r="A82" s="60">
        <v>10</v>
      </c>
      <c r="B82" s="61" t="s">
        <v>176</v>
      </c>
      <c r="C82" s="61" t="s">
        <v>176</v>
      </c>
      <c r="D82" s="61" t="s">
        <v>176</v>
      </c>
      <c r="E82" s="61" t="s">
        <v>176</v>
      </c>
      <c r="F82" s="61" t="s">
        <v>176</v>
      </c>
      <c r="G82" s="61" t="s">
        <v>176</v>
      </c>
      <c r="H82" s="124"/>
      <c r="I82" s="90"/>
      <c r="J82" s="90"/>
      <c r="K82" s="90"/>
      <c r="L82" s="142"/>
      <c r="M82" s="90"/>
      <c r="N82" s="142"/>
    </row>
    <row r="83" spans="1:14" ht="13.5" customHeight="1">
      <c r="A83" s="60">
        <v>11</v>
      </c>
      <c r="B83" s="61" t="s">
        <v>176</v>
      </c>
      <c r="C83" s="61" t="s">
        <v>176</v>
      </c>
      <c r="D83" s="61" t="s">
        <v>176</v>
      </c>
      <c r="E83" s="61" t="s">
        <v>177</v>
      </c>
      <c r="F83" s="61" t="s">
        <v>177</v>
      </c>
      <c r="G83" s="61" t="s">
        <v>178</v>
      </c>
      <c r="H83" s="124"/>
      <c r="I83" s="90"/>
      <c r="J83" s="90"/>
      <c r="K83" s="90"/>
      <c r="L83" s="142"/>
      <c r="M83" s="90"/>
      <c r="N83" s="142"/>
    </row>
    <row r="84" spans="1:14" ht="13.5" customHeight="1">
      <c r="A84" s="60">
        <v>12</v>
      </c>
      <c r="B84" s="61">
        <v>3620.32</v>
      </c>
      <c r="C84" s="61">
        <v>7231.96</v>
      </c>
      <c r="D84" s="61">
        <v>13582.54</v>
      </c>
      <c r="E84" s="61">
        <v>4722.67</v>
      </c>
      <c r="F84" s="61">
        <v>108333.83</v>
      </c>
      <c r="G84" s="61">
        <v>238862.88</v>
      </c>
      <c r="H84" s="124"/>
      <c r="I84" s="90"/>
      <c r="J84" s="90"/>
      <c r="K84" s="90"/>
      <c r="L84" s="142"/>
      <c r="M84" s="90"/>
      <c r="N84" s="142"/>
    </row>
    <row r="85" spans="1:14" ht="13.5" customHeight="1">
      <c r="A85" s="60"/>
      <c r="B85" s="61"/>
      <c r="C85" s="61"/>
      <c r="D85" s="61"/>
      <c r="E85" s="61"/>
      <c r="F85" s="61"/>
      <c r="G85" s="61"/>
      <c r="H85" s="124"/>
      <c r="I85" s="90"/>
      <c r="J85" s="90"/>
      <c r="K85" s="90"/>
      <c r="L85" s="142"/>
      <c r="M85" s="90"/>
      <c r="N85" s="142"/>
    </row>
    <row r="86" spans="1:14" ht="13.5" customHeight="1">
      <c r="A86" s="60">
        <v>2022.1</v>
      </c>
      <c r="B86" s="61" t="s">
        <v>177</v>
      </c>
      <c r="C86" s="61" t="s">
        <v>179</v>
      </c>
      <c r="D86" s="61" t="s">
        <v>179</v>
      </c>
      <c r="E86" s="61" t="s">
        <v>179</v>
      </c>
      <c r="F86" s="61" t="s">
        <v>179</v>
      </c>
      <c r="G86" s="61" t="s">
        <v>180</v>
      </c>
      <c r="H86" s="124"/>
      <c r="I86" s="90"/>
      <c r="J86" s="90"/>
      <c r="K86" s="90"/>
      <c r="L86" s="142"/>
      <c r="M86" s="90"/>
      <c r="N86" s="142"/>
    </row>
    <row r="87" spans="1:14" ht="13.5" customHeight="1">
      <c r="A87" s="60">
        <v>2</v>
      </c>
      <c r="B87" s="61" t="s">
        <v>180</v>
      </c>
      <c r="C87" s="61" t="s">
        <v>179</v>
      </c>
      <c r="D87" s="61" t="s">
        <v>179</v>
      </c>
      <c r="E87" s="61" t="s">
        <v>178</v>
      </c>
      <c r="F87" s="61" t="s">
        <v>177</v>
      </c>
      <c r="G87" s="61" t="s">
        <v>181</v>
      </c>
      <c r="H87" s="124"/>
      <c r="I87" s="90"/>
      <c r="J87" s="90"/>
      <c r="K87" s="90"/>
      <c r="L87" s="142"/>
      <c r="M87" s="90"/>
      <c r="N87" s="142"/>
    </row>
    <row r="88" spans="1:14" ht="13.5" customHeight="1">
      <c r="A88" s="60">
        <v>3</v>
      </c>
      <c r="B88" s="61">
        <v>3766.3</v>
      </c>
      <c r="C88" s="61">
        <v>6747.77</v>
      </c>
      <c r="D88" s="61">
        <v>13466.66</v>
      </c>
      <c r="E88" s="61">
        <v>4670.8999999999996</v>
      </c>
      <c r="F88" s="61">
        <v>107876.56</v>
      </c>
      <c r="G88" s="61">
        <v>239880.57</v>
      </c>
      <c r="H88" s="124"/>
      <c r="I88" s="90"/>
      <c r="J88" s="90"/>
      <c r="K88" s="90"/>
      <c r="L88" s="142"/>
      <c r="M88" s="90"/>
      <c r="N88" s="142"/>
    </row>
    <row r="89" spans="1:14" ht="13.5" customHeight="1">
      <c r="A89" s="60"/>
      <c r="B89" s="61"/>
      <c r="C89" s="61"/>
      <c r="D89" s="61"/>
      <c r="E89" s="61"/>
      <c r="F89" s="61"/>
      <c r="G89" s="61"/>
      <c r="H89" s="124"/>
      <c r="I89" s="90"/>
      <c r="J89" s="90"/>
      <c r="K89" s="90"/>
      <c r="L89" s="142"/>
      <c r="M89" s="90"/>
      <c r="N89" s="142"/>
    </row>
    <row r="90" spans="1:14" ht="13.5" customHeight="1">
      <c r="A90" s="60">
        <v>4</v>
      </c>
      <c r="B90" s="61" t="s">
        <v>177</v>
      </c>
      <c r="C90" s="61" t="s">
        <v>177</v>
      </c>
      <c r="D90" s="61" t="s">
        <v>177</v>
      </c>
      <c r="E90" s="61" t="s">
        <v>177</v>
      </c>
      <c r="F90" s="61" t="s">
        <v>182</v>
      </c>
      <c r="G90" s="61" t="s">
        <v>177</v>
      </c>
      <c r="H90" s="124"/>
      <c r="I90" s="90"/>
      <c r="J90" s="90"/>
      <c r="K90" s="90"/>
      <c r="L90" s="142"/>
      <c r="M90" s="90"/>
      <c r="N90" s="142"/>
    </row>
    <row r="91" spans="1:14" ht="13.5" customHeight="1">
      <c r="A91" s="60">
        <v>5</v>
      </c>
      <c r="B91" s="61" t="s">
        <v>183</v>
      </c>
      <c r="C91" s="61" t="s">
        <v>183</v>
      </c>
      <c r="D91" s="61" t="s">
        <v>179</v>
      </c>
      <c r="E91" s="61" t="s">
        <v>179</v>
      </c>
      <c r="F91" s="61" t="s">
        <v>184</v>
      </c>
      <c r="G91" s="61" t="s">
        <v>185</v>
      </c>
      <c r="H91" s="124"/>
      <c r="I91" s="90"/>
      <c r="J91" s="90"/>
      <c r="K91" s="90"/>
      <c r="L91" s="142"/>
      <c r="M91" s="90"/>
      <c r="N91" s="142"/>
    </row>
    <row r="92" spans="1:14" ht="13.5" customHeight="1">
      <c r="A92" s="171" t="s">
        <v>166</v>
      </c>
      <c r="B92" s="177">
        <v>3829.04</v>
      </c>
      <c r="C92" s="177">
        <v>6243.61</v>
      </c>
      <c r="D92" s="177">
        <v>13696.99</v>
      </c>
      <c r="E92" s="177">
        <v>4679.32</v>
      </c>
      <c r="F92" s="177">
        <v>107458.95</v>
      </c>
      <c r="G92" s="177">
        <v>241834.47</v>
      </c>
      <c r="H92" s="124"/>
      <c r="I92" s="90"/>
      <c r="J92" s="90"/>
      <c r="K92" s="90"/>
      <c r="L92" s="142"/>
      <c r="M92" s="90"/>
      <c r="N92" s="142"/>
    </row>
    <row r="93" spans="1:14" ht="13.5" customHeight="1">
      <c r="A93" s="60"/>
      <c r="B93" s="61"/>
      <c r="C93" s="61"/>
      <c r="D93" s="61"/>
      <c r="E93" s="61"/>
      <c r="F93" s="61"/>
      <c r="G93" s="61"/>
      <c r="H93" s="124"/>
      <c r="I93" s="90"/>
      <c r="J93" s="90"/>
      <c r="K93" s="90"/>
      <c r="L93" s="142"/>
      <c r="M93" s="90"/>
      <c r="N93" s="142"/>
    </row>
    <row r="94" spans="1:14" ht="13.5" customHeight="1">
      <c r="A94" s="172">
        <v>7</v>
      </c>
      <c r="B94" s="178" t="s">
        <v>164</v>
      </c>
      <c r="C94" s="178" t="s">
        <v>164</v>
      </c>
      <c r="D94" s="178" t="s">
        <v>164</v>
      </c>
      <c r="E94" s="178" t="s">
        <v>163</v>
      </c>
      <c r="F94" s="179" t="s">
        <v>164</v>
      </c>
      <c r="G94" s="180" t="s">
        <v>163</v>
      </c>
      <c r="H94" s="124"/>
      <c r="I94" s="124"/>
      <c r="J94" s="124"/>
      <c r="K94" s="124"/>
      <c r="L94" s="124"/>
      <c r="M94" s="124"/>
      <c r="N94" s="124"/>
    </row>
    <row r="95" spans="1:14" ht="13.5" customHeight="1">
      <c r="A95" s="40" t="s">
        <v>156</v>
      </c>
      <c r="B95" s="2"/>
      <c r="C95" s="2"/>
      <c r="D95" s="2"/>
      <c r="E95" s="2"/>
      <c r="F95" s="2"/>
      <c r="G95" s="1"/>
    </row>
    <row r="96" spans="1:14" ht="13.5" customHeight="1">
      <c r="A96" s="40" t="s">
        <v>78</v>
      </c>
      <c r="B96" s="1"/>
      <c r="C96" s="1"/>
      <c r="D96" s="1"/>
      <c r="E96" s="1"/>
      <c r="F96" s="1"/>
      <c r="G96" s="1"/>
      <c r="H96" s="1"/>
    </row>
    <row r="97" spans="1:8" ht="13.5" customHeight="1">
      <c r="A97" s="40"/>
      <c r="H97" s="1"/>
    </row>
    <row r="98" spans="1:8" ht="13.5" customHeight="1">
      <c r="H98" s="1"/>
    </row>
    <row r="99" spans="1:8" ht="13.5" customHeight="1">
      <c r="B99" s="133"/>
      <c r="C99" s="133"/>
      <c r="D99" s="133"/>
      <c r="E99" s="133"/>
      <c r="F99" s="133"/>
      <c r="G99" s="133"/>
      <c r="H99" s="1"/>
    </row>
    <row r="100" spans="1:8">
      <c r="C100" s="95"/>
    </row>
    <row r="101" spans="1:8">
      <c r="C101" s="95"/>
    </row>
    <row r="102" spans="1:8">
      <c r="C102" s="95"/>
    </row>
    <row r="103" spans="1:8">
      <c r="C103" s="95"/>
    </row>
    <row r="104" spans="1:8">
      <c r="C104" s="95"/>
    </row>
    <row r="105" spans="1:8">
      <c r="C105" s="95"/>
    </row>
    <row r="106" spans="1:8">
      <c r="C106" s="90"/>
      <c r="D106" s="90"/>
    </row>
    <row r="107" spans="1:8">
      <c r="C107" s="90"/>
      <c r="D107" s="90"/>
    </row>
    <row r="108" spans="1:8">
      <c r="C108" s="90"/>
      <c r="D108" s="90"/>
    </row>
  </sheetData>
  <mergeCells count="6">
    <mergeCell ref="A2:G2"/>
    <mergeCell ref="A3:G3"/>
    <mergeCell ref="A6:A7"/>
    <mergeCell ref="F6:F7"/>
    <mergeCell ref="G6:G7"/>
    <mergeCell ref="B6:E6"/>
  </mergeCells>
  <phoneticPr fontId="9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56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XFD116"/>
  <sheetViews>
    <sheetView view="pageBreakPreview" topLeftCell="A110" zoomScaleNormal="85" zoomScaleSheetLayoutView="100" workbookViewId="0">
      <selection activeCell="A114" sqref="A114"/>
    </sheetView>
  </sheetViews>
  <sheetFormatPr defaultColWidth="8.88671875" defaultRowHeight="13.5"/>
  <cols>
    <col min="1" max="1" width="10.77734375" style="95" customWidth="1"/>
    <col min="2" max="2" width="11.77734375" style="95" customWidth="1"/>
    <col min="3" max="6" width="11.77734375" style="51" customWidth="1"/>
    <col min="7" max="8" width="5.88671875" style="51" customWidth="1"/>
    <col min="9" max="16" width="11.77734375" style="51" customWidth="1"/>
    <col min="17" max="16384" width="8.88671875" style="51"/>
  </cols>
  <sheetData>
    <row r="1" spans="1:17" s="1" customFormat="1" ht="12">
      <c r="A1" s="39"/>
      <c r="B1" s="39"/>
    </row>
    <row r="2" spans="1:17" s="1" customFormat="1" ht="1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7" s="1" customFormat="1" ht="12">
      <c r="A3" s="53"/>
      <c r="B3" s="182"/>
      <c r="C3" s="182"/>
      <c r="D3" s="182"/>
      <c r="E3" s="182"/>
      <c r="F3" s="182"/>
      <c r="G3" s="182"/>
      <c r="H3" s="182"/>
      <c r="I3" s="183"/>
      <c r="J3" s="183"/>
      <c r="K3" s="183"/>
      <c r="L3" s="183"/>
      <c r="M3" s="183"/>
      <c r="N3" s="183"/>
      <c r="O3" s="183"/>
      <c r="P3" s="183"/>
    </row>
    <row r="4" spans="1:17" s="1" customFormat="1" ht="14.25">
      <c r="A4" s="52" t="s">
        <v>143</v>
      </c>
      <c r="B4" s="182"/>
      <c r="C4" s="182"/>
      <c r="D4" s="182"/>
      <c r="E4" s="182"/>
      <c r="F4" s="182"/>
      <c r="G4" s="182"/>
      <c r="H4" s="182"/>
      <c r="I4" s="183"/>
      <c r="J4" s="183"/>
      <c r="K4" s="183"/>
      <c r="L4" s="183"/>
      <c r="M4" s="183"/>
      <c r="N4" s="183"/>
      <c r="O4" s="183"/>
      <c r="P4" s="183"/>
    </row>
    <row r="5" spans="1:17" s="1" customFormat="1" ht="12">
      <c r="A5" s="52"/>
      <c r="B5" s="182"/>
      <c r="C5" s="182"/>
      <c r="D5" s="182"/>
      <c r="E5" s="182"/>
      <c r="F5" s="182"/>
      <c r="G5" s="182"/>
      <c r="H5" s="182"/>
      <c r="I5" s="183"/>
      <c r="J5" s="183"/>
      <c r="K5" s="183"/>
      <c r="L5" s="183"/>
      <c r="M5" s="183"/>
      <c r="N5" s="183"/>
      <c r="O5" s="183"/>
      <c r="P5" s="183"/>
    </row>
    <row r="6" spans="1:17" s="1" customFormat="1" ht="12">
      <c r="A6" s="52"/>
      <c r="B6" s="182"/>
      <c r="C6" s="182"/>
      <c r="D6" s="182"/>
      <c r="E6" s="182"/>
      <c r="F6" s="182"/>
      <c r="G6" s="182"/>
      <c r="H6" s="182"/>
      <c r="I6" s="183"/>
      <c r="J6" s="183"/>
      <c r="K6" s="183"/>
      <c r="L6" s="183"/>
      <c r="M6" s="183"/>
      <c r="N6" s="183"/>
      <c r="O6" s="183"/>
      <c r="P6" s="183"/>
    </row>
    <row r="7" spans="1:17">
      <c r="A7" s="1" t="s">
        <v>98</v>
      </c>
      <c r="B7" s="55"/>
      <c r="C7" s="55"/>
      <c r="D7" s="55"/>
      <c r="E7" s="55"/>
      <c r="F7" s="55"/>
      <c r="G7" s="55"/>
      <c r="H7" s="55"/>
      <c r="I7" s="4" t="s">
        <v>100</v>
      </c>
      <c r="J7" s="4"/>
      <c r="K7" s="4"/>
      <c r="L7" s="4"/>
      <c r="M7" s="4"/>
      <c r="N7" s="4"/>
      <c r="O7" s="4"/>
      <c r="P7" s="4"/>
    </row>
    <row r="8" spans="1:17" ht="24" customHeight="1">
      <c r="A8" s="276" t="s">
        <v>1</v>
      </c>
      <c r="B8" s="303" t="s">
        <v>110</v>
      </c>
      <c r="C8" s="304"/>
      <c r="D8" s="304"/>
      <c r="E8" s="304"/>
      <c r="F8" s="304"/>
      <c r="G8" s="304"/>
      <c r="H8" s="304"/>
      <c r="I8" s="304"/>
      <c r="J8" s="139"/>
      <c r="K8" s="139"/>
      <c r="L8" s="139"/>
      <c r="M8" s="139"/>
      <c r="N8" s="139"/>
      <c r="O8" s="139"/>
      <c r="P8" s="139"/>
    </row>
    <row r="9" spans="1:17" ht="33.75" customHeight="1">
      <c r="A9" s="277"/>
      <c r="B9" s="9" t="s">
        <v>133</v>
      </c>
      <c r="C9" s="108" t="s">
        <v>75</v>
      </c>
      <c r="D9" s="96" t="s">
        <v>76</v>
      </c>
      <c r="E9" s="96" t="s">
        <v>77</v>
      </c>
      <c r="F9" s="24" t="s">
        <v>136</v>
      </c>
      <c r="G9" s="322" t="s">
        <v>137</v>
      </c>
      <c r="H9" s="323"/>
      <c r="I9" s="109" t="s">
        <v>109</v>
      </c>
      <c r="J9" s="140"/>
      <c r="K9" s="140"/>
      <c r="L9" s="140"/>
      <c r="M9" s="140"/>
      <c r="N9" s="140"/>
      <c r="O9" s="140"/>
      <c r="P9" s="140"/>
    </row>
    <row r="10" spans="1:17" ht="13.5" customHeight="1">
      <c r="A10" s="58">
        <v>2012</v>
      </c>
      <c r="B10" s="188">
        <v>63176</v>
      </c>
      <c r="C10" s="188">
        <v>9486</v>
      </c>
      <c r="D10" s="188">
        <v>731</v>
      </c>
      <c r="E10" s="188">
        <v>12714</v>
      </c>
      <c r="F10" s="189">
        <v>3755</v>
      </c>
      <c r="G10" s="315">
        <v>10486</v>
      </c>
      <c r="H10" s="316"/>
      <c r="I10" s="190">
        <v>5769</v>
      </c>
      <c r="J10" s="124"/>
      <c r="K10" s="124"/>
      <c r="L10" s="124"/>
      <c r="M10" s="124"/>
      <c r="N10" s="124"/>
      <c r="O10" s="124"/>
      <c r="P10" s="124"/>
      <c r="Q10" s="90"/>
    </row>
    <row r="11" spans="1:17" ht="13.5" customHeight="1">
      <c r="A11" s="58">
        <v>2013</v>
      </c>
      <c r="B11" s="188">
        <v>70187</v>
      </c>
      <c r="C11" s="188">
        <v>9898</v>
      </c>
      <c r="D11" s="188">
        <v>894</v>
      </c>
      <c r="E11" s="188">
        <v>13385</v>
      </c>
      <c r="F11" s="189">
        <v>3809</v>
      </c>
      <c r="G11" s="315">
        <v>11193</v>
      </c>
      <c r="H11" s="316"/>
      <c r="I11" s="190">
        <v>6217</v>
      </c>
      <c r="J11" s="124"/>
      <c r="K11" s="124"/>
      <c r="L11" s="124"/>
      <c r="M11" s="124"/>
      <c r="N11" s="124"/>
      <c r="O11" s="124"/>
      <c r="P11" s="124"/>
      <c r="Q11" s="90"/>
    </row>
    <row r="12" spans="1:17" ht="13.5" customHeight="1">
      <c r="A12" s="58">
        <v>2014</v>
      </c>
      <c r="B12" s="188">
        <v>77547</v>
      </c>
      <c r="C12" s="188">
        <v>10254</v>
      </c>
      <c r="D12" s="188">
        <v>1472</v>
      </c>
      <c r="E12" s="188">
        <v>15956</v>
      </c>
      <c r="F12" s="189">
        <v>3442</v>
      </c>
      <c r="G12" s="315">
        <v>11827</v>
      </c>
      <c r="H12" s="316"/>
      <c r="I12" s="190">
        <v>6940</v>
      </c>
      <c r="J12" s="124"/>
      <c r="K12" s="124"/>
      <c r="L12" s="124"/>
      <c r="M12" s="124"/>
      <c r="N12" s="124"/>
      <c r="O12" s="124"/>
      <c r="P12" s="124"/>
      <c r="Q12" s="90"/>
    </row>
    <row r="13" spans="1:17" ht="13.5" customHeight="1">
      <c r="A13" s="58">
        <v>2015</v>
      </c>
      <c r="B13" s="188">
        <v>87743</v>
      </c>
      <c r="C13" s="188">
        <v>10557</v>
      </c>
      <c r="D13" s="188">
        <v>3114</v>
      </c>
      <c r="E13" s="188">
        <v>17709</v>
      </c>
      <c r="F13" s="189">
        <v>2891</v>
      </c>
      <c r="G13" s="315">
        <v>12609</v>
      </c>
      <c r="H13" s="316"/>
      <c r="I13" s="190">
        <v>7472</v>
      </c>
      <c r="J13" s="124"/>
      <c r="K13" s="124"/>
      <c r="L13" s="124"/>
      <c r="M13" s="124"/>
      <c r="N13" s="124"/>
      <c r="O13" s="124"/>
      <c r="P13" s="124"/>
      <c r="Q13" s="90"/>
    </row>
    <row r="14" spans="1:17" ht="13.5" customHeight="1">
      <c r="A14" s="58"/>
      <c r="B14" s="188"/>
      <c r="C14" s="188"/>
      <c r="D14" s="188"/>
      <c r="E14" s="188"/>
      <c r="F14" s="189"/>
      <c r="G14" s="315"/>
      <c r="H14" s="316"/>
      <c r="I14" s="190"/>
      <c r="J14" s="124"/>
      <c r="K14" s="124"/>
      <c r="L14" s="124"/>
      <c r="M14" s="124"/>
      <c r="N14" s="124"/>
      <c r="O14" s="124"/>
      <c r="P14" s="124"/>
      <c r="Q14" s="90"/>
    </row>
    <row r="15" spans="1:17" ht="13.5" customHeight="1">
      <c r="A15" s="58">
        <v>2016</v>
      </c>
      <c r="B15" s="188">
        <v>91228</v>
      </c>
      <c r="C15" s="188">
        <v>10837</v>
      </c>
      <c r="D15" s="188">
        <v>3690</v>
      </c>
      <c r="E15" s="188">
        <v>19379</v>
      </c>
      <c r="F15" s="189">
        <v>2895</v>
      </c>
      <c r="G15" s="315">
        <v>13138</v>
      </c>
      <c r="H15" s="316"/>
      <c r="I15" s="190">
        <v>7723</v>
      </c>
      <c r="J15" s="124"/>
      <c r="K15" s="124"/>
      <c r="L15" s="124"/>
      <c r="M15" s="124"/>
      <c r="N15" s="124"/>
      <c r="O15" s="124"/>
      <c r="P15" s="124"/>
      <c r="Q15" s="90"/>
    </row>
    <row r="16" spans="1:17" ht="13.5" customHeight="1">
      <c r="A16" s="58">
        <v>2017</v>
      </c>
      <c r="B16" s="188">
        <v>94198</v>
      </c>
      <c r="C16" s="188">
        <v>11560</v>
      </c>
      <c r="D16" s="188">
        <v>1464</v>
      </c>
      <c r="E16" s="188">
        <v>21706</v>
      </c>
      <c r="F16" s="189">
        <v>2837</v>
      </c>
      <c r="G16" s="315">
        <v>13726</v>
      </c>
      <c r="H16" s="316"/>
      <c r="I16" s="190">
        <v>8611</v>
      </c>
      <c r="J16" s="124"/>
      <c r="K16" s="124"/>
      <c r="L16" s="124"/>
      <c r="M16" s="124"/>
      <c r="N16" s="124"/>
      <c r="O16" s="124"/>
      <c r="P16" s="124"/>
      <c r="Q16" s="90"/>
    </row>
    <row r="17" spans="1:19" ht="13.5" customHeight="1">
      <c r="A17" s="58">
        <v>2018</v>
      </c>
      <c r="B17" s="188">
        <v>99869</v>
      </c>
      <c r="C17" s="188">
        <v>12763</v>
      </c>
      <c r="D17" s="188">
        <v>1122</v>
      </c>
      <c r="E17" s="188">
        <v>23366</v>
      </c>
      <c r="F17" s="189">
        <v>3445</v>
      </c>
      <c r="G17" s="315">
        <v>14752</v>
      </c>
      <c r="H17" s="316"/>
      <c r="I17" s="190">
        <v>9422</v>
      </c>
      <c r="J17" s="124"/>
      <c r="K17" s="124"/>
      <c r="L17" s="124"/>
      <c r="M17" s="124"/>
      <c r="N17" s="124"/>
      <c r="O17" s="124"/>
      <c r="P17" s="124"/>
      <c r="Q17" s="90"/>
    </row>
    <row r="18" spans="1:19" ht="13.5" customHeight="1">
      <c r="A18" s="58">
        <v>2019</v>
      </c>
      <c r="B18" s="188">
        <v>109275.23</v>
      </c>
      <c r="C18" s="188">
        <v>14426.72</v>
      </c>
      <c r="D18" s="188">
        <v>984.23</v>
      </c>
      <c r="E18" s="188">
        <v>25660</v>
      </c>
      <c r="F18" s="189">
        <v>3473.99</v>
      </c>
      <c r="G18" s="315">
        <v>16408.02</v>
      </c>
      <c r="H18" s="316"/>
      <c r="I18" s="190">
        <v>10648.5</v>
      </c>
      <c r="J18" s="124"/>
      <c r="K18" s="124"/>
      <c r="L18" s="124"/>
      <c r="M18" s="124"/>
      <c r="N18" s="124"/>
      <c r="O18" s="124"/>
      <c r="P18" s="124"/>
      <c r="Q18" s="90"/>
    </row>
    <row r="19" spans="1:19" ht="13.5" customHeight="1">
      <c r="A19" s="73">
        <v>2020</v>
      </c>
      <c r="B19" s="188">
        <v>122359.81</v>
      </c>
      <c r="C19" s="188">
        <v>15457.23</v>
      </c>
      <c r="D19" s="188">
        <v>1269.05</v>
      </c>
      <c r="E19" s="188">
        <v>27845.55</v>
      </c>
      <c r="F19" s="189">
        <v>4372.9399999999996</v>
      </c>
      <c r="G19" s="315">
        <v>19166.38</v>
      </c>
      <c r="H19" s="316"/>
      <c r="I19" s="190">
        <v>13475.69</v>
      </c>
      <c r="J19" s="124"/>
      <c r="K19" s="124"/>
      <c r="L19" s="124"/>
      <c r="M19" s="124"/>
      <c r="N19" s="124"/>
      <c r="O19" s="124"/>
      <c r="P19" s="124"/>
      <c r="Q19" s="90"/>
    </row>
    <row r="20" spans="1:19" ht="13.5" customHeight="1">
      <c r="A20" s="59"/>
      <c r="B20" s="188"/>
      <c r="C20" s="188"/>
      <c r="D20" s="188"/>
      <c r="E20" s="188"/>
      <c r="F20" s="189"/>
      <c r="G20" s="315"/>
      <c r="H20" s="316"/>
      <c r="I20" s="190"/>
      <c r="J20" s="124"/>
      <c r="K20" s="124"/>
      <c r="L20" s="124"/>
      <c r="M20" s="124"/>
      <c r="N20" s="124"/>
      <c r="O20" s="124"/>
      <c r="P20" s="124"/>
      <c r="Q20" s="90"/>
    </row>
    <row r="21" spans="1:19" ht="13.5" customHeight="1">
      <c r="A21" s="205">
        <v>2021</v>
      </c>
      <c r="B21" s="188">
        <v>130529.03</v>
      </c>
      <c r="C21" s="188">
        <v>16107.49</v>
      </c>
      <c r="D21" s="188">
        <v>1215.31</v>
      </c>
      <c r="E21" s="188">
        <v>28369.1</v>
      </c>
      <c r="F21" s="193">
        <v>5129.1400000000003</v>
      </c>
      <c r="G21" s="315">
        <v>21096.94</v>
      </c>
      <c r="H21" s="316"/>
      <c r="I21" s="190">
        <v>14755.36</v>
      </c>
      <c r="J21" s="124"/>
      <c r="K21" s="124"/>
      <c r="L21" s="124"/>
      <c r="M21" s="124"/>
      <c r="N21" s="124"/>
      <c r="O21" s="124"/>
      <c r="P21" s="124"/>
      <c r="Q21" s="90"/>
    </row>
    <row r="22" spans="1:19" ht="13.5" customHeight="1">
      <c r="A22" s="216" t="s">
        <v>210</v>
      </c>
      <c r="B22" s="188">
        <v>138255.22</v>
      </c>
      <c r="C22" s="188">
        <v>17113.12</v>
      </c>
      <c r="D22" s="188">
        <v>1210.07</v>
      </c>
      <c r="E22" s="188">
        <v>29971.19</v>
      </c>
      <c r="F22" s="228">
        <v>5761.15</v>
      </c>
      <c r="G22" s="324">
        <v>22502.61</v>
      </c>
      <c r="H22" s="325"/>
      <c r="I22" s="190">
        <v>16872.04</v>
      </c>
      <c r="J22" s="124"/>
      <c r="K22" s="124"/>
      <c r="L22" s="124"/>
      <c r="M22" s="124"/>
      <c r="N22" s="124"/>
      <c r="O22" s="124"/>
      <c r="P22" s="124"/>
      <c r="Q22" s="90"/>
    </row>
    <row r="23" spans="1:19" ht="13.5" customHeight="1">
      <c r="A23" s="216">
        <v>2023</v>
      </c>
      <c r="B23" s="188">
        <v>143044</v>
      </c>
      <c r="C23" s="188">
        <v>17700</v>
      </c>
      <c r="D23" s="188">
        <v>1155</v>
      </c>
      <c r="E23" s="188">
        <v>31892</v>
      </c>
      <c r="F23" s="249">
        <v>6297</v>
      </c>
      <c r="G23" s="312">
        <v>23643</v>
      </c>
      <c r="H23" s="314"/>
      <c r="I23" s="250">
        <v>16821</v>
      </c>
      <c r="J23" s="124"/>
      <c r="K23" s="124"/>
      <c r="L23" s="124"/>
      <c r="M23" s="124"/>
      <c r="N23" s="124"/>
      <c r="O23" s="124"/>
      <c r="P23" s="124"/>
      <c r="Q23" s="90"/>
    </row>
    <row r="24" spans="1:19" ht="13.5" customHeight="1">
      <c r="A24" s="216">
        <v>2024</v>
      </c>
      <c r="B24" s="188">
        <v>147018.70000000001</v>
      </c>
      <c r="C24" s="188">
        <v>18240.939999999999</v>
      </c>
      <c r="D24" s="188">
        <v>1188.79</v>
      </c>
      <c r="E24" s="188">
        <v>33091.46</v>
      </c>
      <c r="F24" s="188">
        <v>6693</v>
      </c>
      <c r="G24" s="312">
        <v>24200.01</v>
      </c>
      <c r="H24" s="314"/>
      <c r="I24" s="188">
        <v>17783.5</v>
      </c>
      <c r="J24" s="124"/>
      <c r="K24" s="124"/>
      <c r="L24" s="124"/>
      <c r="M24" s="124"/>
      <c r="N24" s="124"/>
      <c r="O24" s="124"/>
      <c r="P24" s="124"/>
      <c r="Q24" s="90"/>
    </row>
    <row r="25" spans="1:19" ht="13.5" customHeight="1">
      <c r="A25" s="216" t="s">
        <v>263</v>
      </c>
      <c r="B25" s="188">
        <v>151942.72</v>
      </c>
      <c r="C25" s="188">
        <v>18599.54</v>
      </c>
      <c r="D25" s="188">
        <v>1045.76</v>
      </c>
      <c r="E25" s="188">
        <v>33126</v>
      </c>
      <c r="F25" s="264">
        <v>6786.04</v>
      </c>
      <c r="G25" s="312">
        <v>24616.23</v>
      </c>
      <c r="H25" s="314"/>
      <c r="I25" s="265">
        <v>18189.71</v>
      </c>
      <c r="J25" s="124"/>
      <c r="K25" s="124"/>
      <c r="L25" s="124"/>
      <c r="M25" s="124"/>
      <c r="N25" s="124"/>
      <c r="O25" s="124"/>
      <c r="P25" s="124"/>
      <c r="Q25" s="90"/>
    </row>
    <row r="26" spans="1:19" ht="13.5" customHeight="1">
      <c r="A26" s="59"/>
      <c r="B26" s="188"/>
      <c r="C26" s="188"/>
      <c r="D26" s="188"/>
      <c r="E26" s="188"/>
      <c r="F26" s="189"/>
      <c r="G26" s="315"/>
      <c r="H26" s="316"/>
      <c r="I26" s="190"/>
      <c r="J26" s="124"/>
      <c r="K26" s="124"/>
      <c r="L26" s="124"/>
      <c r="M26" s="124"/>
      <c r="N26" s="124"/>
      <c r="O26" s="124"/>
      <c r="P26" s="124"/>
      <c r="Q26" s="124"/>
      <c r="R26" s="124"/>
      <c r="S26" s="124"/>
    </row>
    <row r="27" spans="1:19" ht="13.5" customHeight="1">
      <c r="A27" s="60">
        <v>2019.3</v>
      </c>
      <c r="B27" s="188">
        <v>101375.7</v>
      </c>
      <c r="C27" s="188">
        <v>13008.3</v>
      </c>
      <c r="D27" s="188">
        <v>1036.8</v>
      </c>
      <c r="E27" s="188">
        <v>23865.7</v>
      </c>
      <c r="F27" s="189">
        <v>3909.3</v>
      </c>
      <c r="G27" s="315">
        <v>15045.9</v>
      </c>
      <c r="H27" s="316"/>
      <c r="I27" s="190">
        <v>9436.5</v>
      </c>
      <c r="J27" s="124"/>
      <c r="K27" s="124"/>
      <c r="L27" s="124"/>
      <c r="M27" s="124"/>
      <c r="N27" s="124"/>
      <c r="O27" s="124"/>
      <c r="P27" s="124"/>
      <c r="Q27" s="90"/>
    </row>
    <row r="28" spans="1:19" ht="13.5" customHeight="1">
      <c r="A28" s="60">
        <v>6</v>
      </c>
      <c r="B28" s="188">
        <v>104102.65</v>
      </c>
      <c r="C28" s="188">
        <v>13499.2</v>
      </c>
      <c r="D28" s="188">
        <v>980.55</v>
      </c>
      <c r="E28" s="188">
        <v>24345.07</v>
      </c>
      <c r="F28" s="189">
        <v>3901.05</v>
      </c>
      <c r="G28" s="315">
        <v>15684.1</v>
      </c>
      <c r="H28" s="316"/>
      <c r="I28" s="190">
        <v>10086.85</v>
      </c>
      <c r="J28" s="124"/>
      <c r="K28" s="124"/>
      <c r="L28" s="124"/>
      <c r="M28" s="124"/>
      <c r="N28" s="124"/>
      <c r="O28" s="124"/>
      <c r="P28" s="124"/>
      <c r="Q28" s="90"/>
    </row>
    <row r="29" spans="1:19" ht="13.5" customHeight="1">
      <c r="A29" s="60">
        <v>9</v>
      </c>
      <c r="B29" s="188">
        <v>106983.42</v>
      </c>
      <c r="C29" s="188">
        <v>14050.52</v>
      </c>
      <c r="D29" s="188">
        <v>963.81</v>
      </c>
      <c r="E29" s="188">
        <v>24979.06</v>
      </c>
      <c r="F29" s="189">
        <v>3899.03</v>
      </c>
      <c r="G29" s="315">
        <v>16118.36</v>
      </c>
      <c r="H29" s="316"/>
      <c r="I29" s="190">
        <v>10607.21</v>
      </c>
      <c r="J29" s="124"/>
      <c r="K29" s="124"/>
      <c r="L29" s="124"/>
      <c r="M29" s="124"/>
      <c r="N29" s="124"/>
      <c r="O29" s="124"/>
      <c r="P29" s="124"/>
      <c r="Q29" s="138"/>
    </row>
    <row r="30" spans="1:19" ht="13.5" customHeight="1">
      <c r="A30" s="60">
        <v>12</v>
      </c>
      <c r="B30" s="188">
        <v>109275.23</v>
      </c>
      <c r="C30" s="188">
        <v>14426.72</v>
      </c>
      <c r="D30" s="188">
        <v>984.23</v>
      </c>
      <c r="E30" s="188">
        <v>25660</v>
      </c>
      <c r="F30" s="189">
        <v>3473.99</v>
      </c>
      <c r="G30" s="315">
        <v>16408.02</v>
      </c>
      <c r="H30" s="316"/>
      <c r="I30" s="190">
        <v>10648.5</v>
      </c>
      <c r="J30" s="124"/>
      <c r="K30" s="124"/>
      <c r="L30" s="124"/>
      <c r="M30" s="124"/>
      <c r="N30" s="124"/>
      <c r="O30" s="124"/>
      <c r="P30" s="124"/>
      <c r="Q30" s="138"/>
    </row>
    <row r="31" spans="1:19" ht="13.5" customHeight="1">
      <c r="A31" s="60"/>
      <c r="B31" s="188"/>
      <c r="C31" s="188"/>
      <c r="D31" s="188"/>
      <c r="E31" s="188"/>
      <c r="F31" s="189"/>
      <c r="G31" s="315"/>
      <c r="H31" s="316"/>
      <c r="I31" s="190"/>
      <c r="J31" s="124"/>
      <c r="K31" s="124"/>
      <c r="L31" s="124"/>
      <c r="M31" s="124"/>
      <c r="N31" s="124"/>
      <c r="O31" s="124"/>
      <c r="P31" s="124"/>
      <c r="Q31" s="90"/>
    </row>
    <row r="32" spans="1:19" ht="13.5" customHeight="1">
      <c r="A32" s="60">
        <v>2020.3</v>
      </c>
      <c r="B32" s="188">
        <v>111047.71</v>
      </c>
      <c r="C32" s="188">
        <v>14819.38</v>
      </c>
      <c r="D32" s="188">
        <v>961.74</v>
      </c>
      <c r="E32" s="188">
        <v>25788.13</v>
      </c>
      <c r="F32" s="189">
        <v>4004.99</v>
      </c>
      <c r="G32" s="315">
        <v>16813.27</v>
      </c>
      <c r="H32" s="316"/>
      <c r="I32" s="190">
        <v>11321.04</v>
      </c>
      <c r="J32" s="124"/>
      <c r="K32" s="124"/>
      <c r="L32" s="124"/>
      <c r="M32" s="124"/>
      <c r="N32" s="124"/>
      <c r="O32" s="124"/>
      <c r="P32" s="124"/>
      <c r="Q32" s="138"/>
    </row>
    <row r="33" spans="1:17" ht="13.5" customHeight="1">
      <c r="A33" s="60">
        <v>6</v>
      </c>
      <c r="B33" s="188">
        <v>116919.28</v>
      </c>
      <c r="C33" s="188">
        <v>15259.29</v>
      </c>
      <c r="D33" s="188">
        <v>1019.51</v>
      </c>
      <c r="E33" s="188">
        <v>26989.78</v>
      </c>
      <c r="F33" s="189">
        <v>4370.2</v>
      </c>
      <c r="G33" s="315">
        <v>18392.16</v>
      </c>
      <c r="H33" s="316"/>
      <c r="I33" s="190">
        <v>12850.18</v>
      </c>
      <c r="J33" s="124"/>
      <c r="K33" s="124"/>
      <c r="L33" s="124"/>
      <c r="M33" s="124"/>
      <c r="N33" s="124"/>
      <c r="O33" s="124"/>
      <c r="P33" s="124"/>
      <c r="Q33" s="90"/>
    </row>
    <row r="34" spans="1:17" ht="13.5" customHeight="1">
      <c r="A34" s="60">
        <v>9</v>
      </c>
      <c r="B34" s="188">
        <v>119456.96000000001</v>
      </c>
      <c r="C34" s="188">
        <v>15448.75</v>
      </c>
      <c r="D34" s="188">
        <v>1034.54</v>
      </c>
      <c r="E34" s="188">
        <v>27781.39</v>
      </c>
      <c r="F34" s="189">
        <v>4688.25</v>
      </c>
      <c r="G34" s="315">
        <v>18796.14</v>
      </c>
      <c r="H34" s="316"/>
      <c r="I34" s="190">
        <v>13192.3</v>
      </c>
      <c r="J34" s="124"/>
      <c r="K34" s="124"/>
      <c r="L34" s="124"/>
      <c r="M34" s="124"/>
      <c r="N34" s="124"/>
      <c r="O34" s="124"/>
      <c r="P34" s="124"/>
      <c r="Q34" s="90"/>
    </row>
    <row r="35" spans="1:17" ht="13.5" customHeight="1">
      <c r="A35" s="60">
        <v>12</v>
      </c>
      <c r="B35" s="188">
        <v>122359.81</v>
      </c>
      <c r="C35" s="188">
        <v>15457.23</v>
      </c>
      <c r="D35" s="188">
        <v>1269.05</v>
      </c>
      <c r="E35" s="188">
        <v>27845.55</v>
      </c>
      <c r="F35" s="189">
        <v>4372.9399999999996</v>
      </c>
      <c r="G35" s="315">
        <v>19166.38</v>
      </c>
      <c r="H35" s="316"/>
      <c r="I35" s="190">
        <v>13475.69</v>
      </c>
      <c r="J35" s="124"/>
      <c r="K35" s="124"/>
      <c r="L35" s="124"/>
      <c r="M35" s="124"/>
      <c r="N35" s="124"/>
      <c r="O35" s="124"/>
      <c r="P35" s="124"/>
      <c r="Q35" s="90"/>
    </row>
    <row r="36" spans="1:17" ht="13.5" customHeight="1">
      <c r="A36" s="60"/>
      <c r="B36" s="188"/>
      <c r="C36" s="188"/>
      <c r="D36" s="188"/>
      <c r="E36" s="188"/>
      <c r="F36" s="189"/>
      <c r="G36" s="315"/>
      <c r="H36" s="316"/>
      <c r="I36" s="190"/>
      <c r="J36" s="124"/>
      <c r="K36" s="90"/>
      <c r="L36" s="90"/>
      <c r="M36" s="90"/>
      <c r="N36" s="142"/>
      <c r="O36" s="90"/>
      <c r="P36" s="142"/>
      <c r="Q36" s="90"/>
    </row>
    <row r="37" spans="1:17" ht="13.5" customHeight="1">
      <c r="A37" s="60">
        <v>2021.3</v>
      </c>
      <c r="B37" s="188">
        <v>125240.39</v>
      </c>
      <c r="C37" s="188">
        <v>15648.52</v>
      </c>
      <c r="D37" s="188">
        <v>1108.17</v>
      </c>
      <c r="E37" s="188">
        <v>28145.31</v>
      </c>
      <c r="F37" s="189">
        <v>4856.8500000000004</v>
      </c>
      <c r="G37" s="315">
        <v>19737.02</v>
      </c>
      <c r="H37" s="316"/>
      <c r="I37" s="190">
        <v>14150.56</v>
      </c>
      <c r="J37" s="124"/>
      <c r="K37" s="90"/>
      <c r="L37" s="90"/>
      <c r="M37" s="90"/>
      <c r="N37" s="142"/>
      <c r="O37" s="90"/>
      <c r="P37" s="142"/>
      <c r="Q37" s="90"/>
    </row>
    <row r="38" spans="1:17" ht="13.5" customHeight="1">
      <c r="A38" s="60">
        <v>6</v>
      </c>
      <c r="B38" s="188">
        <v>126195.18</v>
      </c>
      <c r="C38" s="188">
        <v>15897.56</v>
      </c>
      <c r="D38" s="188">
        <v>1092.6600000000001</v>
      </c>
      <c r="E38" s="188">
        <v>27749</v>
      </c>
      <c r="F38" s="189">
        <v>4935.26</v>
      </c>
      <c r="G38" s="315">
        <v>20282.62</v>
      </c>
      <c r="H38" s="316"/>
      <c r="I38" s="190">
        <v>14264.17</v>
      </c>
      <c r="J38" s="124"/>
      <c r="K38" s="90"/>
      <c r="L38" s="90"/>
      <c r="M38" s="90"/>
      <c r="N38" s="142"/>
      <c r="O38" s="90"/>
      <c r="P38" s="142"/>
      <c r="Q38" s="90"/>
    </row>
    <row r="39" spans="1:17" ht="13.5" customHeight="1">
      <c r="A39" s="60">
        <v>9</v>
      </c>
      <c r="B39" s="188">
        <v>128603.16</v>
      </c>
      <c r="C39" s="188">
        <v>16061.39</v>
      </c>
      <c r="D39" s="188">
        <v>1181.47</v>
      </c>
      <c r="E39" s="188">
        <v>28293.94</v>
      </c>
      <c r="F39" s="189">
        <v>5349.05</v>
      </c>
      <c r="G39" s="315">
        <v>20891.27</v>
      </c>
      <c r="H39" s="316"/>
      <c r="I39" s="190">
        <v>14574.33</v>
      </c>
      <c r="J39" s="124"/>
      <c r="K39" s="90"/>
      <c r="L39" s="90"/>
      <c r="M39" s="90"/>
      <c r="N39" s="142"/>
      <c r="O39" s="90"/>
      <c r="P39" s="142"/>
      <c r="Q39" s="90"/>
    </row>
    <row r="40" spans="1:17" ht="13.5" customHeight="1">
      <c r="A40" s="60">
        <v>12</v>
      </c>
      <c r="B40" s="188">
        <v>130529.03</v>
      </c>
      <c r="C40" s="188">
        <v>16107.49</v>
      </c>
      <c r="D40" s="188">
        <v>1215.31</v>
      </c>
      <c r="E40" s="188">
        <v>28369.1</v>
      </c>
      <c r="F40" s="189">
        <v>5129.1400000000003</v>
      </c>
      <c r="G40" s="315">
        <v>21096.94</v>
      </c>
      <c r="H40" s="316"/>
      <c r="I40" s="190">
        <v>14755.36</v>
      </c>
      <c r="J40" s="124"/>
      <c r="K40" s="90"/>
      <c r="L40" s="90"/>
      <c r="M40" s="90"/>
      <c r="N40" s="142"/>
      <c r="O40" s="90"/>
      <c r="P40" s="142"/>
      <c r="Q40" s="90"/>
    </row>
    <row r="41" spans="1:17" ht="13.5" customHeight="1">
      <c r="A41" s="60"/>
      <c r="B41" s="188"/>
      <c r="C41" s="188"/>
      <c r="D41" s="188"/>
      <c r="E41" s="188"/>
      <c r="F41" s="189"/>
      <c r="G41" s="315"/>
      <c r="H41" s="316"/>
      <c r="I41" s="190"/>
      <c r="J41" s="124"/>
      <c r="K41" s="90"/>
      <c r="L41" s="90"/>
      <c r="M41" s="90"/>
      <c r="N41" s="142"/>
      <c r="O41" s="90"/>
      <c r="P41" s="142"/>
      <c r="Q41" s="90"/>
    </row>
    <row r="42" spans="1:17" ht="13.5" customHeight="1">
      <c r="A42" s="60">
        <v>2022.3</v>
      </c>
      <c r="B42" s="188">
        <v>132004.01</v>
      </c>
      <c r="C42" s="188">
        <v>16141.58</v>
      </c>
      <c r="D42" s="188">
        <v>1233.92</v>
      </c>
      <c r="E42" s="188">
        <v>28496.91</v>
      </c>
      <c r="F42" s="189">
        <v>5724.64</v>
      </c>
      <c r="G42" s="315">
        <v>21607.7</v>
      </c>
      <c r="H42" s="316"/>
      <c r="I42" s="190">
        <v>15206.6</v>
      </c>
      <c r="J42" s="124"/>
      <c r="K42" s="90"/>
      <c r="L42" s="90"/>
      <c r="M42" s="90"/>
      <c r="N42" s="142"/>
      <c r="O42" s="90"/>
      <c r="P42" s="142"/>
      <c r="Q42" s="90"/>
    </row>
    <row r="43" spans="1:17" ht="13.5" customHeight="1">
      <c r="A43" s="60">
        <v>6</v>
      </c>
      <c r="B43" s="188">
        <v>134375.54</v>
      </c>
      <c r="C43" s="188">
        <v>16353.34</v>
      </c>
      <c r="D43" s="188">
        <v>1250.28</v>
      </c>
      <c r="E43" s="188">
        <v>29307.45</v>
      </c>
      <c r="F43" s="227">
        <v>5928.26</v>
      </c>
      <c r="G43" s="312">
        <v>22330.37</v>
      </c>
      <c r="H43" s="314"/>
      <c r="I43" s="190">
        <v>15537.75</v>
      </c>
      <c r="J43" s="124"/>
      <c r="K43" s="90"/>
      <c r="L43" s="90"/>
      <c r="M43" s="90"/>
      <c r="N43" s="142"/>
      <c r="O43" s="90"/>
      <c r="P43" s="142"/>
      <c r="Q43" s="90"/>
    </row>
    <row r="44" spans="1:17" ht="13.5" customHeight="1">
      <c r="A44" s="194" t="s">
        <v>208</v>
      </c>
      <c r="B44" s="188">
        <v>137530.91</v>
      </c>
      <c r="C44" s="188">
        <v>16910.810000000001</v>
      </c>
      <c r="D44" s="188">
        <v>1255.45</v>
      </c>
      <c r="E44" s="188">
        <v>29555.77</v>
      </c>
      <c r="F44" s="228">
        <v>6161.77</v>
      </c>
      <c r="G44" s="312">
        <v>22959.24</v>
      </c>
      <c r="H44" s="314"/>
      <c r="I44" s="190">
        <v>16914.849999999999</v>
      </c>
      <c r="J44" s="124"/>
      <c r="K44" s="90"/>
      <c r="L44" s="90"/>
      <c r="M44" s="90"/>
      <c r="N44" s="142"/>
      <c r="O44" s="90"/>
      <c r="P44" s="142"/>
      <c r="Q44" s="90"/>
    </row>
    <row r="45" spans="1:17" ht="13.5" customHeight="1">
      <c r="A45" s="194" t="s">
        <v>216</v>
      </c>
      <c r="B45" s="188">
        <v>138255.22</v>
      </c>
      <c r="C45" s="188">
        <v>17113.12</v>
      </c>
      <c r="D45" s="188">
        <v>1210.07</v>
      </c>
      <c r="E45" s="188">
        <v>29971.19</v>
      </c>
      <c r="F45" s="231">
        <v>5761.15</v>
      </c>
      <c r="G45" s="312">
        <v>22502.61</v>
      </c>
      <c r="H45" s="314"/>
      <c r="I45" s="190">
        <v>16872.04</v>
      </c>
      <c r="J45" s="124"/>
      <c r="K45" s="90"/>
      <c r="L45" s="90"/>
      <c r="M45" s="90"/>
      <c r="N45" s="142"/>
      <c r="O45" s="90"/>
      <c r="P45" s="142"/>
      <c r="Q45" s="90"/>
    </row>
    <row r="46" spans="1:17" ht="13.5" customHeight="1">
      <c r="A46" s="194"/>
      <c r="B46" s="188"/>
      <c r="C46" s="188"/>
      <c r="D46" s="188"/>
      <c r="E46" s="188"/>
      <c r="F46" s="231"/>
      <c r="G46" s="312"/>
      <c r="H46" s="314"/>
      <c r="I46" s="190"/>
      <c r="J46" s="124"/>
      <c r="K46" s="90"/>
      <c r="L46" s="90"/>
      <c r="M46" s="90"/>
      <c r="N46" s="142"/>
      <c r="O46" s="90"/>
      <c r="P46" s="142"/>
      <c r="Q46" s="90"/>
    </row>
    <row r="47" spans="1:17" ht="13.5" customHeight="1">
      <c r="A47" s="194">
        <v>2023.3</v>
      </c>
      <c r="B47" s="188">
        <v>139126.57999999999</v>
      </c>
      <c r="C47" s="188">
        <v>17262.439999999999</v>
      </c>
      <c r="D47" s="188">
        <v>1194.49</v>
      </c>
      <c r="E47" s="188">
        <v>30471.34</v>
      </c>
      <c r="F47" s="232">
        <v>6374.51</v>
      </c>
      <c r="G47" s="312">
        <v>22794.75</v>
      </c>
      <c r="H47" s="314"/>
      <c r="I47" s="190">
        <v>16904.900000000001</v>
      </c>
      <c r="J47" s="124"/>
      <c r="K47" s="90"/>
      <c r="L47" s="90"/>
      <c r="M47" s="90"/>
      <c r="N47" s="142"/>
      <c r="O47" s="90"/>
      <c r="P47" s="142"/>
      <c r="Q47" s="90"/>
    </row>
    <row r="48" spans="1:17" ht="13.5" customHeight="1">
      <c r="A48" s="194" t="s">
        <v>223</v>
      </c>
      <c r="B48" s="188">
        <v>140107.51999999999</v>
      </c>
      <c r="C48" s="188">
        <v>17633.68</v>
      </c>
      <c r="D48" s="188">
        <v>1162.74</v>
      </c>
      <c r="E48" s="188">
        <v>31183.52</v>
      </c>
      <c r="F48" s="236">
        <v>6464.15</v>
      </c>
      <c r="G48" s="312">
        <v>23092.12</v>
      </c>
      <c r="H48" s="314"/>
      <c r="I48" s="237">
        <v>17181</v>
      </c>
      <c r="J48" s="124"/>
      <c r="K48" s="90"/>
      <c r="L48" s="90"/>
      <c r="M48" s="90"/>
      <c r="N48" s="142"/>
      <c r="O48" s="90"/>
      <c r="P48" s="142"/>
      <c r="Q48" s="90"/>
    </row>
    <row r="49" spans="1:17" ht="13.5" customHeight="1">
      <c r="A49" s="194" t="s">
        <v>226</v>
      </c>
      <c r="B49" s="188">
        <v>142177</v>
      </c>
      <c r="C49" s="188">
        <v>17862</v>
      </c>
      <c r="D49" s="188">
        <v>1161</v>
      </c>
      <c r="E49" s="188">
        <v>31762</v>
      </c>
      <c r="F49" s="238">
        <v>6574</v>
      </c>
      <c r="G49" s="312">
        <v>23836.75</v>
      </c>
      <c r="H49" s="314"/>
      <c r="I49" s="239">
        <v>17116</v>
      </c>
      <c r="J49" s="124"/>
      <c r="K49" s="90"/>
      <c r="L49" s="90"/>
      <c r="M49" s="90"/>
      <c r="N49" s="142"/>
      <c r="O49" s="90"/>
      <c r="P49" s="142"/>
      <c r="Q49" s="90"/>
    </row>
    <row r="50" spans="1:17" ht="13.5" customHeight="1">
      <c r="A50" s="194" t="s">
        <v>232</v>
      </c>
      <c r="B50" s="188">
        <v>143044</v>
      </c>
      <c r="C50" s="188">
        <v>17700</v>
      </c>
      <c r="D50" s="188">
        <v>1155</v>
      </c>
      <c r="E50" s="188">
        <v>31892</v>
      </c>
      <c r="F50" s="244">
        <v>6297</v>
      </c>
      <c r="G50" s="312">
        <v>23643</v>
      </c>
      <c r="H50" s="314"/>
      <c r="I50" s="245">
        <v>16821</v>
      </c>
      <c r="J50" s="124"/>
      <c r="K50" s="90"/>
      <c r="L50" s="90"/>
      <c r="M50" s="90"/>
      <c r="N50" s="142"/>
      <c r="O50" s="90"/>
      <c r="P50" s="142"/>
      <c r="Q50" s="90"/>
    </row>
    <row r="51" spans="1:17" ht="13.5" customHeight="1">
      <c r="A51" s="194"/>
      <c r="B51" s="188"/>
      <c r="C51" s="188"/>
      <c r="D51" s="188"/>
      <c r="E51" s="188"/>
      <c r="F51" s="244"/>
      <c r="G51" s="312"/>
      <c r="H51" s="314"/>
      <c r="I51" s="245"/>
      <c r="J51" s="124"/>
      <c r="K51" s="90"/>
      <c r="L51" s="90"/>
      <c r="M51" s="90"/>
      <c r="N51" s="142"/>
      <c r="O51" s="90"/>
      <c r="P51" s="142"/>
      <c r="Q51" s="90"/>
    </row>
    <row r="52" spans="1:17" ht="13.5" customHeight="1">
      <c r="A52" s="194" t="s">
        <v>236</v>
      </c>
      <c r="B52" s="188">
        <v>142872.88</v>
      </c>
      <c r="C52" s="188">
        <v>17754.560000000001</v>
      </c>
      <c r="D52" s="188">
        <v>1147.6300000000001</v>
      </c>
      <c r="E52" s="188">
        <v>31729.08</v>
      </c>
      <c r="F52" s="247">
        <v>6731.87</v>
      </c>
      <c r="G52" s="312">
        <v>23832.34</v>
      </c>
      <c r="H52" s="314"/>
      <c r="I52" s="248">
        <v>17028.419999999998</v>
      </c>
      <c r="J52" s="124"/>
      <c r="K52" s="90"/>
      <c r="L52" s="90"/>
      <c r="M52" s="90"/>
      <c r="N52" s="142"/>
      <c r="O52" s="90"/>
      <c r="P52" s="142"/>
      <c r="Q52" s="90"/>
    </row>
    <row r="53" spans="1:17" ht="13.5" customHeight="1">
      <c r="A53" s="194" t="s">
        <v>243</v>
      </c>
      <c r="B53" s="188">
        <v>143199.21</v>
      </c>
      <c r="C53" s="188">
        <v>18269.919999999998</v>
      </c>
      <c r="D53" s="188">
        <v>1113.79</v>
      </c>
      <c r="E53" s="188">
        <v>32164.74</v>
      </c>
      <c r="F53" s="249">
        <v>6789.95</v>
      </c>
      <c r="G53" s="312">
        <v>23967.7</v>
      </c>
      <c r="H53" s="314"/>
      <c r="I53" s="250">
        <v>17166.05</v>
      </c>
      <c r="J53" s="124"/>
      <c r="K53" s="90"/>
      <c r="L53" s="90"/>
      <c r="M53" s="90"/>
      <c r="N53" s="142"/>
      <c r="O53" s="90"/>
      <c r="P53" s="142"/>
      <c r="Q53" s="90"/>
    </row>
    <row r="54" spans="1:17" ht="13.5" customHeight="1">
      <c r="A54" s="194">
        <v>9</v>
      </c>
      <c r="B54" s="188">
        <v>145371.82999999999</v>
      </c>
      <c r="C54" s="188">
        <v>18374.86</v>
      </c>
      <c r="D54" s="188">
        <v>1181.71</v>
      </c>
      <c r="E54" s="188">
        <v>33247.730000000003</v>
      </c>
      <c r="F54" s="251">
        <v>7003.9</v>
      </c>
      <c r="G54" s="312">
        <v>24265.38</v>
      </c>
      <c r="H54" s="314"/>
      <c r="I54" s="252">
        <v>17894.03</v>
      </c>
      <c r="J54" s="124"/>
      <c r="K54" s="90"/>
      <c r="L54" s="90"/>
      <c r="M54" s="90"/>
      <c r="N54" s="142"/>
      <c r="O54" s="90"/>
      <c r="P54" s="142"/>
      <c r="Q54" s="90"/>
    </row>
    <row r="55" spans="1:17" ht="13.5" customHeight="1">
      <c r="A55" s="194">
        <v>12</v>
      </c>
      <c r="B55" s="188">
        <v>147018.70000000001</v>
      </c>
      <c r="C55" s="188">
        <v>18240.939999999999</v>
      </c>
      <c r="D55" s="188">
        <v>1188.79</v>
      </c>
      <c r="E55" s="188">
        <v>33091.46</v>
      </c>
      <c r="F55" s="254">
        <v>6693</v>
      </c>
      <c r="G55" s="312">
        <v>24200.01</v>
      </c>
      <c r="H55" s="314"/>
      <c r="I55" s="255">
        <v>17783.5</v>
      </c>
      <c r="J55" s="124"/>
      <c r="K55" s="90"/>
      <c r="L55" s="90"/>
      <c r="M55" s="90"/>
      <c r="N55" s="142"/>
      <c r="O55" s="90"/>
      <c r="P55" s="142"/>
      <c r="Q55" s="90"/>
    </row>
    <row r="56" spans="1:17" ht="13.5" customHeight="1">
      <c r="A56" s="194"/>
      <c r="B56" s="188"/>
      <c r="C56" s="188"/>
      <c r="D56" s="188"/>
      <c r="E56" s="188"/>
      <c r="F56" s="254"/>
      <c r="G56" s="312"/>
      <c r="H56" s="314"/>
      <c r="I56" s="255"/>
      <c r="J56" s="124"/>
      <c r="K56" s="90"/>
      <c r="L56" s="90"/>
      <c r="M56" s="90"/>
      <c r="N56" s="142"/>
      <c r="O56" s="90"/>
      <c r="P56" s="142"/>
      <c r="Q56" s="90"/>
    </row>
    <row r="57" spans="1:17" ht="13.5" customHeight="1">
      <c r="A57" s="194" t="s">
        <v>254</v>
      </c>
      <c r="B57" s="188">
        <v>148085.01</v>
      </c>
      <c r="C57" s="188">
        <v>18279.54</v>
      </c>
      <c r="D57" s="188">
        <v>1098.46</v>
      </c>
      <c r="E57" s="188">
        <v>32848.26</v>
      </c>
      <c r="F57" s="256">
        <v>7078.87</v>
      </c>
      <c r="G57" s="312">
        <v>24332.36</v>
      </c>
      <c r="H57" s="314"/>
      <c r="I57" s="257">
        <v>18039.02</v>
      </c>
      <c r="J57" s="124"/>
      <c r="K57" s="90"/>
      <c r="L57" s="90"/>
      <c r="M57" s="90"/>
      <c r="N57" s="90"/>
      <c r="O57" s="90"/>
      <c r="P57" s="90"/>
      <c r="Q57" s="90"/>
    </row>
    <row r="58" spans="1:17" ht="13.5" customHeight="1">
      <c r="A58" s="194" t="s">
        <v>221</v>
      </c>
      <c r="B58" s="188">
        <v>149144.66</v>
      </c>
      <c r="C58" s="188">
        <v>18597.080000000002</v>
      </c>
      <c r="D58" s="188">
        <v>1059.1300000000001</v>
      </c>
      <c r="E58" s="188">
        <v>33330.42</v>
      </c>
      <c r="F58" s="262">
        <v>7145.78</v>
      </c>
      <c r="G58" s="312">
        <v>24452.94</v>
      </c>
      <c r="H58" s="314"/>
      <c r="I58" s="263">
        <v>18175.7</v>
      </c>
      <c r="J58" s="124"/>
      <c r="K58" s="90"/>
      <c r="L58" s="90"/>
      <c r="M58" s="90"/>
      <c r="N58" s="90"/>
      <c r="O58" s="90"/>
      <c r="P58" s="90"/>
      <c r="Q58" s="90"/>
    </row>
    <row r="59" spans="1:17" ht="13.5" customHeight="1">
      <c r="A59" s="194" t="s">
        <v>208</v>
      </c>
      <c r="B59" s="188">
        <v>149744.32999999999</v>
      </c>
      <c r="C59" s="188">
        <v>18667.169999999998</v>
      </c>
      <c r="D59" s="188">
        <v>1051.45</v>
      </c>
      <c r="E59" s="188">
        <v>33211.980000000003</v>
      </c>
      <c r="F59" s="264">
        <v>7268.02</v>
      </c>
      <c r="G59" s="312">
        <v>24618.69</v>
      </c>
      <c r="H59" s="314"/>
      <c r="I59" s="264">
        <v>18284.97</v>
      </c>
      <c r="J59" s="124"/>
      <c r="K59" s="90"/>
      <c r="L59" s="90"/>
      <c r="M59" s="90"/>
      <c r="N59" s="90"/>
      <c r="O59" s="90"/>
      <c r="P59" s="90"/>
      <c r="Q59" s="90"/>
    </row>
    <row r="60" spans="1:17" ht="13.5" customHeight="1">
      <c r="A60" s="195" t="s">
        <v>261</v>
      </c>
      <c r="B60" s="206">
        <v>151942.72</v>
      </c>
      <c r="C60" s="206">
        <v>18599.54</v>
      </c>
      <c r="D60" s="206">
        <v>1045.76</v>
      </c>
      <c r="E60" s="206">
        <v>33126</v>
      </c>
      <c r="F60" s="207">
        <v>6786.04</v>
      </c>
      <c r="G60" s="326">
        <v>24616.23</v>
      </c>
      <c r="H60" s="327"/>
      <c r="I60" s="207">
        <v>18189.71</v>
      </c>
      <c r="J60" s="124"/>
      <c r="K60" s="90"/>
      <c r="L60" s="90"/>
      <c r="M60" s="90"/>
      <c r="N60" s="90"/>
      <c r="O60" s="90"/>
      <c r="P60" s="90"/>
      <c r="Q60" s="90"/>
    </row>
    <row r="61" spans="1:17" s="187" customFormat="1" ht="7.5" customHeight="1">
      <c r="A61" s="192"/>
      <c r="B61" s="191"/>
      <c r="C61" s="124"/>
      <c r="D61" s="124"/>
      <c r="E61" s="191"/>
      <c r="F61" s="191"/>
      <c r="G61" s="124"/>
      <c r="H61" s="124"/>
      <c r="I61" s="124"/>
      <c r="J61" s="124"/>
      <c r="K61" s="185"/>
      <c r="L61" s="185"/>
      <c r="M61" s="185"/>
      <c r="N61" s="186"/>
      <c r="O61" s="185"/>
      <c r="P61" s="186"/>
      <c r="Q61" s="185"/>
    </row>
    <row r="62" spans="1:17" ht="24" customHeight="1">
      <c r="A62" s="276" t="s">
        <v>1</v>
      </c>
      <c r="B62" s="309" t="s">
        <v>110</v>
      </c>
      <c r="C62" s="310"/>
      <c r="D62" s="310"/>
      <c r="E62" s="311"/>
      <c r="F62" s="318" t="s">
        <v>79</v>
      </c>
      <c r="G62" s="293"/>
      <c r="H62" s="307" t="s">
        <v>80</v>
      </c>
      <c r="I62" s="320"/>
      <c r="Q62" s="90"/>
    </row>
    <row r="63" spans="1:17" ht="33.75">
      <c r="A63" s="277"/>
      <c r="B63" s="129" t="s">
        <v>138</v>
      </c>
      <c r="C63" s="96" t="s">
        <v>108</v>
      </c>
      <c r="D63" s="96" t="s">
        <v>139</v>
      </c>
      <c r="E63" s="24" t="s">
        <v>140</v>
      </c>
      <c r="F63" s="319"/>
      <c r="G63" s="294"/>
      <c r="H63" s="308"/>
      <c r="I63" s="321"/>
      <c r="Q63" s="90"/>
    </row>
    <row r="64" spans="1:17" ht="13.5" customHeight="1">
      <c r="A64" s="58">
        <v>2012</v>
      </c>
      <c r="B64" s="10">
        <v>3470</v>
      </c>
      <c r="C64" s="10">
        <v>2722</v>
      </c>
      <c r="D64" s="10">
        <v>4227</v>
      </c>
      <c r="E64" s="10">
        <v>2898</v>
      </c>
      <c r="F64" s="315">
        <v>58266</v>
      </c>
      <c r="G64" s="316"/>
      <c r="H64" s="328">
        <v>121443</v>
      </c>
      <c r="I64" s="329"/>
    </row>
    <row r="65" spans="1:16 16384:16384" ht="13.5" customHeight="1">
      <c r="A65" s="58">
        <v>2013</v>
      </c>
      <c r="B65" s="10">
        <v>3617</v>
      </c>
      <c r="C65" s="10">
        <v>3039</v>
      </c>
      <c r="D65" s="10">
        <v>4961</v>
      </c>
      <c r="E65" s="10">
        <v>5878</v>
      </c>
      <c r="F65" s="315">
        <v>62412</v>
      </c>
      <c r="G65" s="316"/>
      <c r="H65" s="315">
        <v>132599</v>
      </c>
      <c r="I65" s="317"/>
      <c r="J65" s="133"/>
      <c r="K65" s="133"/>
      <c r="L65" s="133"/>
      <c r="M65" s="133"/>
      <c r="N65" s="133"/>
      <c r="O65" s="133"/>
      <c r="P65" s="133"/>
    </row>
    <row r="66" spans="1:16 16384:16384">
      <c r="A66" s="58">
        <v>2014</v>
      </c>
      <c r="B66" s="10">
        <v>2150</v>
      </c>
      <c r="C66" s="10">
        <v>3669</v>
      </c>
      <c r="D66" s="10">
        <v>5057</v>
      </c>
      <c r="E66" s="10">
        <v>9193</v>
      </c>
      <c r="F66" s="315">
        <v>64300</v>
      </c>
      <c r="G66" s="316"/>
      <c r="H66" s="315">
        <v>141847</v>
      </c>
      <c r="I66" s="317"/>
    </row>
    <row r="67" spans="1:16 16384:16384">
      <c r="A67" s="58">
        <v>2015</v>
      </c>
      <c r="B67" s="10">
        <v>2408</v>
      </c>
      <c r="C67" s="10">
        <v>3617</v>
      </c>
      <c r="D67" s="10">
        <v>6537</v>
      </c>
      <c r="E67" s="10">
        <v>10514</v>
      </c>
      <c r="F67" s="315">
        <v>66906</v>
      </c>
      <c r="G67" s="316"/>
      <c r="H67" s="315">
        <v>154649</v>
      </c>
      <c r="I67" s="317"/>
    </row>
    <row r="68" spans="1:16 16384:16384">
      <c r="A68" s="58"/>
      <c r="B68" s="10"/>
      <c r="C68" s="10"/>
      <c r="D68" s="10"/>
      <c r="E68" s="10"/>
      <c r="F68" s="315"/>
      <c r="G68" s="316"/>
      <c r="H68" s="315"/>
      <c r="I68" s="317"/>
    </row>
    <row r="69" spans="1:16 16384:16384">
      <c r="A69" s="58">
        <v>2016</v>
      </c>
      <c r="B69" s="10">
        <v>2796</v>
      </c>
      <c r="C69" s="10">
        <v>4163</v>
      </c>
      <c r="D69" s="10">
        <v>8797</v>
      </c>
      <c r="E69" s="10">
        <v>8332</v>
      </c>
      <c r="F69" s="315">
        <v>72926</v>
      </c>
      <c r="G69" s="316"/>
      <c r="H69" s="315">
        <v>164154</v>
      </c>
      <c r="I69" s="317"/>
    </row>
    <row r="70" spans="1:16 16384:16384">
      <c r="A70" s="58">
        <v>2017</v>
      </c>
      <c r="B70" s="10">
        <v>2638</v>
      </c>
      <c r="C70" s="10">
        <v>4871</v>
      </c>
      <c r="D70" s="10">
        <v>9954</v>
      </c>
      <c r="E70" s="10">
        <v>6875</v>
      </c>
      <c r="F70" s="315">
        <v>81678</v>
      </c>
      <c r="G70" s="316"/>
      <c r="H70" s="315">
        <v>175876</v>
      </c>
      <c r="I70" s="317"/>
    </row>
    <row r="71" spans="1:16 16384:16384">
      <c r="A71" s="58">
        <v>2018</v>
      </c>
      <c r="B71" s="10">
        <v>2740.86</v>
      </c>
      <c r="C71" s="10">
        <v>5174.16</v>
      </c>
      <c r="D71" s="10">
        <v>11810.61</v>
      </c>
      <c r="E71" s="10">
        <v>4179.2100000000009</v>
      </c>
      <c r="F71" s="315">
        <v>92136</v>
      </c>
      <c r="G71" s="316"/>
      <c r="H71" s="315">
        <v>192005</v>
      </c>
      <c r="I71" s="317"/>
    </row>
    <row r="72" spans="1:16 16384:16384">
      <c r="A72" s="58">
        <v>2019</v>
      </c>
      <c r="B72" s="10">
        <v>2901.77</v>
      </c>
      <c r="C72" s="10">
        <v>6034.06</v>
      </c>
      <c r="D72" s="10">
        <v>12786.67</v>
      </c>
      <c r="E72" s="10">
        <v>3721.64</v>
      </c>
      <c r="F72" s="315">
        <v>100638.39999999999</v>
      </c>
      <c r="G72" s="316"/>
      <c r="H72" s="315">
        <v>209913.63</v>
      </c>
      <c r="I72" s="317"/>
    </row>
    <row r="73" spans="1:16 16384:16384">
      <c r="A73" s="58">
        <v>2020</v>
      </c>
      <c r="B73" s="10">
        <v>3243.56</v>
      </c>
      <c r="C73" s="10">
        <v>6396.22</v>
      </c>
      <c r="D73" s="10">
        <v>12706.36</v>
      </c>
      <c r="E73" s="10">
        <v>4254.8999999999996</v>
      </c>
      <c r="F73" s="315">
        <v>105954.59</v>
      </c>
      <c r="G73" s="316"/>
      <c r="H73" s="315">
        <v>228314.4</v>
      </c>
      <c r="I73" s="317"/>
    </row>
    <row r="74" spans="1:16 16384:16384">
      <c r="A74" s="60"/>
      <c r="B74" s="10"/>
      <c r="C74" s="10"/>
      <c r="D74" s="10"/>
      <c r="E74" s="10"/>
      <c r="F74" s="315"/>
      <c r="G74" s="316"/>
      <c r="H74" s="315"/>
      <c r="I74" s="317"/>
    </row>
    <row r="75" spans="1:16 16384:16384">
      <c r="A75" s="208">
        <v>2021</v>
      </c>
      <c r="B75" s="209">
        <v>3620.32</v>
      </c>
      <c r="C75" s="209">
        <v>7231.96</v>
      </c>
      <c r="D75" s="209">
        <v>13582.54</v>
      </c>
      <c r="E75" s="209">
        <v>4722.67</v>
      </c>
      <c r="F75" s="315">
        <v>108333.83</v>
      </c>
      <c r="G75" s="316"/>
      <c r="H75" s="315">
        <v>238862.88</v>
      </c>
      <c r="I75" s="317"/>
    </row>
    <row r="76" spans="1:16 16384:16384">
      <c r="A76" s="208">
        <v>2022</v>
      </c>
      <c r="B76" s="209">
        <v>3621.68</v>
      </c>
      <c r="C76" s="209">
        <v>7730.16</v>
      </c>
      <c r="D76" s="209">
        <v>13533.29</v>
      </c>
      <c r="E76" s="209">
        <v>4536.58</v>
      </c>
      <c r="F76" s="324">
        <v>107655.52</v>
      </c>
      <c r="G76" s="325"/>
      <c r="H76" s="324">
        <v>245910.74</v>
      </c>
      <c r="I76" s="330"/>
    </row>
    <row r="77" spans="1:16 16384:16384">
      <c r="A77" s="208">
        <v>2023</v>
      </c>
      <c r="B77" s="229">
        <v>3905</v>
      </c>
      <c r="C77" s="229">
        <v>7151</v>
      </c>
      <c r="D77" s="229">
        <v>14260</v>
      </c>
      <c r="E77" s="229">
        <v>4447</v>
      </c>
      <c r="F77" s="312">
        <v>109939</v>
      </c>
      <c r="G77" s="314"/>
      <c r="H77" s="312">
        <v>252983</v>
      </c>
      <c r="I77" s="313"/>
    </row>
    <row r="78" spans="1:16 16384:16384">
      <c r="A78" s="208">
        <v>2024</v>
      </c>
      <c r="B78" s="229">
        <v>4050.84</v>
      </c>
      <c r="C78" s="229">
        <v>6649.5</v>
      </c>
      <c r="D78" s="229">
        <v>14398.77</v>
      </c>
      <c r="E78" s="229">
        <v>4303.83</v>
      </c>
      <c r="F78" s="332">
        <v>114417.78</v>
      </c>
      <c r="G78" s="333"/>
      <c r="H78" s="332">
        <v>261436.5</v>
      </c>
      <c r="I78" s="334"/>
      <c r="XFD78" s="229"/>
    </row>
    <row r="79" spans="1:16 16384:16384">
      <c r="A79" s="208" t="s">
        <v>263</v>
      </c>
      <c r="B79" s="229">
        <v>3969.5</v>
      </c>
      <c r="C79" s="229">
        <v>7677.47</v>
      </c>
      <c r="D79" s="229">
        <v>15224.2</v>
      </c>
      <c r="E79" s="229">
        <v>4955.9799999999996</v>
      </c>
      <c r="F79" s="332">
        <v>122932.23</v>
      </c>
      <c r="G79" s="333"/>
      <c r="H79" s="332">
        <v>274874.98</v>
      </c>
      <c r="I79" s="334"/>
      <c r="XFD79" s="267"/>
    </row>
    <row r="80" spans="1:16 16384:16384">
      <c r="A80" s="60"/>
      <c r="B80" s="10"/>
      <c r="C80" s="10"/>
      <c r="D80" s="10"/>
      <c r="E80" s="10"/>
      <c r="F80" s="315"/>
      <c r="G80" s="316"/>
      <c r="H80" s="315"/>
      <c r="I80" s="317"/>
    </row>
    <row r="81" spans="1:9">
      <c r="A81" s="60">
        <v>2019.3</v>
      </c>
      <c r="B81" s="61">
        <v>2769.91</v>
      </c>
      <c r="C81" s="61">
        <v>5101.54</v>
      </c>
      <c r="D81" s="61">
        <v>12054.1</v>
      </c>
      <c r="E81" s="61">
        <v>3796.71</v>
      </c>
      <c r="F81" s="315">
        <v>94232</v>
      </c>
      <c r="G81" s="316"/>
      <c r="H81" s="315">
        <v>195607.67</v>
      </c>
      <c r="I81" s="317"/>
    </row>
    <row r="82" spans="1:9">
      <c r="A82" s="60">
        <v>6</v>
      </c>
      <c r="B82" s="61">
        <v>2951.95</v>
      </c>
      <c r="C82" s="61">
        <v>5088.8900000000003</v>
      </c>
      <c r="D82" s="61">
        <v>12000.49</v>
      </c>
      <c r="E82" s="61">
        <v>3824.48</v>
      </c>
      <c r="F82" s="315">
        <v>96031</v>
      </c>
      <c r="G82" s="316"/>
      <c r="H82" s="315">
        <v>200134</v>
      </c>
      <c r="I82" s="317"/>
    </row>
    <row r="83" spans="1:9">
      <c r="A83" s="60">
        <v>9</v>
      </c>
      <c r="B83" s="61">
        <v>2926.45</v>
      </c>
      <c r="C83" s="61">
        <v>5039.84</v>
      </c>
      <c r="D83" s="61">
        <v>12473.47</v>
      </c>
      <c r="E83" s="61">
        <v>3928.82</v>
      </c>
      <c r="F83" s="315">
        <v>98402</v>
      </c>
      <c r="G83" s="316"/>
      <c r="H83" s="315">
        <v>205385</v>
      </c>
      <c r="I83" s="317"/>
    </row>
    <row r="84" spans="1:9">
      <c r="A84" s="60">
        <v>12</v>
      </c>
      <c r="B84" s="61">
        <v>2901.77</v>
      </c>
      <c r="C84" s="61">
        <v>6034.06</v>
      </c>
      <c r="D84" s="61">
        <v>12786.67</v>
      </c>
      <c r="E84" s="61">
        <v>3721.64</v>
      </c>
      <c r="F84" s="315">
        <v>100638.39999999999</v>
      </c>
      <c r="G84" s="316"/>
      <c r="H84" s="315">
        <v>209913.63</v>
      </c>
      <c r="I84" s="317"/>
    </row>
    <row r="85" spans="1:9">
      <c r="A85" s="60"/>
      <c r="B85" s="61"/>
      <c r="C85" s="61"/>
      <c r="D85" s="61"/>
      <c r="E85" s="61"/>
      <c r="F85" s="315"/>
      <c r="G85" s="316"/>
      <c r="H85" s="315"/>
      <c r="I85" s="317"/>
    </row>
    <row r="86" spans="1:9">
      <c r="A86" s="60">
        <v>2020.3</v>
      </c>
      <c r="B86" s="61">
        <v>2611.92</v>
      </c>
      <c r="C86" s="61">
        <v>5979.8</v>
      </c>
      <c r="D86" s="61">
        <v>12586.92</v>
      </c>
      <c r="E86" s="61">
        <v>3908.55</v>
      </c>
      <c r="F86" s="315">
        <v>101981</v>
      </c>
      <c r="G86" s="316"/>
      <c r="H86" s="315">
        <v>213029</v>
      </c>
      <c r="I86" s="317"/>
    </row>
    <row r="87" spans="1:9">
      <c r="A87" s="60">
        <v>6</v>
      </c>
      <c r="B87" s="61">
        <v>2804.31</v>
      </c>
      <c r="C87" s="61">
        <v>5161.18</v>
      </c>
      <c r="D87" s="61">
        <v>12769.88</v>
      </c>
      <c r="E87" s="61">
        <v>4210.55</v>
      </c>
      <c r="F87" s="315">
        <v>103014.2</v>
      </c>
      <c r="G87" s="316"/>
      <c r="H87" s="315">
        <v>219933.48</v>
      </c>
      <c r="I87" s="317"/>
    </row>
    <row r="88" spans="1:9">
      <c r="A88" s="60">
        <v>9</v>
      </c>
      <c r="B88" s="61">
        <v>2981.22</v>
      </c>
      <c r="C88" s="61">
        <v>5081.9399999999996</v>
      </c>
      <c r="D88" s="61">
        <v>12665.63</v>
      </c>
      <c r="E88" s="61">
        <v>4133.59</v>
      </c>
      <c r="F88" s="315">
        <v>103876.43</v>
      </c>
      <c r="G88" s="316"/>
      <c r="H88" s="315">
        <v>223333.39</v>
      </c>
      <c r="I88" s="317"/>
    </row>
    <row r="89" spans="1:9">
      <c r="A89" s="60">
        <v>12</v>
      </c>
      <c r="B89" s="61">
        <v>3243.56</v>
      </c>
      <c r="C89" s="61">
        <v>6396.22</v>
      </c>
      <c r="D89" s="61">
        <v>12706.36</v>
      </c>
      <c r="E89" s="61">
        <v>4254.8999999999996</v>
      </c>
      <c r="F89" s="315">
        <v>105954.59</v>
      </c>
      <c r="G89" s="316"/>
      <c r="H89" s="315">
        <v>228314.4</v>
      </c>
      <c r="I89" s="317"/>
    </row>
    <row r="90" spans="1:9">
      <c r="A90" s="60"/>
      <c r="B90" s="61"/>
      <c r="C90" s="61"/>
      <c r="D90" s="61"/>
      <c r="E90" s="61"/>
      <c r="F90" s="315"/>
      <c r="G90" s="316"/>
      <c r="H90" s="315"/>
      <c r="I90" s="317"/>
    </row>
    <row r="91" spans="1:9">
      <c r="A91" s="60">
        <v>2021.3</v>
      </c>
      <c r="B91" s="61">
        <v>3207.86</v>
      </c>
      <c r="C91" s="61">
        <v>6797.84</v>
      </c>
      <c r="D91" s="61">
        <v>12857.88</v>
      </c>
      <c r="E91" s="61">
        <v>4323.58</v>
      </c>
      <c r="F91" s="315">
        <v>107191.06</v>
      </c>
      <c r="G91" s="316"/>
      <c r="H91" s="315">
        <v>232431.45</v>
      </c>
      <c r="I91" s="317"/>
    </row>
    <row r="92" spans="1:9">
      <c r="A92" s="60">
        <v>6</v>
      </c>
      <c r="B92" s="61">
        <v>3638.31</v>
      </c>
      <c r="C92" s="61">
        <v>6435.97</v>
      </c>
      <c r="D92" s="61">
        <v>13142.04</v>
      </c>
      <c r="E92" s="61">
        <v>4259.4399999999996</v>
      </c>
      <c r="F92" s="315">
        <v>107157.89</v>
      </c>
      <c r="G92" s="316"/>
      <c r="H92" s="315">
        <v>233353.11</v>
      </c>
      <c r="I92" s="317"/>
    </row>
    <row r="93" spans="1:9">
      <c r="A93" s="60">
        <v>9</v>
      </c>
      <c r="B93" s="61">
        <v>3587.52</v>
      </c>
      <c r="C93" s="61">
        <v>6223.46</v>
      </c>
      <c r="D93" s="61">
        <v>13517.07</v>
      </c>
      <c r="E93" s="61">
        <v>4335.38</v>
      </c>
      <c r="F93" s="315">
        <v>107330.33</v>
      </c>
      <c r="G93" s="316"/>
      <c r="H93" s="315">
        <v>235933.49</v>
      </c>
      <c r="I93" s="317"/>
    </row>
    <row r="94" spans="1:9">
      <c r="A94" s="60">
        <v>12</v>
      </c>
      <c r="B94" s="61">
        <v>3620.32</v>
      </c>
      <c r="C94" s="61">
        <v>7231.96</v>
      </c>
      <c r="D94" s="61">
        <v>13582.54</v>
      </c>
      <c r="E94" s="61">
        <v>4722.67</v>
      </c>
      <c r="F94" s="315">
        <v>108333.83</v>
      </c>
      <c r="G94" s="316"/>
      <c r="H94" s="315">
        <v>238862.88</v>
      </c>
      <c r="I94" s="317"/>
    </row>
    <row r="95" spans="1:9">
      <c r="A95" s="60"/>
      <c r="B95" s="61"/>
      <c r="C95" s="61"/>
      <c r="D95" s="61"/>
      <c r="E95" s="61"/>
      <c r="F95" s="315"/>
      <c r="G95" s="316"/>
      <c r="H95" s="315"/>
      <c r="I95" s="317"/>
    </row>
    <row r="96" spans="1:9">
      <c r="A96" s="60">
        <v>2022.3</v>
      </c>
      <c r="B96" s="61">
        <v>3766.3</v>
      </c>
      <c r="C96" s="61">
        <v>6747.77</v>
      </c>
      <c r="D96" s="61">
        <v>13466.66</v>
      </c>
      <c r="E96" s="61">
        <v>4670.8999999999996</v>
      </c>
      <c r="F96" s="315">
        <v>107876.56</v>
      </c>
      <c r="G96" s="316"/>
      <c r="H96" s="315">
        <v>239880.57</v>
      </c>
      <c r="I96" s="317"/>
    </row>
    <row r="97" spans="1:15">
      <c r="A97" s="60">
        <v>6</v>
      </c>
      <c r="B97" s="61">
        <v>3829.04</v>
      </c>
      <c r="C97" s="61">
        <v>6243.61</v>
      </c>
      <c r="D97" s="61">
        <v>13696.99</v>
      </c>
      <c r="E97" s="61">
        <v>4679.32</v>
      </c>
      <c r="F97" s="312">
        <v>107458.95</v>
      </c>
      <c r="G97" s="314"/>
      <c r="H97" s="312">
        <v>241834.47</v>
      </c>
      <c r="I97" s="313"/>
    </row>
    <row r="98" spans="1:15">
      <c r="A98" s="194" t="s">
        <v>208</v>
      </c>
      <c r="B98" s="229">
        <v>3915.41</v>
      </c>
      <c r="C98" s="229">
        <v>6171.83</v>
      </c>
      <c r="D98" s="229">
        <v>13645.14</v>
      </c>
      <c r="E98" s="229">
        <v>4602.99</v>
      </c>
      <c r="F98" s="312">
        <v>106769.64</v>
      </c>
      <c r="G98" s="314"/>
      <c r="H98" s="312">
        <v>244300.53</v>
      </c>
      <c r="I98" s="313"/>
    </row>
    <row r="99" spans="1:15">
      <c r="A99" s="194" t="s">
        <v>216</v>
      </c>
      <c r="B99" s="229">
        <v>3621.68</v>
      </c>
      <c r="C99" s="229">
        <v>7730.16</v>
      </c>
      <c r="D99" s="229">
        <v>13533.29</v>
      </c>
      <c r="E99" s="229">
        <v>4536.58</v>
      </c>
      <c r="F99" s="315">
        <v>107655.52</v>
      </c>
      <c r="G99" s="316"/>
      <c r="H99" s="312">
        <v>245910.74</v>
      </c>
      <c r="I99" s="313"/>
    </row>
    <row r="100" spans="1:15">
      <c r="A100" s="194"/>
      <c r="B100" s="229"/>
      <c r="C100" s="229"/>
      <c r="D100" s="229"/>
      <c r="E100" s="229"/>
      <c r="F100" s="315"/>
      <c r="G100" s="316"/>
      <c r="H100" s="312"/>
      <c r="I100" s="313"/>
    </row>
    <row r="101" spans="1:15">
      <c r="A101" s="194" t="s">
        <v>219</v>
      </c>
      <c r="B101" s="229">
        <v>3774.02</v>
      </c>
      <c r="C101" s="229">
        <v>7302.29</v>
      </c>
      <c r="D101" s="229">
        <v>13193.82</v>
      </c>
      <c r="E101" s="229">
        <v>4443.24</v>
      </c>
      <c r="F101" s="315">
        <v>105208.65</v>
      </c>
      <c r="G101" s="317"/>
      <c r="H101" s="312">
        <v>244335.23</v>
      </c>
      <c r="I101" s="313"/>
    </row>
    <row r="102" spans="1:15">
      <c r="A102" s="194" t="s">
        <v>223</v>
      </c>
      <c r="B102" s="229">
        <v>3894.02</v>
      </c>
      <c r="C102" s="229">
        <v>6212.81</v>
      </c>
      <c r="D102" s="229">
        <v>13571.61</v>
      </c>
      <c r="E102" s="229">
        <v>4408.84</v>
      </c>
      <c r="F102" s="312">
        <v>106494.02</v>
      </c>
      <c r="G102" s="314"/>
      <c r="H102" s="312">
        <v>246601.64</v>
      </c>
      <c r="I102" s="313"/>
    </row>
    <row r="103" spans="1:15">
      <c r="A103" s="194" t="s">
        <v>208</v>
      </c>
      <c r="B103" s="229">
        <v>3951</v>
      </c>
      <c r="C103" s="229">
        <v>5790</v>
      </c>
      <c r="D103" s="229">
        <v>14121</v>
      </c>
      <c r="E103" s="229">
        <v>4462</v>
      </c>
      <c r="F103" s="312">
        <v>108919.88</v>
      </c>
      <c r="G103" s="314"/>
      <c r="H103" s="312">
        <v>251096.77</v>
      </c>
      <c r="I103" s="313"/>
    </row>
    <row r="104" spans="1:15">
      <c r="A104" s="194" t="s">
        <v>231</v>
      </c>
      <c r="B104" s="229">
        <v>3905</v>
      </c>
      <c r="C104" s="229">
        <v>7151</v>
      </c>
      <c r="D104" s="229">
        <v>14260</v>
      </c>
      <c r="E104" s="229">
        <v>4447</v>
      </c>
      <c r="F104" s="312">
        <v>109939</v>
      </c>
      <c r="G104" s="314"/>
      <c r="H104" s="312">
        <v>252983</v>
      </c>
      <c r="I104" s="313"/>
    </row>
    <row r="105" spans="1:15">
      <c r="A105" s="194"/>
      <c r="B105" s="229"/>
      <c r="C105" s="229"/>
      <c r="D105" s="229"/>
      <c r="E105" s="229"/>
      <c r="F105" s="312"/>
      <c r="G105" s="314"/>
      <c r="H105" s="312"/>
      <c r="I105" s="313"/>
    </row>
    <row r="106" spans="1:15">
      <c r="A106" s="194" t="s">
        <v>236</v>
      </c>
      <c r="B106" s="229">
        <v>3888.11</v>
      </c>
      <c r="C106" s="229">
        <v>6174.38</v>
      </c>
      <c r="D106" s="229">
        <v>13994.84</v>
      </c>
      <c r="E106" s="229">
        <v>4390.57</v>
      </c>
      <c r="F106" s="312">
        <v>109573.9</v>
      </c>
      <c r="G106" s="314"/>
      <c r="H106" s="312">
        <v>252446.8</v>
      </c>
      <c r="I106" s="313"/>
    </row>
    <row r="107" spans="1:15">
      <c r="A107" s="194" t="s">
        <v>243</v>
      </c>
      <c r="B107" s="229">
        <v>3973.51</v>
      </c>
      <c r="C107" s="229">
        <v>4889.99</v>
      </c>
      <c r="D107" s="229">
        <v>14191.11</v>
      </c>
      <c r="E107" s="229">
        <v>4371.57</v>
      </c>
      <c r="F107" s="312">
        <v>112082.38</v>
      </c>
      <c r="G107" s="314"/>
      <c r="H107" s="312">
        <v>255281.66</v>
      </c>
      <c r="I107" s="313"/>
    </row>
    <row r="108" spans="1:15">
      <c r="A108" s="194">
        <v>9</v>
      </c>
      <c r="B108" s="229">
        <v>4031.6500000000005</v>
      </c>
      <c r="C108" s="229">
        <v>4211.8999999999996</v>
      </c>
      <c r="D108" s="229">
        <v>14197.21</v>
      </c>
      <c r="E108" s="229">
        <v>4445.6200000000008</v>
      </c>
      <c r="F108" s="312">
        <v>114405.13</v>
      </c>
      <c r="G108" s="314"/>
      <c r="H108" s="312">
        <v>259776.95</v>
      </c>
      <c r="I108" s="313"/>
    </row>
    <row r="109" spans="1:15">
      <c r="A109" s="194">
        <v>12</v>
      </c>
      <c r="B109" s="229">
        <v>4050.84</v>
      </c>
      <c r="C109" s="229">
        <v>6649.5</v>
      </c>
      <c r="D109" s="229">
        <v>14398.77</v>
      </c>
      <c r="E109" s="229">
        <v>4303.83</v>
      </c>
      <c r="F109" s="312">
        <v>114417.78</v>
      </c>
      <c r="G109" s="314"/>
      <c r="H109" s="312">
        <v>261436.5</v>
      </c>
      <c r="I109" s="313"/>
    </row>
    <row r="110" spans="1:15">
      <c r="A110" s="194"/>
      <c r="B110" s="229"/>
      <c r="C110" s="229"/>
      <c r="D110" s="229"/>
      <c r="E110" s="229"/>
      <c r="F110" s="312"/>
      <c r="G110" s="314"/>
      <c r="H110" s="312"/>
      <c r="I110" s="313"/>
    </row>
    <row r="111" spans="1:15">
      <c r="A111" s="194" t="s">
        <v>254</v>
      </c>
      <c r="B111" s="229">
        <v>4076.67</v>
      </c>
      <c r="C111" s="229">
        <v>7028.42</v>
      </c>
      <c r="D111" s="229">
        <v>14557.04</v>
      </c>
      <c r="E111" s="229">
        <v>4317.12</v>
      </c>
      <c r="F111" s="312">
        <v>116929.76</v>
      </c>
      <c r="G111" s="314"/>
      <c r="H111" s="312">
        <v>265014.71999999997</v>
      </c>
      <c r="I111" s="313"/>
      <c r="K111" s="258"/>
      <c r="L111" s="258"/>
      <c r="M111" s="258"/>
      <c r="N111" s="258"/>
      <c r="O111" s="258"/>
    </row>
    <row r="112" spans="1:15">
      <c r="A112" s="194" t="s">
        <v>260</v>
      </c>
      <c r="B112" s="229">
        <v>4044.2000000000003</v>
      </c>
      <c r="C112" s="229">
        <v>6790.17</v>
      </c>
      <c r="D112" s="229">
        <v>14652.93</v>
      </c>
      <c r="E112" s="229">
        <v>4317.1499999999996</v>
      </c>
      <c r="F112" s="312">
        <v>119193.95</v>
      </c>
      <c r="G112" s="314"/>
      <c r="H112" s="312">
        <v>268338.61</v>
      </c>
      <c r="I112" s="313"/>
      <c r="K112" s="258"/>
      <c r="L112" s="258"/>
      <c r="M112" s="258"/>
      <c r="N112" s="258"/>
      <c r="O112" s="258"/>
    </row>
    <row r="113" spans="1:15">
      <c r="A113" s="194" t="s">
        <v>208</v>
      </c>
      <c r="B113" s="229">
        <v>4025.29</v>
      </c>
      <c r="C113" s="229">
        <v>6240.88</v>
      </c>
      <c r="D113" s="229">
        <v>14951</v>
      </c>
      <c r="E113" s="229">
        <v>4435.46</v>
      </c>
      <c r="F113" s="312">
        <v>119313.81</v>
      </c>
      <c r="G113" s="314"/>
      <c r="H113" s="312">
        <v>269058.2</v>
      </c>
      <c r="I113" s="313"/>
      <c r="K113" s="258"/>
      <c r="L113" s="258"/>
      <c r="M113" s="258"/>
      <c r="N113" s="258"/>
      <c r="O113" s="258"/>
    </row>
    <row r="114" spans="1:15">
      <c r="A114" s="195" t="s">
        <v>261</v>
      </c>
      <c r="B114" s="210">
        <v>3969.5</v>
      </c>
      <c r="C114" s="210">
        <v>7677.47</v>
      </c>
      <c r="D114" s="210">
        <v>15224.2</v>
      </c>
      <c r="E114" s="210">
        <v>4955.9799999999996</v>
      </c>
      <c r="F114" s="326">
        <v>122932.23</v>
      </c>
      <c r="G114" s="327"/>
      <c r="H114" s="326">
        <v>274874.98</v>
      </c>
      <c r="I114" s="331"/>
      <c r="K114" s="258"/>
      <c r="L114" s="258"/>
      <c r="M114" s="258"/>
      <c r="N114" s="258"/>
      <c r="O114" s="258"/>
    </row>
    <row r="115" spans="1:15">
      <c r="A115" s="40" t="s">
        <v>245</v>
      </c>
      <c r="B115" s="2"/>
      <c r="C115" s="2"/>
      <c r="D115" s="2"/>
      <c r="E115" s="2"/>
      <c r="F115" s="2"/>
      <c r="G115" s="2"/>
      <c r="H115" s="1"/>
    </row>
    <row r="116" spans="1:15">
      <c r="A116" s="40" t="s">
        <v>78</v>
      </c>
      <c r="B116" s="1"/>
      <c r="C116" s="1"/>
      <c r="D116" s="1"/>
      <c r="E116" s="1"/>
      <c r="F116" s="1"/>
      <c r="G116" s="1"/>
      <c r="H116" s="1"/>
    </row>
  </sheetData>
  <mergeCells count="160">
    <mergeCell ref="F114:G114"/>
    <mergeCell ref="H114:I114"/>
    <mergeCell ref="G25:H25"/>
    <mergeCell ref="F79:G79"/>
    <mergeCell ref="H79:I79"/>
    <mergeCell ref="F111:G111"/>
    <mergeCell ref="H111:I111"/>
    <mergeCell ref="G55:H55"/>
    <mergeCell ref="G56:H56"/>
    <mergeCell ref="F109:G109"/>
    <mergeCell ref="H109:I109"/>
    <mergeCell ref="H110:I110"/>
    <mergeCell ref="F110:G110"/>
    <mergeCell ref="G50:H50"/>
    <mergeCell ref="F78:G78"/>
    <mergeCell ref="H96:I96"/>
    <mergeCell ref="F92:G92"/>
    <mergeCell ref="F93:G93"/>
    <mergeCell ref="F94:G94"/>
    <mergeCell ref="F95:G95"/>
    <mergeCell ref="F96:G96"/>
    <mergeCell ref="H100:I100"/>
    <mergeCell ref="H78:I78"/>
    <mergeCell ref="H103:I103"/>
    <mergeCell ref="G57:H57"/>
    <mergeCell ref="G58:H58"/>
    <mergeCell ref="F108:G108"/>
    <mergeCell ref="H108:I108"/>
    <mergeCell ref="F101:G101"/>
    <mergeCell ref="F100:G100"/>
    <mergeCell ref="F91:G91"/>
    <mergeCell ref="F97:G97"/>
    <mergeCell ref="F98:G98"/>
    <mergeCell ref="F99:G99"/>
    <mergeCell ref="F76:G76"/>
    <mergeCell ref="F71:G71"/>
    <mergeCell ref="H65:I65"/>
    <mergeCell ref="H66:I66"/>
    <mergeCell ref="H67:I67"/>
    <mergeCell ref="H68:I68"/>
    <mergeCell ref="G33:H33"/>
    <mergeCell ref="F69:G69"/>
    <mergeCell ref="F70:G70"/>
    <mergeCell ref="H75:I75"/>
    <mergeCell ref="H80:I80"/>
    <mergeCell ref="H81:I81"/>
    <mergeCell ref="H82:I82"/>
    <mergeCell ref="H99:I99"/>
    <mergeCell ref="H76:I76"/>
    <mergeCell ref="F83:G83"/>
    <mergeCell ref="F84:G84"/>
    <mergeCell ref="H85:I85"/>
    <mergeCell ref="H84:I84"/>
    <mergeCell ref="F85:G85"/>
    <mergeCell ref="F82:G82"/>
    <mergeCell ref="H69:I69"/>
    <mergeCell ref="H70:I70"/>
    <mergeCell ref="F64:G64"/>
    <mergeCell ref="F65:G65"/>
    <mergeCell ref="F66:G66"/>
    <mergeCell ref="F67:G67"/>
    <mergeCell ref="F68:G68"/>
    <mergeCell ref="F73:G73"/>
    <mergeCell ref="G54:H54"/>
    <mergeCell ref="G14:H14"/>
    <mergeCell ref="G43:H43"/>
    <mergeCell ref="G44:H44"/>
    <mergeCell ref="G22:H22"/>
    <mergeCell ref="G60:H60"/>
    <mergeCell ref="H95:I95"/>
    <mergeCell ref="G40:H40"/>
    <mergeCell ref="G42:H42"/>
    <mergeCell ref="G27:H27"/>
    <mergeCell ref="G28:H28"/>
    <mergeCell ref="G32:H32"/>
    <mergeCell ref="G34:H34"/>
    <mergeCell ref="G35:H35"/>
    <mergeCell ref="G36:H36"/>
    <mergeCell ref="G37:H37"/>
    <mergeCell ref="G38:H38"/>
    <mergeCell ref="G46:H46"/>
    <mergeCell ref="G39:H39"/>
    <mergeCell ref="F81:G81"/>
    <mergeCell ref="H74:I74"/>
    <mergeCell ref="F74:G74"/>
    <mergeCell ref="H64:I64"/>
    <mergeCell ref="H73:I73"/>
    <mergeCell ref="G24:H24"/>
    <mergeCell ref="F113:G113"/>
    <mergeCell ref="F86:G86"/>
    <mergeCell ref="F87:G87"/>
    <mergeCell ref="F88:G88"/>
    <mergeCell ref="F89:G89"/>
    <mergeCell ref="F90:G90"/>
    <mergeCell ref="F104:G104"/>
    <mergeCell ref="H113:I113"/>
    <mergeCell ref="H86:I86"/>
    <mergeCell ref="H87:I87"/>
    <mergeCell ref="H88:I88"/>
    <mergeCell ref="H89:I89"/>
    <mergeCell ref="H90:I90"/>
    <mergeCell ref="H91:I91"/>
    <mergeCell ref="H97:I97"/>
    <mergeCell ref="H98:I98"/>
    <mergeCell ref="H92:I92"/>
    <mergeCell ref="H93:I93"/>
    <mergeCell ref="H94:I94"/>
    <mergeCell ref="H101:I101"/>
    <mergeCell ref="H104:I104"/>
    <mergeCell ref="F105:G105"/>
    <mergeCell ref="F103:G103"/>
    <mergeCell ref="F112:G112"/>
    <mergeCell ref="A8:A9"/>
    <mergeCell ref="B8:I8"/>
    <mergeCell ref="A62:A63"/>
    <mergeCell ref="B62:E62"/>
    <mergeCell ref="F62:G63"/>
    <mergeCell ref="H62:I63"/>
    <mergeCell ref="G9:H9"/>
    <mergeCell ref="G15:H15"/>
    <mergeCell ref="G16:H16"/>
    <mergeCell ref="G17:H17"/>
    <mergeCell ref="G18:H18"/>
    <mergeCell ref="G19:H19"/>
    <mergeCell ref="G20:H20"/>
    <mergeCell ref="G10:H10"/>
    <mergeCell ref="G11:H11"/>
    <mergeCell ref="G29:H29"/>
    <mergeCell ref="G30:H30"/>
    <mergeCell ref="G53:H53"/>
    <mergeCell ref="G47:H47"/>
    <mergeCell ref="G21:H21"/>
    <mergeCell ref="G26:H26"/>
    <mergeCell ref="G41:H41"/>
    <mergeCell ref="G12:H12"/>
    <mergeCell ref="G13:H13"/>
    <mergeCell ref="H112:I112"/>
    <mergeCell ref="G45:H45"/>
    <mergeCell ref="F107:G107"/>
    <mergeCell ref="H107:I107"/>
    <mergeCell ref="G23:H23"/>
    <mergeCell ref="F77:G77"/>
    <mergeCell ref="H77:I77"/>
    <mergeCell ref="F106:G106"/>
    <mergeCell ref="H106:I106"/>
    <mergeCell ref="F102:G102"/>
    <mergeCell ref="H102:I102"/>
    <mergeCell ref="G31:H31"/>
    <mergeCell ref="F75:G75"/>
    <mergeCell ref="G59:H59"/>
    <mergeCell ref="G51:H51"/>
    <mergeCell ref="H71:I71"/>
    <mergeCell ref="H72:I72"/>
    <mergeCell ref="F72:G72"/>
    <mergeCell ref="G52:H52"/>
    <mergeCell ref="H83:I83"/>
    <mergeCell ref="G48:H48"/>
    <mergeCell ref="G49:H49"/>
    <mergeCell ref="F80:G80"/>
    <mergeCell ref="H105:I105"/>
  </mergeCells>
  <phoneticPr fontId="9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44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  <pageSetUpPr fitToPage="1"/>
  </sheetPr>
  <dimension ref="A1:T141"/>
  <sheetViews>
    <sheetView zoomScale="85" zoomScaleNormal="85" workbookViewId="0">
      <pane xSplit="1" ySplit="7" topLeftCell="B132" activePane="bottomRight" state="frozen"/>
      <selection activeCell="E91" sqref="E91"/>
      <selection pane="topRight" activeCell="E91" sqref="E91"/>
      <selection pane="bottomLeft" activeCell="E91" sqref="E91"/>
      <selection pane="bottomRight" activeCell="A139" sqref="A139:J139"/>
    </sheetView>
  </sheetViews>
  <sheetFormatPr defaultColWidth="8.88671875" defaultRowHeight="13.5"/>
  <cols>
    <col min="1" max="1" width="10.77734375" style="12" customWidth="1"/>
    <col min="2" max="10" width="9.77734375" style="12" customWidth="1"/>
    <col min="11" max="16384" width="8.88671875" style="12"/>
  </cols>
  <sheetData>
    <row r="1" spans="1:11" s="1" customFormat="1" ht="12">
      <c r="A1" s="305"/>
      <c r="B1" s="305"/>
      <c r="C1" s="305"/>
      <c r="D1" s="305"/>
      <c r="E1" s="305"/>
      <c r="F1" s="305"/>
      <c r="G1" s="305"/>
      <c r="H1" s="48"/>
      <c r="J1" s="112"/>
    </row>
    <row r="2" spans="1:11" s="1" customFormat="1" ht="12">
      <c r="A2" s="54"/>
      <c r="B2" s="54"/>
      <c r="C2" s="54"/>
      <c r="D2" s="54"/>
      <c r="E2" s="54"/>
      <c r="F2" s="54"/>
      <c r="G2" s="54"/>
      <c r="H2" s="48"/>
      <c r="J2" s="112"/>
    </row>
    <row r="3" spans="1:11" s="1" customFormat="1" ht="12">
      <c r="A3" s="52" t="s">
        <v>112</v>
      </c>
      <c r="B3" s="54"/>
      <c r="C3" s="54"/>
      <c r="D3" s="54"/>
      <c r="E3" s="54"/>
      <c r="F3" s="54"/>
      <c r="G3" s="54"/>
      <c r="H3" s="48"/>
      <c r="J3" s="112"/>
    </row>
    <row r="4" spans="1:11" s="1" customFormat="1" ht="12">
      <c r="A4" s="1" t="s">
        <v>98</v>
      </c>
      <c r="B4" s="55"/>
      <c r="C4" s="55"/>
      <c r="D4" s="55"/>
      <c r="E4" s="55"/>
      <c r="F4" s="55"/>
      <c r="G4" s="55"/>
      <c r="H4" s="4"/>
      <c r="I4" s="4"/>
      <c r="J4" s="4" t="s">
        <v>100</v>
      </c>
    </row>
    <row r="5" spans="1:11" ht="20.25" customHeight="1">
      <c r="A5" s="276" t="s">
        <v>1</v>
      </c>
      <c r="B5" s="279" t="s">
        <v>2</v>
      </c>
      <c r="C5" s="271" t="s">
        <v>11</v>
      </c>
      <c r="D5" s="272"/>
      <c r="E5" s="272"/>
      <c r="F5" s="272"/>
      <c r="G5" s="272"/>
      <c r="H5" s="272"/>
      <c r="I5" s="272"/>
      <c r="J5" s="272"/>
    </row>
    <row r="6" spans="1:11" ht="11.25" customHeight="1">
      <c r="A6" s="282"/>
      <c r="B6" s="283"/>
      <c r="C6" s="284" t="s">
        <v>3</v>
      </c>
      <c r="D6" s="19"/>
      <c r="E6" s="19"/>
      <c r="F6" s="22"/>
      <c r="G6" s="284" t="s">
        <v>4</v>
      </c>
      <c r="H6" s="19"/>
      <c r="I6" s="19"/>
      <c r="J6" s="65"/>
    </row>
    <row r="7" spans="1:11" ht="23.25" customHeight="1">
      <c r="A7" s="277"/>
      <c r="B7" s="280"/>
      <c r="C7" s="285"/>
      <c r="D7" s="7" t="s">
        <v>5</v>
      </c>
      <c r="E7" s="7" t="s">
        <v>6</v>
      </c>
      <c r="F7" s="7" t="s">
        <v>7</v>
      </c>
      <c r="G7" s="285"/>
      <c r="H7" s="7" t="s">
        <v>8</v>
      </c>
      <c r="I7" s="7" t="s">
        <v>9</v>
      </c>
      <c r="J7" s="46" t="s">
        <v>10</v>
      </c>
    </row>
    <row r="8" spans="1:11" s="27" customFormat="1" ht="13.5" customHeight="1">
      <c r="A8" s="67">
        <v>2012</v>
      </c>
      <c r="B8" s="33">
        <v>121442.65</v>
      </c>
      <c r="C8" s="33">
        <v>76103.81</v>
      </c>
      <c r="D8" s="33">
        <v>28126.07</v>
      </c>
      <c r="E8" s="33">
        <v>33979.730000000003</v>
      </c>
      <c r="F8" s="33">
        <v>4508.1400000000003</v>
      </c>
      <c r="G8" s="33">
        <v>45338.84</v>
      </c>
      <c r="H8" s="33">
        <v>17232.060000000001</v>
      </c>
      <c r="I8" s="33">
        <v>6248.15</v>
      </c>
      <c r="J8" s="74">
        <v>6475.42</v>
      </c>
      <c r="K8" s="31"/>
    </row>
    <row r="9" spans="1:11" s="27" customFormat="1" ht="13.5" customHeight="1">
      <c r="A9" s="67">
        <v>2013</v>
      </c>
      <c r="B9" s="33">
        <v>132598.88</v>
      </c>
      <c r="C9" s="33">
        <v>84960.13</v>
      </c>
      <c r="D9" s="33">
        <v>32458.75</v>
      </c>
      <c r="E9" s="33">
        <v>37580.74</v>
      </c>
      <c r="F9" s="33">
        <v>4843.6400000000003</v>
      </c>
      <c r="G9" s="33">
        <v>47638.75</v>
      </c>
      <c r="H9" s="33">
        <v>17742.05</v>
      </c>
      <c r="I9" s="33">
        <v>6367.55</v>
      </c>
      <c r="J9" s="74">
        <v>6784.89</v>
      </c>
      <c r="K9" s="31"/>
    </row>
    <row r="10" spans="1:11" s="27" customFormat="1" ht="13.5" customHeight="1">
      <c r="A10" s="67">
        <v>2014</v>
      </c>
      <c r="B10" s="33">
        <v>141847.47</v>
      </c>
      <c r="C10" s="33">
        <v>90334.03</v>
      </c>
      <c r="D10" s="33">
        <v>34495.94</v>
      </c>
      <c r="E10" s="33">
        <v>40283.379999999997</v>
      </c>
      <c r="F10" s="33">
        <v>5341.96</v>
      </c>
      <c r="G10" s="33">
        <v>51513.440000000002</v>
      </c>
      <c r="H10" s="33">
        <v>20017.79</v>
      </c>
      <c r="I10" s="33">
        <v>6577.77</v>
      </c>
      <c r="J10" s="74">
        <v>7349.99</v>
      </c>
      <c r="K10" s="31"/>
    </row>
    <row r="11" spans="1:11" s="27" customFormat="1" ht="13.5" customHeight="1">
      <c r="A11" s="67">
        <v>2015</v>
      </c>
      <c r="B11" s="33">
        <v>154648.98000000001</v>
      </c>
      <c r="C11" s="33">
        <v>99545.54</v>
      </c>
      <c r="D11" s="33">
        <v>37409.160000000003</v>
      </c>
      <c r="E11" s="33">
        <v>45898.94</v>
      </c>
      <c r="F11" s="33">
        <v>5475.3</v>
      </c>
      <c r="G11" s="33">
        <v>55103.44</v>
      </c>
      <c r="H11" s="33">
        <v>21290.82</v>
      </c>
      <c r="I11" s="33">
        <v>6940.18</v>
      </c>
      <c r="J11" s="74">
        <v>8105.02</v>
      </c>
      <c r="K11" s="31"/>
    </row>
    <row r="12" spans="1:11" s="27" customFormat="1" ht="13.5" customHeight="1">
      <c r="A12" s="94"/>
      <c r="B12" s="33"/>
      <c r="C12" s="33"/>
      <c r="D12" s="33"/>
      <c r="E12" s="33"/>
      <c r="F12" s="33"/>
      <c r="G12" s="33"/>
      <c r="H12" s="33"/>
      <c r="I12" s="33"/>
      <c r="J12" s="74"/>
      <c r="K12" s="31"/>
    </row>
    <row r="13" spans="1:11" s="27" customFormat="1" ht="13.5" customHeight="1">
      <c r="A13" s="91">
        <v>2016</v>
      </c>
      <c r="B13" s="33">
        <v>164154.28</v>
      </c>
      <c r="C13" s="33">
        <v>106155.65</v>
      </c>
      <c r="D13" s="33">
        <v>37089.96</v>
      </c>
      <c r="E13" s="33">
        <v>51893.54</v>
      </c>
      <c r="F13" s="33">
        <v>5703.71</v>
      </c>
      <c r="G13" s="33">
        <v>57998.63</v>
      </c>
      <c r="H13" s="33">
        <v>22956.53</v>
      </c>
      <c r="I13" s="33">
        <v>8039.82</v>
      </c>
      <c r="J13" s="74">
        <v>8661.8799999999992</v>
      </c>
      <c r="K13" s="31"/>
    </row>
    <row r="14" spans="1:11" s="27" customFormat="1" ht="13.5" customHeight="1">
      <c r="A14" s="94">
        <v>2017</v>
      </c>
      <c r="B14" s="33">
        <v>175875.98</v>
      </c>
      <c r="C14" s="33">
        <v>112143.64</v>
      </c>
      <c r="D14" s="33">
        <v>38063.620000000003</v>
      </c>
      <c r="E14" s="33">
        <v>55908.56</v>
      </c>
      <c r="F14" s="33">
        <v>6122.28</v>
      </c>
      <c r="G14" s="33">
        <v>63732.34</v>
      </c>
      <c r="H14" s="33">
        <v>25171.94</v>
      </c>
      <c r="I14" s="33">
        <v>9062.51</v>
      </c>
      <c r="J14" s="74">
        <v>10541.07</v>
      </c>
      <c r="K14" s="31"/>
    </row>
    <row r="15" spans="1:11" s="27" customFormat="1" ht="13.5" customHeight="1">
      <c r="A15" s="114">
        <v>2018</v>
      </c>
      <c r="B15" s="33">
        <v>192005.38</v>
      </c>
      <c r="C15" s="33">
        <v>122577.76</v>
      </c>
      <c r="D15" s="33">
        <v>39230.49</v>
      </c>
      <c r="E15" s="33">
        <v>63981.37</v>
      </c>
      <c r="F15" s="33">
        <v>6451.58</v>
      </c>
      <c r="G15" s="33">
        <v>69427.62</v>
      </c>
      <c r="H15" s="33">
        <v>27692.799999999999</v>
      </c>
      <c r="I15" s="33">
        <v>9227.18</v>
      </c>
      <c r="J15" s="74">
        <v>12477.91</v>
      </c>
      <c r="K15" s="31"/>
    </row>
    <row r="16" spans="1:11" s="27" customFormat="1" ht="13.5" customHeight="1">
      <c r="A16" s="121">
        <v>2019</v>
      </c>
      <c r="B16" s="33">
        <v>209913.63</v>
      </c>
      <c r="C16" s="33">
        <v>135297.07</v>
      </c>
      <c r="D16" s="33">
        <v>45094.79</v>
      </c>
      <c r="E16" s="33">
        <v>69306.320000000007</v>
      </c>
      <c r="F16" s="33">
        <v>6758.08</v>
      </c>
      <c r="G16" s="33">
        <v>74616.56</v>
      </c>
      <c r="H16" s="33">
        <v>29366.83</v>
      </c>
      <c r="I16" s="33">
        <v>9652.42</v>
      </c>
      <c r="J16" s="74">
        <v>14241.87</v>
      </c>
      <c r="K16" s="31"/>
    </row>
    <row r="17" spans="1:20" s="27" customFormat="1" ht="13.5" customHeight="1">
      <c r="A17" s="149">
        <v>2020</v>
      </c>
      <c r="B17" s="33">
        <v>228314.4</v>
      </c>
      <c r="C17" s="33">
        <v>147163.60999999999</v>
      </c>
      <c r="D17" s="33">
        <v>48215.11</v>
      </c>
      <c r="E17" s="33">
        <v>76352.36</v>
      </c>
      <c r="F17" s="33">
        <v>7116.46</v>
      </c>
      <c r="G17" s="33">
        <v>81150.789999999994</v>
      </c>
      <c r="H17" s="33">
        <v>32445.77</v>
      </c>
      <c r="I17" s="33">
        <v>10745.71</v>
      </c>
      <c r="J17" s="74">
        <v>14923.88</v>
      </c>
      <c r="K17" s="31"/>
    </row>
    <row r="18" spans="1:20" ht="13.5" customHeight="1">
      <c r="A18" s="60"/>
      <c r="B18" s="33"/>
      <c r="C18" s="33"/>
      <c r="D18" s="33"/>
      <c r="E18" s="33"/>
      <c r="F18" s="33"/>
      <c r="G18" s="33"/>
      <c r="H18" s="33"/>
      <c r="I18" s="33"/>
      <c r="J18" s="74"/>
      <c r="K18" s="13"/>
    </row>
    <row r="19" spans="1:20" ht="13.5" customHeight="1">
      <c r="A19" s="197">
        <v>2021</v>
      </c>
      <c r="B19" s="203">
        <v>238862.84</v>
      </c>
      <c r="C19" s="203">
        <v>153985.71</v>
      </c>
      <c r="D19" s="203">
        <v>51031.12</v>
      </c>
      <c r="E19" s="203">
        <v>79117.97</v>
      </c>
      <c r="F19" s="203">
        <v>7631.35</v>
      </c>
      <c r="G19" s="203">
        <v>84877.13</v>
      </c>
      <c r="H19" s="203">
        <v>33960.949999999997</v>
      </c>
      <c r="I19" s="203">
        <v>11628.31</v>
      </c>
      <c r="J19" s="204">
        <v>15776.19</v>
      </c>
      <c r="K19" s="13"/>
    </row>
    <row r="20" spans="1:20" ht="13.5" customHeight="1">
      <c r="A20" s="197">
        <v>2022</v>
      </c>
      <c r="B20" s="203">
        <v>245910.74</v>
      </c>
      <c r="C20" s="203">
        <v>157306.81</v>
      </c>
      <c r="D20" s="203">
        <v>51456.82</v>
      </c>
      <c r="E20" s="203">
        <v>82289.820000000007</v>
      </c>
      <c r="F20" s="203">
        <v>7637.16</v>
      </c>
      <c r="G20" s="203">
        <v>88603.93</v>
      </c>
      <c r="H20" s="203">
        <v>37091.61</v>
      </c>
      <c r="I20" s="203">
        <v>12845.9</v>
      </c>
      <c r="J20" s="204">
        <v>17057.61</v>
      </c>
      <c r="K20" s="13"/>
    </row>
    <row r="21" spans="1:20" ht="13.5" customHeight="1">
      <c r="A21" s="197">
        <v>2023</v>
      </c>
      <c r="B21" s="203">
        <v>252982.92</v>
      </c>
      <c r="C21" s="203">
        <v>161862.51999999999</v>
      </c>
      <c r="D21" s="203">
        <v>52927.45</v>
      </c>
      <c r="E21" s="203">
        <v>85807.37</v>
      </c>
      <c r="F21" s="203">
        <v>7586.99</v>
      </c>
      <c r="G21" s="203">
        <v>91120.4</v>
      </c>
      <c r="H21" s="203">
        <v>40039.68</v>
      </c>
      <c r="I21" s="203">
        <v>12582.73</v>
      </c>
      <c r="J21" s="204">
        <v>16978.45</v>
      </c>
      <c r="K21" s="13"/>
    </row>
    <row r="22" spans="1:20" ht="13.5" customHeight="1">
      <c r="A22" s="197">
        <v>2024</v>
      </c>
      <c r="B22" s="203">
        <f>B119</f>
        <v>261436.54</v>
      </c>
      <c r="C22" s="203">
        <f t="shared" ref="C22:J22" si="0">C119</f>
        <v>170188.79999999999</v>
      </c>
      <c r="D22" s="203">
        <f t="shared" si="0"/>
        <v>57033</v>
      </c>
      <c r="E22" s="203">
        <f t="shared" si="0"/>
        <v>89296.04</v>
      </c>
      <c r="F22" s="203">
        <f t="shared" si="0"/>
        <v>8427.7000000000007</v>
      </c>
      <c r="G22" s="203">
        <f t="shared" si="0"/>
        <v>91247.74</v>
      </c>
      <c r="H22" s="203">
        <f t="shared" si="0"/>
        <v>39534.49</v>
      </c>
      <c r="I22" s="203">
        <f t="shared" si="0"/>
        <v>13633.72</v>
      </c>
      <c r="J22" s="204">
        <f t="shared" si="0"/>
        <v>16992.439999999999</v>
      </c>
      <c r="K22" s="13"/>
      <c r="L22" s="260"/>
      <c r="M22" s="260"/>
      <c r="N22" s="260"/>
      <c r="O22" s="260"/>
      <c r="P22" s="260"/>
      <c r="Q22" s="260"/>
      <c r="R22" s="260"/>
      <c r="S22" s="260"/>
      <c r="T22" s="260"/>
    </row>
    <row r="23" spans="1:20" ht="13.5" customHeight="1">
      <c r="A23" s="197">
        <v>2025</v>
      </c>
      <c r="B23" s="203">
        <v>274874.90999999997</v>
      </c>
      <c r="C23" s="203">
        <v>181878.47</v>
      </c>
      <c r="D23" s="203">
        <v>63101.49</v>
      </c>
      <c r="E23" s="203">
        <v>96252.45</v>
      </c>
      <c r="F23" s="203">
        <v>7233.31</v>
      </c>
      <c r="G23" s="203">
        <v>92996.44</v>
      </c>
      <c r="H23" s="203">
        <v>40397.01</v>
      </c>
      <c r="I23" s="203">
        <v>14447.87</v>
      </c>
      <c r="J23" s="204">
        <v>16965.95</v>
      </c>
      <c r="K23" s="13"/>
      <c r="L23" s="260"/>
      <c r="M23" s="260"/>
      <c r="N23" s="260"/>
      <c r="O23" s="260"/>
      <c r="P23" s="260"/>
      <c r="Q23" s="260"/>
      <c r="R23" s="260"/>
      <c r="S23" s="260"/>
      <c r="T23" s="260"/>
    </row>
    <row r="24" spans="1:20" ht="13.5" customHeight="1">
      <c r="A24" s="60"/>
      <c r="B24" s="33"/>
      <c r="C24" s="33"/>
      <c r="D24" s="33"/>
      <c r="E24" s="33"/>
      <c r="F24" s="33"/>
      <c r="G24" s="33"/>
      <c r="H24" s="33"/>
      <c r="I24" s="33"/>
      <c r="J24" s="74"/>
      <c r="K24" s="13"/>
    </row>
    <row r="25" spans="1:20" ht="13.5" customHeight="1">
      <c r="A25" s="60">
        <v>2019.1</v>
      </c>
      <c r="B25" s="33">
        <v>193238.64</v>
      </c>
      <c r="C25" s="33">
        <v>124030.14</v>
      </c>
      <c r="D25" s="33">
        <v>39258.53</v>
      </c>
      <c r="E25" s="33">
        <v>65461.4</v>
      </c>
      <c r="F25" s="33">
        <v>6373.23</v>
      </c>
      <c r="G25" s="33">
        <v>69208.5</v>
      </c>
      <c r="H25" s="33">
        <v>27656.59</v>
      </c>
      <c r="I25" s="33">
        <v>9330.82</v>
      </c>
      <c r="J25" s="74">
        <v>12463.63</v>
      </c>
      <c r="K25" s="13"/>
    </row>
    <row r="26" spans="1:20" ht="13.5" customHeight="1">
      <c r="A26" s="60">
        <v>2</v>
      </c>
      <c r="B26" s="33">
        <v>194285.15</v>
      </c>
      <c r="C26" s="33">
        <v>125292.78</v>
      </c>
      <c r="D26" s="33">
        <v>39406.07</v>
      </c>
      <c r="E26" s="33">
        <v>66398.48</v>
      </c>
      <c r="F26" s="33">
        <v>6514.22</v>
      </c>
      <c r="G26" s="33">
        <v>68992.37</v>
      </c>
      <c r="H26" s="33">
        <v>27071.439999999999</v>
      </c>
      <c r="I26" s="33">
        <v>9382.65</v>
      </c>
      <c r="J26" s="74">
        <v>12731</v>
      </c>
      <c r="K26" s="13"/>
    </row>
    <row r="27" spans="1:20" ht="13.5" customHeight="1">
      <c r="A27" s="60">
        <v>3</v>
      </c>
      <c r="B27" s="33">
        <v>195607.67</v>
      </c>
      <c r="C27" s="33">
        <v>125999.67999999999</v>
      </c>
      <c r="D27" s="33">
        <v>39684.239999999998</v>
      </c>
      <c r="E27" s="33">
        <v>66908.44</v>
      </c>
      <c r="F27" s="33">
        <v>6519.8</v>
      </c>
      <c r="G27" s="33">
        <v>69607.990000000005</v>
      </c>
      <c r="H27" s="33">
        <v>27334.79</v>
      </c>
      <c r="I27" s="33">
        <v>9463.15</v>
      </c>
      <c r="J27" s="74">
        <v>13005.95</v>
      </c>
      <c r="K27" s="13"/>
    </row>
    <row r="28" spans="1:20" ht="13.5" customHeight="1">
      <c r="A28" s="60"/>
      <c r="B28" s="33"/>
      <c r="C28" s="33"/>
      <c r="D28" s="33"/>
      <c r="E28" s="33"/>
      <c r="F28" s="33"/>
      <c r="G28" s="33"/>
      <c r="H28" s="33"/>
      <c r="I28" s="33"/>
      <c r="J28" s="74"/>
      <c r="K28" s="13"/>
    </row>
    <row r="29" spans="1:20" ht="13.5" customHeight="1">
      <c r="A29" s="60">
        <v>4</v>
      </c>
      <c r="B29" s="33">
        <v>197531.81</v>
      </c>
      <c r="C29" s="33">
        <v>127127.74</v>
      </c>
      <c r="D29" s="33">
        <v>40438.15</v>
      </c>
      <c r="E29" s="33">
        <v>67316.75</v>
      </c>
      <c r="F29" s="33">
        <v>6501.38</v>
      </c>
      <c r="G29" s="33">
        <v>70404.070000000007</v>
      </c>
      <c r="H29" s="33">
        <v>27693.81</v>
      </c>
      <c r="I29" s="33">
        <v>9528.68</v>
      </c>
      <c r="J29" s="74">
        <v>13459.13</v>
      </c>
      <c r="K29" s="13"/>
    </row>
    <row r="30" spans="1:20" ht="13.5" customHeight="1">
      <c r="A30" s="60">
        <v>5</v>
      </c>
      <c r="B30" s="33">
        <v>199519.73</v>
      </c>
      <c r="C30" s="33">
        <v>127961.74</v>
      </c>
      <c r="D30" s="33">
        <v>40615.75</v>
      </c>
      <c r="E30" s="33">
        <v>67593.69</v>
      </c>
      <c r="F30" s="33">
        <v>6641.55</v>
      </c>
      <c r="G30" s="33">
        <v>71557.990000000005</v>
      </c>
      <c r="H30" s="33">
        <v>28035.62</v>
      </c>
      <c r="I30" s="33">
        <v>9551.92</v>
      </c>
      <c r="J30" s="74">
        <v>13792.51</v>
      </c>
      <c r="K30" s="13"/>
    </row>
    <row r="31" spans="1:20" ht="13.5" customHeight="1">
      <c r="A31" s="60">
        <v>6</v>
      </c>
      <c r="B31" s="33">
        <v>200133.56</v>
      </c>
      <c r="C31" s="33">
        <v>127841.45</v>
      </c>
      <c r="D31" s="33">
        <v>40800.11</v>
      </c>
      <c r="E31" s="33">
        <v>67557.87</v>
      </c>
      <c r="F31" s="33">
        <v>6568.18</v>
      </c>
      <c r="G31" s="33">
        <v>72292.11</v>
      </c>
      <c r="H31" s="33">
        <v>28330.54</v>
      </c>
      <c r="I31" s="33">
        <v>9531.23</v>
      </c>
      <c r="J31" s="74">
        <v>13963.15</v>
      </c>
      <c r="K31" s="13"/>
    </row>
    <row r="32" spans="1:20" ht="13.5" customHeight="1">
      <c r="A32" s="60"/>
      <c r="B32" s="33"/>
      <c r="C32" s="33"/>
      <c r="D32" s="33"/>
      <c r="E32" s="33"/>
      <c r="F32" s="33"/>
      <c r="G32" s="33"/>
      <c r="H32" s="33"/>
      <c r="I32" s="33"/>
      <c r="J32" s="74"/>
      <c r="K32" s="13"/>
    </row>
    <row r="33" spans="1:11" ht="13.5" customHeight="1">
      <c r="A33" s="60">
        <v>7</v>
      </c>
      <c r="B33" s="33">
        <v>202348.99</v>
      </c>
      <c r="C33" s="33">
        <v>129278.34</v>
      </c>
      <c r="D33" s="33">
        <v>41752.769999999997</v>
      </c>
      <c r="E33" s="33">
        <v>68013.38</v>
      </c>
      <c r="F33" s="33">
        <v>6545.01</v>
      </c>
      <c r="G33" s="33">
        <v>73070.649999999994</v>
      </c>
      <c r="H33" s="33">
        <v>28722.04</v>
      </c>
      <c r="I33" s="33">
        <v>9585.56</v>
      </c>
      <c r="J33" s="74">
        <v>13995.07</v>
      </c>
      <c r="K33" s="13"/>
    </row>
    <row r="34" spans="1:11" ht="13.5" customHeight="1">
      <c r="A34" s="60">
        <v>8</v>
      </c>
      <c r="B34" s="33">
        <v>204215.51</v>
      </c>
      <c r="C34" s="33">
        <v>130836.6</v>
      </c>
      <c r="D34" s="33">
        <v>42416.639999999999</v>
      </c>
      <c r="E34" s="33">
        <v>68821.39</v>
      </c>
      <c r="F34" s="33">
        <v>6525.8</v>
      </c>
      <c r="G34" s="33">
        <v>73378.91</v>
      </c>
      <c r="H34" s="33">
        <v>28929.72</v>
      </c>
      <c r="I34" s="33">
        <v>9625.15</v>
      </c>
      <c r="J34" s="74">
        <v>14009.73</v>
      </c>
      <c r="K34" s="13"/>
    </row>
    <row r="35" spans="1:11" ht="13.5" customHeight="1">
      <c r="A35" s="60">
        <v>9</v>
      </c>
      <c r="B35" s="33">
        <v>205384.99</v>
      </c>
      <c r="C35" s="33">
        <v>131652.20000000001</v>
      </c>
      <c r="D35" s="33">
        <v>42731.65</v>
      </c>
      <c r="E35" s="33">
        <v>69118.210000000006</v>
      </c>
      <c r="F35" s="33">
        <v>6593.37</v>
      </c>
      <c r="G35" s="33">
        <v>73732.789999999994</v>
      </c>
      <c r="H35" s="33">
        <v>29074.86</v>
      </c>
      <c r="I35" s="33">
        <v>9752.92</v>
      </c>
      <c r="J35" s="74">
        <v>14004.15</v>
      </c>
      <c r="K35" s="13"/>
    </row>
    <row r="36" spans="1:11" ht="13.5" customHeight="1">
      <c r="A36" s="60"/>
      <c r="B36" s="33"/>
      <c r="C36" s="33"/>
      <c r="D36" s="33"/>
      <c r="E36" s="33"/>
      <c r="F36" s="33"/>
      <c r="G36" s="33"/>
      <c r="H36" s="33"/>
      <c r="I36" s="33"/>
      <c r="J36" s="74"/>
      <c r="K36" s="13"/>
    </row>
    <row r="37" spans="1:11" ht="13.5" customHeight="1">
      <c r="A37" s="60">
        <v>10</v>
      </c>
      <c r="B37" s="33">
        <v>207650.02</v>
      </c>
      <c r="C37" s="33">
        <v>133211.18</v>
      </c>
      <c r="D37" s="33">
        <v>43459.05</v>
      </c>
      <c r="E37" s="33">
        <v>69500.639999999999</v>
      </c>
      <c r="F37" s="33">
        <v>6679.21</v>
      </c>
      <c r="G37" s="33">
        <v>74438.84</v>
      </c>
      <c r="H37" s="33">
        <v>29379</v>
      </c>
      <c r="I37" s="33">
        <v>9801.92</v>
      </c>
      <c r="J37" s="74">
        <v>14027.69</v>
      </c>
      <c r="K37" s="13"/>
    </row>
    <row r="38" spans="1:11" ht="13.5" customHeight="1">
      <c r="A38" s="60">
        <v>11</v>
      </c>
      <c r="B38" s="33">
        <v>210487.97</v>
      </c>
      <c r="C38" s="33">
        <v>135616.81</v>
      </c>
      <c r="D38" s="33">
        <v>45071.8</v>
      </c>
      <c r="E38" s="33">
        <v>70181.94</v>
      </c>
      <c r="F38" s="33">
        <v>6708.16</v>
      </c>
      <c r="G38" s="33">
        <v>74871.16</v>
      </c>
      <c r="H38" s="33">
        <v>29656.53</v>
      </c>
      <c r="I38" s="33">
        <v>9847.84</v>
      </c>
      <c r="J38" s="74">
        <v>14037.46</v>
      </c>
      <c r="K38" s="13"/>
    </row>
    <row r="39" spans="1:11" ht="13.5" customHeight="1">
      <c r="A39" s="60">
        <v>12</v>
      </c>
      <c r="B39" s="33">
        <v>209913.63</v>
      </c>
      <c r="C39" s="33">
        <v>135297.07</v>
      </c>
      <c r="D39" s="33">
        <v>45094.79</v>
      </c>
      <c r="E39" s="33">
        <v>69306.320000000007</v>
      </c>
      <c r="F39" s="33">
        <v>6758.08</v>
      </c>
      <c r="G39" s="33">
        <v>74616.56</v>
      </c>
      <c r="H39" s="33">
        <v>29366.83</v>
      </c>
      <c r="I39" s="33">
        <v>9652.42</v>
      </c>
      <c r="J39" s="74">
        <v>14241.87</v>
      </c>
      <c r="K39" s="13"/>
    </row>
    <row r="40" spans="1:11" ht="13.5" customHeight="1">
      <c r="A40" s="60"/>
      <c r="B40" s="33"/>
      <c r="C40" s="33"/>
      <c r="D40" s="33"/>
      <c r="E40" s="33"/>
      <c r="F40" s="33"/>
      <c r="G40" s="33"/>
      <c r="H40" s="33"/>
      <c r="I40" s="33"/>
      <c r="J40" s="74"/>
      <c r="K40" s="13"/>
    </row>
    <row r="41" spans="1:11" ht="13.5" customHeight="1">
      <c r="A41" s="60">
        <v>2020.1</v>
      </c>
      <c r="B41" s="33">
        <v>209759.37</v>
      </c>
      <c r="C41" s="33">
        <v>135189.89000000001</v>
      </c>
      <c r="D41" s="33">
        <v>43477.62</v>
      </c>
      <c r="E41" s="33">
        <v>70710.16</v>
      </c>
      <c r="F41" s="33">
        <v>6750.5</v>
      </c>
      <c r="G41" s="33">
        <v>74569.48</v>
      </c>
      <c r="H41" s="33">
        <v>29444.2</v>
      </c>
      <c r="I41" s="33">
        <v>9663.35</v>
      </c>
      <c r="J41" s="74">
        <v>14216.96</v>
      </c>
      <c r="K41" s="13"/>
    </row>
    <row r="42" spans="1:11" ht="13.5" customHeight="1">
      <c r="A42" s="60">
        <v>2</v>
      </c>
      <c r="B42" s="33">
        <v>210466.6</v>
      </c>
      <c r="C42" s="33">
        <v>135728.85999999999</v>
      </c>
      <c r="D42" s="33">
        <v>43944.92</v>
      </c>
      <c r="E42" s="33">
        <v>70666.31</v>
      </c>
      <c r="F42" s="33">
        <v>6783.05</v>
      </c>
      <c r="G42" s="33">
        <v>74737.740000000005</v>
      </c>
      <c r="H42" s="33">
        <v>29522.43</v>
      </c>
      <c r="I42" s="33">
        <v>9618.06</v>
      </c>
      <c r="J42" s="74">
        <v>14291.05</v>
      </c>
      <c r="K42" s="13"/>
    </row>
    <row r="43" spans="1:11" ht="13.5" customHeight="1">
      <c r="A43" s="60">
        <v>3</v>
      </c>
      <c r="B43" s="33">
        <v>213028.75</v>
      </c>
      <c r="C43" s="33">
        <v>137291.29999999999</v>
      </c>
      <c r="D43" s="33">
        <v>44446.82</v>
      </c>
      <c r="E43" s="33">
        <v>71527.100000000006</v>
      </c>
      <c r="F43" s="33">
        <v>6839.63</v>
      </c>
      <c r="G43" s="33">
        <v>75737.45</v>
      </c>
      <c r="H43" s="33">
        <v>29995.14</v>
      </c>
      <c r="I43" s="33">
        <v>9830.01</v>
      </c>
      <c r="J43" s="74">
        <v>14416.23</v>
      </c>
      <c r="K43" s="13"/>
    </row>
    <row r="44" spans="1:11" ht="13.5" customHeight="1">
      <c r="A44" s="60"/>
      <c r="B44" s="33"/>
      <c r="C44" s="33"/>
      <c r="D44" s="33"/>
      <c r="E44" s="33"/>
      <c r="F44" s="33"/>
      <c r="G44" s="33"/>
      <c r="H44" s="33"/>
      <c r="I44" s="33"/>
      <c r="J44" s="74"/>
      <c r="K44" s="13"/>
    </row>
    <row r="45" spans="1:11" ht="13.5" customHeight="1">
      <c r="A45" s="60">
        <v>4</v>
      </c>
      <c r="B45" s="33">
        <v>216954.93</v>
      </c>
      <c r="C45" s="33">
        <v>139339.99</v>
      </c>
      <c r="D45" s="33">
        <v>45117.78</v>
      </c>
      <c r="E45" s="33">
        <v>72767.289999999994</v>
      </c>
      <c r="F45" s="33">
        <v>6967.02</v>
      </c>
      <c r="G45" s="33">
        <v>77614.94</v>
      </c>
      <c r="H45" s="33">
        <v>30466.5</v>
      </c>
      <c r="I45" s="33">
        <v>10351.86</v>
      </c>
      <c r="J45" s="74">
        <v>14819.76</v>
      </c>
      <c r="K45" s="13"/>
    </row>
    <row r="46" spans="1:11" ht="13.5" customHeight="1">
      <c r="A46" s="60">
        <v>5</v>
      </c>
      <c r="B46" s="33">
        <v>219717.13</v>
      </c>
      <c r="C46" s="33">
        <v>140793.76</v>
      </c>
      <c r="D46" s="33">
        <v>45705.71</v>
      </c>
      <c r="E46" s="33">
        <v>73515.62</v>
      </c>
      <c r="F46" s="33">
        <v>7062.64</v>
      </c>
      <c r="G46" s="33">
        <v>78923.37</v>
      </c>
      <c r="H46" s="33">
        <v>31030.55</v>
      </c>
      <c r="I46" s="33">
        <v>10583.8</v>
      </c>
      <c r="J46" s="74">
        <v>14939.97</v>
      </c>
      <c r="K46" s="13"/>
    </row>
    <row r="47" spans="1:11" ht="13.5" customHeight="1">
      <c r="A47" s="60">
        <v>6</v>
      </c>
      <c r="B47" s="33">
        <v>219933.48</v>
      </c>
      <c r="C47" s="33">
        <v>141048.19</v>
      </c>
      <c r="D47" s="33">
        <v>45857.8</v>
      </c>
      <c r="E47" s="33">
        <v>73970.2</v>
      </c>
      <c r="F47" s="33">
        <v>7064.14</v>
      </c>
      <c r="G47" s="33">
        <v>78885.289999999994</v>
      </c>
      <c r="H47" s="33">
        <v>31494.77</v>
      </c>
      <c r="I47" s="33">
        <v>10648.45</v>
      </c>
      <c r="J47" s="74">
        <v>14666.54</v>
      </c>
      <c r="K47" s="13"/>
    </row>
    <row r="48" spans="1:11" ht="13.5" customHeight="1">
      <c r="A48" s="60"/>
      <c r="B48" s="33"/>
      <c r="C48" s="33"/>
      <c r="D48" s="33"/>
      <c r="E48" s="33"/>
      <c r="F48" s="33"/>
      <c r="G48" s="33"/>
      <c r="H48" s="33"/>
      <c r="I48" s="33"/>
      <c r="J48" s="74"/>
      <c r="K48" s="13"/>
    </row>
    <row r="49" spans="1:11" ht="13.5" customHeight="1">
      <c r="A49" s="60">
        <v>7</v>
      </c>
      <c r="B49" s="33">
        <v>220039.67999999999</v>
      </c>
      <c r="C49" s="33">
        <v>141116.91</v>
      </c>
      <c r="D49" s="33">
        <v>45635.14</v>
      </c>
      <c r="E49" s="33">
        <v>74290.929999999993</v>
      </c>
      <c r="F49" s="33">
        <v>7065.59</v>
      </c>
      <c r="G49" s="33">
        <v>78922.77</v>
      </c>
      <c r="H49" s="33">
        <v>31546.02</v>
      </c>
      <c r="I49" s="33">
        <v>10745.99</v>
      </c>
      <c r="J49" s="74">
        <v>14680.95</v>
      </c>
      <c r="K49" s="13"/>
    </row>
    <row r="50" spans="1:11" ht="13.5" customHeight="1">
      <c r="A50" s="60">
        <v>8</v>
      </c>
      <c r="B50" s="33">
        <v>221448.36</v>
      </c>
      <c r="C50" s="33">
        <v>141915.22</v>
      </c>
      <c r="D50" s="33">
        <v>45778.400000000001</v>
      </c>
      <c r="E50" s="33">
        <v>74430.259999999995</v>
      </c>
      <c r="F50" s="33">
        <v>7158.48</v>
      </c>
      <c r="G50" s="33">
        <v>79533.14</v>
      </c>
      <c r="H50" s="33">
        <v>31671.39</v>
      </c>
      <c r="I50" s="33">
        <v>10770.6</v>
      </c>
      <c r="J50" s="74">
        <v>14713</v>
      </c>
      <c r="K50" s="13"/>
    </row>
    <row r="51" spans="1:11" ht="13.5" customHeight="1">
      <c r="A51" s="60">
        <v>9</v>
      </c>
      <c r="B51" s="33">
        <v>223333.39</v>
      </c>
      <c r="C51" s="33">
        <v>143676.56</v>
      </c>
      <c r="D51" s="33">
        <v>46949.75</v>
      </c>
      <c r="E51" s="33">
        <v>74927.75</v>
      </c>
      <c r="F51" s="33">
        <v>7215.1</v>
      </c>
      <c r="G51" s="33">
        <v>79656.83</v>
      </c>
      <c r="H51" s="33">
        <v>31762.82</v>
      </c>
      <c r="I51" s="33">
        <v>10747.38</v>
      </c>
      <c r="J51" s="74">
        <v>14690.25</v>
      </c>
      <c r="K51" s="13"/>
    </row>
    <row r="52" spans="1:11" ht="13.5" customHeight="1">
      <c r="A52" s="60"/>
      <c r="B52" s="33"/>
      <c r="C52" s="33"/>
      <c r="D52" s="33"/>
      <c r="E52" s="33"/>
      <c r="F52" s="33"/>
      <c r="G52" s="33"/>
      <c r="H52" s="33"/>
      <c r="I52" s="33"/>
      <c r="J52" s="74"/>
      <c r="K52" s="13"/>
    </row>
    <row r="53" spans="1:11" ht="13.5" customHeight="1">
      <c r="A53" s="60">
        <v>10</v>
      </c>
      <c r="B53" s="33">
        <v>226023.9</v>
      </c>
      <c r="C53" s="33">
        <v>145317.59</v>
      </c>
      <c r="D53" s="33">
        <v>47786.81</v>
      </c>
      <c r="E53" s="33">
        <v>75340.460000000006</v>
      </c>
      <c r="F53" s="33">
        <v>7246.8</v>
      </c>
      <c r="G53" s="33">
        <v>80706.31</v>
      </c>
      <c r="H53" s="33">
        <v>32236.47</v>
      </c>
      <c r="I53" s="33">
        <v>10742.45</v>
      </c>
      <c r="J53" s="74">
        <v>14905.93</v>
      </c>
      <c r="K53" s="13"/>
    </row>
    <row r="54" spans="1:11" ht="13.5" customHeight="1">
      <c r="A54" s="60">
        <v>11</v>
      </c>
      <c r="B54" s="33">
        <v>228103.94</v>
      </c>
      <c r="C54" s="33">
        <v>146763.56</v>
      </c>
      <c r="D54" s="33">
        <v>48391.18</v>
      </c>
      <c r="E54" s="33">
        <v>76070.83</v>
      </c>
      <c r="F54" s="33">
        <v>7199.46</v>
      </c>
      <c r="G54" s="33">
        <v>81340.38</v>
      </c>
      <c r="H54" s="33">
        <v>32607.96</v>
      </c>
      <c r="I54" s="33">
        <v>10754.32</v>
      </c>
      <c r="J54" s="74">
        <v>15033.73</v>
      </c>
      <c r="K54" s="13"/>
    </row>
    <row r="55" spans="1:11" ht="13.5" customHeight="1">
      <c r="A55" s="60">
        <v>12</v>
      </c>
      <c r="B55" s="33">
        <v>228314.4</v>
      </c>
      <c r="C55" s="33">
        <v>147163.60999999999</v>
      </c>
      <c r="D55" s="33">
        <v>48215.11</v>
      </c>
      <c r="E55" s="33">
        <v>76352.36</v>
      </c>
      <c r="F55" s="33">
        <v>7116.46</v>
      </c>
      <c r="G55" s="33">
        <v>81150.789999999994</v>
      </c>
      <c r="H55" s="33">
        <v>32445.77</v>
      </c>
      <c r="I55" s="33">
        <v>10745.71</v>
      </c>
      <c r="J55" s="74">
        <v>14923.88</v>
      </c>
      <c r="K55" s="13"/>
    </row>
    <row r="56" spans="1:11" ht="13.5" customHeight="1">
      <c r="A56" s="60"/>
      <c r="B56" s="33"/>
      <c r="C56" s="33"/>
      <c r="D56" s="33"/>
      <c r="E56" s="33"/>
      <c r="F56" s="33"/>
      <c r="G56" s="33"/>
      <c r="H56" s="33"/>
      <c r="I56" s="33"/>
      <c r="J56" s="74"/>
      <c r="K56" s="13"/>
    </row>
    <row r="57" spans="1:11" ht="13.5" customHeight="1">
      <c r="A57" s="60">
        <v>2021.1</v>
      </c>
      <c r="B57" s="33">
        <v>229583.81</v>
      </c>
      <c r="C57" s="33">
        <v>147846.79</v>
      </c>
      <c r="D57" s="33">
        <v>48571.94</v>
      </c>
      <c r="E57" s="33">
        <v>76479.77</v>
      </c>
      <c r="F57" s="33">
        <v>7160.14</v>
      </c>
      <c r="G57" s="33">
        <v>81737.02</v>
      </c>
      <c r="H57" s="33">
        <v>32710.22</v>
      </c>
      <c r="I57" s="33">
        <v>10792.18</v>
      </c>
      <c r="J57" s="74">
        <v>14973.16</v>
      </c>
      <c r="K57" s="13"/>
    </row>
    <row r="58" spans="1:11" ht="13.5" customHeight="1">
      <c r="A58" s="60">
        <v>2</v>
      </c>
      <c r="B58" s="33">
        <v>231284.7</v>
      </c>
      <c r="C58" s="33">
        <v>149139.26</v>
      </c>
      <c r="D58" s="33">
        <v>49342.92</v>
      </c>
      <c r="E58" s="33">
        <v>77023.41</v>
      </c>
      <c r="F58" s="33">
        <v>7197.9</v>
      </c>
      <c r="G58" s="33">
        <v>82145.440000000002</v>
      </c>
      <c r="H58" s="33">
        <v>32847.18</v>
      </c>
      <c r="I58" s="33">
        <v>10861.76</v>
      </c>
      <c r="J58" s="74">
        <v>15053.26</v>
      </c>
      <c r="K58" s="13"/>
    </row>
    <row r="59" spans="1:11" ht="13.5" customHeight="1">
      <c r="A59" s="60">
        <v>3</v>
      </c>
      <c r="B59" s="33">
        <v>232431.45</v>
      </c>
      <c r="C59" s="33">
        <v>149950.67000000001</v>
      </c>
      <c r="D59" s="33">
        <v>49431.48</v>
      </c>
      <c r="E59" s="33">
        <v>77510.16</v>
      </c>
      <c r="F59" s="33">
        <v>7282.39</v>
      </c>
      <c r="G59" s="33">
        <v>82480.78</v>
      </c>
      <c r="H59" s="33">
        <v>32906.06</v>
      </c>
      <c r="I59" s="33">
        <v>10877.28</v>
      </c>
      <c r="J59" s="74">
        <v>15126.92</v>
      </c>
      <c r="K59" s="13"/>
    </row>
    <row r="60" spans="1:11" ht="13.5" customHeight="1">
      <c r="A60" s="60"/>
      <c r="B60" s="33"/>
      <c r="C60" s="33"/>
      <c r="D60" s="33"/>
      <c r="E60" s="33"/>
      <c r="F60" s="33"/>
      <c r="G60" s="33"/>
      <c r="H60" s="33"/>
      <c r="I60" s="33"/>
      <c r="J60" s="74"/>
      <c r="K60" s="13"/>
    </row>
    <row r="61" spans="1:11" ht="13.5" customHeight="1">
      <c r="A61" s="60">
        <v>4</v>
      </c>
      <c r="B61" s="33">
        <v>233535.57</v>
      </c>
      <c r="C61" s="33">
        <v>150401.64000000001</v>
      </c>
      <c r="D61" s="33">
        <v>49715.81</v>
      </c>
      <c r="E61" s="33">
        <v>77397.460000000006</v>
      </c>
      <c r="F61" s="33">
        <v>7350.17</v>
      </c>
      <c r="G61" s="33">
        <v>83133.929999999993</v>
      </c>
      <c r="H61" s="33">
        <v>33012.730000000003</v>
      </c>
      <c r="I61" s="33">
        <v>11126.49</v>
      </c>
      <c r="J61" s="74">
        <v>15304.48</v>
      </c>
      <c r="K61" s="13"/>
    </row>
    <row r="62" spans="1:11" ht="13.5" customHeight="1">
      <c r="A62" s="60">
        <v>5</v>
      </c>
      <c r="B62" s="33">
        <v>233204.84</v>
      </c>
      <c r="C62" s="33">
        <v>150254.03</v>
      </c>
      <c r="D62" s="33">
        <v>49633.13</v>
      </c>
      <c r="E62" s="33">
        <v>77222.31</v>
      </c>
      <c r="F62" s="33">
        <v>7442.47</v>
      </c>
      <c r="G62" s="33">
        <v>82950.81</v>
      </c>
      <c r="H62" s="33">
        <v>32840.800000000003</v>
      </c>
      <c r="I62" s="33">
        <v>11099.52</v>
      </c>
      <c r="J62" s="74">
        <v>15365.71</v>
      </c>
      <c r="K62" s="13"/>
    </row>
    <row r="63" spans="1:11" ht="13.5" customHeight="1">
      <c r="A63" s="60">
        <v>6</v>
      </c>
      <c r="B63" s="33">
        <v>233353.21</v>
      </c>
      <c r="C63" s="33">
        <v>150194.31</v>
      </c>
      <c r="D63" s="33">
        <v>49472.29</v>
      </c>
      <c r="E63" s="33">
        <v>77794.490000000005</v>
      </c>
      <c r="F63" s="33">
        <v>7468.2</v>
      </c>
      <c r="G63" s="33">
        <v>83158.899999999994</v>
      </c>
      <c r="H63" s="33">
        <v>33032.89</v>
      </c>
      <c r="I63" s="33">
        <v>11066.79</v>
      </c>
      <c r="J63" s="74">
        <v>15502.19</v>
      </c>
      <c r="K63" s="13"/>
    </row>
    <row r="64" spans="1:11" ht="13.5" customHeight="1">
      <c r="A64" s="60"/>
      <c r="B64" s="33"/>
      <c r="C64" s="33"/>
      <c r="D64" s="33"/>
      <c r="E64" s="33"/>
      <c r="F64" s="33"/>
      <c r="G64" s="33"/>
      <c r="H64" s="33"/>
      <c r="I64" s="33"/>
      <c r="J64" s="74"/>
      <c r="K64" s="13"/>
    </row>
    <row r="65" spans="1:11" ht="13.5" customHeight="1">
      <c r="A65" s="60">
        <v>7</v>
      </c>
      <c r="B65" s="33">
        <v>233875.57</v>
      </c>
      <c r="C65" s="33">
        <v>150642.79</v>
      </c>
      <c r="D65" s="33">
        <v>49559.86</v>
      </c>
      <c r="E65" s="33">
        <v>77977.3</v>
      </c>
      <c r="F65" s="33">
        <v>7510.25</v>
      </c>
      <c r="G65" s="33">
        <v>83232.78</v>
      </c>
      <c r="H65" s="33">
        <v>33013.24</v>
      </c>
      <c r="I65" s="33">
        <v>11505.46</v>
      </c>
      <c r="J65" s="74">
        <v>15684.52</v>
      </c>
      <c r="K65" s="13"/>
    </row>
    <row r="66" spans="1:11" ht="13.5" customHeight="1">
      <c r="A66" s="60">
        <v>8</v>
      </c>
      <c r="B66" s="33">
        <v>234836.19</v>
      </c>
      <c r="C66" s="33">
        <v>150844.92000000001</v>
      </c>
      <c r="D66" s="33">
        <v>49638.52</v>
      </c>
      <c r="E66" s="33">
        <v>78294.13</v>
      </c>
      <c r="F66" s="33">
        <v>7513.48</v>
      </c>
      <c r="G66" s="33">
        <v>83991.27</v>
      </c>
      <c r="H66" s="33">
        <v>33627.199999999997</v>
      </c>
      <c r="I66" s="33">
        <v>11502.34</v>
      </c>
      <c r="J66" s="74">
        <v>15696.79</v>
      </c>
      <c r="K66" s="13"/>
    </row>
    <row r="67" spans="1:11" ht="13.5" customHeight="1">
      <c r="A67" s="60">
        <v>9</v>
      </c>
      <c r="B67" s="33">
        <v>235933.5</v>
      </c>
      <c r="C67" s="33">
        <v>151542.01999999999</v>
      </c>
      <c r="D67" s="33">
        <v>50277.23</v>
      </c>
      <c r="E67" s="33">
        <v>78252.710000000006</v>
      </c>
      <c r="F67" s="33">
        <v>7473.74</v>
      </c>
      <c r="G67" s="33">
        <v>84391.48</v>
      </c>
      <c r="H67" s="33">
        <v>33881.79</v>
      </c>
      <c r="I67" s="33">
        <v>11515.2</v>
      </c>
      <c r="J67" s="74">
        <v>15734.28</v>
      </c>
      <c r="K67" s="13"/>
    </row>
    <row r="68" spans="1:11" ht="13.5" customHeight="1">
      <c r="A68" s="60"/>
      <c r="B68" s="33"/>
      <c r="C68" s="33"/>
      <c r="D68" s="33"/>
      <c r="E68" s="33"/>
      <c r="F68" s="33"/>
      <c r="G68" s="33"/>
      <c r="H68" s="33"/>
      <c r="I68" s="33"/>
      <c r="J68" s="74"/>
      <c r="K68" s="13"/>
    </row>
    <row r="69" spans="1:11" ht="13.5" customHeight="1">
      <c r="A69" s="60">
        <v>10</v>
      </c>
      <c r="B69" s="33">
        <v>236935.18</v>
      </c>
      <c r="C69" s="33">
        <v>152349.5</v>
      </c>
      <c r="D69" s="33">
        <v>50374.92</v>
      </c>
      <c r="E69" s="33">
        <v>78572.399999999994</v>
      </c>
      <c r="F69" s="33">
        <v>7532.21</v>
      </c>
      <c r="G69" s="33">
        <v>84585.68</v>
      </c>
      <c r="H69" s="33">
        <v>33973.71</v>
      </c>
      <c r="I69" s="33">
        <v>11649.11</v>
      </c>
      <c r="J69" s="74">
        <v>15781.59</v>
      </c>
      <c r="K69" s="13"/>
    </row>
    <row r="70" spans="1:11" ht="13.5" customHeight="1">
      <c r="A70" s="60">
        <v>11</v>
      </c>
      <c r="B70" s="33">
        <v>238419.1</v>
      </c>
      <c r="C70" s="33">
        <v>153299.07</v>
      </c>
      <c r="D70" s="33">
        <v>50784.02</v>
      </c>
      <c r="E70" s="33">
        <v>79083.429999999993</v>
      </c>
      <c r="F70" s="33">
        <v>7518.17</v>
      </c>
      <c r="G70" s="33">
        <v>85120.03</v>
      </c>
      <c r="H70" s="33">
        <v>34249.360000000001</v>
      </c>
      <c r="I70" s="33">
        <v>11642.63</v>
      </c>
      <c r="J70" s="74">
        <v>15801.47</v>
      </c>
      <c r="K70" s="13"/>
    </row>
    <row r="71" spans="1:11" ht="13.5" customHeight="1">
      <c r="A71" s="60">
        <v>12</v>
      </c>
      <c r="B71" s="33">
        <v>238862.84</v>
      </c>
      <c r="C71" s="33">
        <v>153985.71</v>
      </c>
      <c r="D71" s="33">
        <v>51031.12</v>
      </c>
      <c r="E71" s="33">
        <v>79117.97</v>
      </c>
      <c r="F71" s="33">
        <v>7631.35</v>
      </c>
      <c r="G71" s="33">
        <v>84877.13</v>
      </c>
      <c r="H71" s="33">
        <v>33960.949999999997</v>
      </c>
      <c r="I71" s="33">
        <v>11628.31</v>
      </c>
      <c r="J71" s="74">
        <v>15776.19</v>
      </c>
      <c r="K71" s="13"/>
    </row>
    <row r="72" spans="1:11" ht="13.5" customHeight="1">
      <c r="A72" s="60"/>
      <c r="B72" s="33"/>
      <c r="C72" s="33"/>
      <c r="D72" s="33"/>
      <c r="E72" s="33"/>
      <c r="F72" s="33"/>
      <c r="G72" s="33"/>
      <c r="H72" s="33"/>
      <c r="I72" s="33"/>
      <c r="J72" s="74"/>
      <c r="K72" s="13"/>
    </row>
    <row r="73" spans="1:11" ht="13.5" customHeight="1">
      <c r="A73" s="60">
        <v>2022.1</v>
      </c>
      <c r="B73" s="33">
        <v>240479.7</v>
      </c>
      <c r="C73" s="33">
        <v>154906.29</v>
      </c>
      <c r="D73" s="33">
        <v>51200.82</v>
      </c>
      <c r="E73" s="33">
        <v>80078.42</v>
      </c>
      <c r="F73" s="33">
        <v>7557.18</v>
      </c>
      <c r="G73" s="33">
        <v>85573.41</v>
      </c>
      <c r="H73" s="33">
        <v>34348.97</v>
      </c>
      <c r="I73" s="33">
        <v>11721.05</v>
      </c>
      <c r="J73" s="74">
        <v>16037.2</v>
      </c>
      <c r="K73" s="13"/>
    </row>
    <row r="74" spans="1:11" ht="13.5" customHeight="1">
      <c r="A74" s="60">
        <v>2</v>
      </c>
      <c r="B74" s="33">
        <v>239689.16</v>
      </c>
      <c r="C74" s="33">
        <v>154329.26999999999</v>
      </c>
      <c r="D74" s="33">
        <v>50915.3</v>
      </c>
      <c r="E74" s="33">
        <v>79983.13</v>
      </c>
      <c r="F74" s="33">
        <v>7427.2</v>
      </c>
      <c r="G74" s="33">
        <v>85359.89</v>
      </c>
      <c r="H74" s="33">
        <v>34614.120000000003</v>
      </c>
      <c r="I74" s="33">
        <v>11605.55</v>
      </c>
      <c r="J74" s="74">
        <v>15971.09</v>
      </c>
      <c r="K74" s="13"/>
    </row>
    <row r="75" spans="1:11" ht="13.5" customHeight="1">
      <c r="A75" s="60">
        <v>3</v>
      </c>
      <c r="B75" s="33">
        <v>239880.59</v>
      </c>
      <c r="C75" s="33">
        <v>153848.95999999999</v>
      </c>
      <c r="D75" s="33">
        <v>51047.99</v>
      </c>
      <c r="E75" s="33">
        <v>79669.88</v>
      </c>
      <c r="F75" s="33">
        <v>7392.52</v>
      </c>
      <c r="G75" s="33">
        <v>86031.63</v>
      </c>
      <c r="H75" s="33">
        <v>35158.25</v>
      </c>
      <c r="I75" s="33">
        <v>12849.39</v>
      </c>
      <c r="J75" s="74">
        <v>15982.85</v>
      </c>
      <c r="K75" s="13"/>
    </row>
    <row r="76" spans="1:11" ht="13.5" customHeight="1">
      <c r="A76" s="60"/>
      <c r="B76" s="33"/>
      <c r="C76" s="33"/>
      <c r="D76" s="33"/>
      <c r="E76" s="33"/>
      <c r="F76" s="33"/>
      <c r="G76" s="33"/>
      <c r="H76" s="33"/>
      <c r="I76" s="33"/>
      <c r="J76" s="74"/>
      <c r="K76" s="13"/>
    </row>
    <row r="77" spans="1:11" ht="13.5" customHeight="1">
      <c r="A77" s="60">
        <v>4</v>
      </c>
      <c r="B77" s="33">
        <v>240857.64</v>
      </c>
      <c r="C77" s="33">
        <v>154322.65</v>
      </c>
      <c r="D77" s="33">
        <v>51203.8</v>
      </c>
      <c r="E77" s="33">
        <v>80086.87</v>
      </c>
      <c r="F77" s="33">
        <v>7410.68</v>
      </c>
      <c r="G77" s="33">
        <v>86534.99</v>
      </c>
      <c r="H77" s="33">
        <v>35423.089999999997</v>
      </c>
      <c r="I77" s="33">
        <v>12927.59</v>
      </c>
      <c r="J77" s="74">
        <v>16164.13</v>
      </c>
      <c r="K77" s="13"/>
    </row>
    <row r="78" spans="1:11" ht="13.5" customHeight="1">
      <c r="A78" s="60">
        <v>5</v>
      </c>
      <c r="B78" s="33">
        <v>242441.31</v>
      </c>
      <c r="C78" s="33">
        <v>155306.59</v>
      </c>
      <c r="D78" s="33">
        <v>51346.47</v>
      </c>
      <c r="E78" s="33">
        <v>80672.47</v>
      </c>
      <c r="F78" s="33">
        <v>7473.07</v>
      </c>
      <c r="G78" s="33">
        <v>87134.720000000001</v>
      </c>
      <c r="H78" s="33">
        <v>35609.699999999997</v>
      </c>
      <c r="I78" s="33">
        <v>13015.81</v>
      </c>
      <c r="J78" s="74">
        <v>16304.87</v>
      </c>
      <c r="K78" s="13"/>
    </row>
    <row r="79" spans="1:11" ht="13.5" customHeight="1">
      <c r="A79" s="60">
        <v>6</v>
      </c>
      <c r="B79" s="33">
        <v>241834.49</v>
      </c>
      <c r="C79" s="33">
        <v>154728.24</v>
      </c>
      <c r="D79" s="33">
        <v>51064.800000000003</v>
      </c>
      <c r="E79" s="33">
        <v>80692.58</v>
      </c>
      <c r="F79" s="33">
        <v>7445.49</v>
      </c>
      <c r="G79" s="33">
        <v>87106.25</v>
      </c>
      <c r="H79" s="33">
        <v>35510.269999999997</v>
      </c>
      <c r="I79" s="33">
        <v>12943.69</v>
      </c>
      <c r="J79" s="74">
        <v>16679.64</v>
      </c>
      <c r="K79" s="13"/>
    </row>
    <row r="80" spans="1:11" ht="13.5" customHeight="1">
      <c r="A80" s="60"/>
      <c r="B80" s="33"/>
      <c r="C80" s="33"/>
      <c r="D80" s="33"/>
      <c r="E80" s="33"/>
      <c r="F80" s="33"/>
      <c r="G80" s="33"/>
      <c r="H80" s="33"/>
      <c r="I80" s="33"/>
      <c r="J80" s="74"/>
      <c r="K80" s="13"/>
    </row>
    <row r="81" spans="1:11" ht="13.5" customHeight="1">
      <c r="A81" s="60">
        <v>7</v>
      </c>
      <c r="B81" s="33">
        <v>242446.55</v>
      </c>
      <c r="C81" s="33">
        <v>154989.87</v>
      </c>
      <c r="D81" s="33">
        <v>50832.24</v>
      </c>
      <c r="E81" s="33">
        <v>81153.070000000007</v>
      </c>
      <c r="F81" s="33">
        <v>7469.66</v>
      </c>
      <c r="G81" s="33">
        <v>87456.68</v>
      </c>
      <c r="H81" s="33">
        <v>35739.78</v>
      </c>
      <c r="I81" s="33">
        <v>12985.51</v>
      </c>
      <c r="J81" s="74">
        <v>16701.939999999999</v>
      </c>
      <c r="K81" s="13"/>
    </row>
    <row r="82" spans="1:11" ht="13.5" customHeight="1">
      <c r="A82" s="60">
        <v>8</v>
      </c>
      <c r="B82" s="33">
        <v>243389.75</v>
      </c>
      <c r="C82" s="33">
        <v>155167.73000000001</v>
      </c>
      <c r="D82" s="33">
        <v>50938.91</v>
      </c>
      <c r="E82" s="33">
        <v>81199.86</v>
      </c>
      <c r="F82" s="33">
        <v>7526.79</v>
      </c>
      <c r="G82" s="33">
        <v>88222.02</v>
      </c>
      <c r="H82" s="33">
        <v>36706.379999999997</v>
      </c>
      <c r="I82" s="33">
        <v>12966.41</v>
      </c>
      <c r="J82" s="74">
        <v>16761.55</v>
      </c>
      <c r="K82" s="13"/>
    </row>
    <row r="83" spans="1:11" ht="13.5" customHeight="1">
      <c r="A83" s="60">
        <v>9</v>
      </c>
      <c r="B83" s="33">
        <v>244300.55</v>
      </c>
      <c r="C83" s="33">
        <v>155944.45000000001</v>
      </c>
      <c r="D83" s="33">
        <v>50790.34</v>
      </c>
      <c r="E83" s="33">
        <v>81972.789999999994</v>
      </c>
      <c r="F83" s="33">
        <v>7625.21</v>
      </c>
      <c r="G83" s="33">
        <v>88356.1</v>
      </c>
      <c r="H83" s="33">
        <v>36905.629999999997</v>
      </c>
      <c r="I83" s="33">
        <v>12956.28</v>
      </c>
      <c r="J83" s="74">
        <v>16780.22</v>
      </c>
      <c r="K83" s="13"/>
    </row>
    <row r="84" spans="1:11" ht="13.5" customHeight="1">
      <c r="A84" s="60"/>
      <c r="B84" s="33"/>
      <c r="C84" s="33"/>
      <c r="D84" s="33"/>
      <c r="E84" s="33"/>
      <c r="F84" s="33"/>
      <c r="G84" s="33"/>
      <c r="H84" s="33"/>
      <c r="I84" s="33"/>
      <c r="J84" s="74"/>
      <c r="K84" s="13"/>
    </row>
    <row r="85" spans="1:11" ht="13.5" customHeight="1">
      <c r="A85" s="60">
        <v>10</v>
      </c>
      <c r="B85" s="33">
        <v>245542.21</v>
      </c>
      <c r="C85" s="33">
        <v>157006.82</v>
      </c>
      <c r="D85" s="33">
        <v>51546.36</v>
      </c>
      <c r="E85" s="33">
        <v>82160.649999999994</v>
      </c>
      <c r="F85" s="33">
        <v>7666.6</v>
      </c>
      <c r="G85" s="33">
        <v>88535.39</v>
      </c>
      <c r="H85" s="33">
        <v>37010.67</v>
      </c>
      <c r="I85" s="33">
        <v>12864.61</v>
      </c>
      <c r="J85" s="74">
        <v>16855.8</v>
      </c>
      <c r="K85" s="13"/>
    </row>
    <row r="86" spans="1:11" ht="13.5" customHeight="1">
      <c r="A86" s="60">
        <v>11</v>
      </c>
      <c r="B86" s="33">
        <v>245524.1</v>
      </c>
      <c r="C86" s="33">
        <v>156948.85999999999</v>
      </c>
      <c r="D86" s="33">
        <v>51666.45</v>
      </c>
      <c r="E86" s="33">
        <v>82139.210000000006</v>
      </c>
      <c r="F86" s="33">
        <v>7649.6</v>
      </c>
      <c r="G86" s="33">
        <v>88575.24</v>
      </c>
      <c r="H86" s="33">
        <v>37194.17</v>
      </c>
      <c r="I86" s="33">
        <v>12867.55</v>
      </c>
      <c r="J86" s="74">
        <v>17023.82</v>
      </c>
      <c r="K86" s="13"/>
    </row>
    <row r="87" spans="1:11" ht="13.5" customHeight="1">
      <c r="A87" s="60">
        <v>12</v>
      </c>
      <c r="B87" s="33">
        <v>245910.74</v>
      </c>
      <c r="C87" s="33">
        <v>157306.81</v>
      </c>
      <c r="D87" s="33">
        <v>51456.82</v>
      </c>
      <c r="E87" s="33">
        <v>82289.820000000007</v>
      </c>
      <c r="F87" s="33">
        <v>7637.16</v>
      </c>
      <c r="G87" s="33">
        <v>88603.93</v>
      </c>
      <c r="H87" s="33">
        <v>37091.61</v>
      </c>
      <c r="I87" s="33">
        <v>12845.9</v>
      </c>
      <c r="J87" s="74">
        <v>17057.61</v>
      </c>
      <c r="K87" s="13"/>
    </row>
    <row r="88" spans="1:11" ht="13.5" customHeight="1">
      <c r="A88" s="60"/>
      <c r="B88" s="33"/>
      <c r="C88" s="33"/>
      <c r="D88" s="33"/>
      <c r="E88" s="33"/>
      <c r="F88" s="33"/>
      <c r="G88" s="33"/>
      <c r="H88" s="33"/>
      <c r="I88" s="33"/>
      <c r="J88" s="74"/>
      <c r="K88" s="13"/>
    </row>
    <row r="89" spans="1:11" ht="13.5" customHeight="1">
      <c r="A89" s="60">
        <v>2023.1</v>
      </c>
      <c r="B89" s="33">
        <v>246258.09</v>
      </c>
      <c r="C89" s="33">
        <v>157549.28</v>
      </c>
      <c r="D89" s="33">
        <v>51632.25</v>
      </c>
      <c r="E89" s="33">
        <v>82461.36</v>
      </c>
      <c r="F89" s="33">
        <v>7635.11</v>
      </c>
      <c r="G89" s="33">
        <v>88708.81</v>
      </c>
      <c r="H89" s="33">
        <v>37471.42</v>
      </c>
      <c r="I89" s="33">
        <v>12849.24</v>
      </c>
      <c r="J89" s="74">
        <v>17006.62</v>
      </c>
      <c r="K89" s="13"/>
    </row>
    <row r="90" spans="1:11" ht="13.5" customHeight="1">
      <c r="A90" s="60">
        <v>2</v>
      </c>
      <c r="B90" s="33">
        <v>245315.20000000001</v>
      </c>
      <c r="C90" s="33">
        <v>156990.76</v>
      </c>
      <c r="D90" s="33">
        <v>51343.01</v>
      </c>
      <c r="E90" s="33">
        <v>82276.990000000005</v>
      </c>
      <c r="F90" s="33">
        <v>7667.2</v>
      </c>
      <c r="G90" s="33">
        <v>88324.44</v>
      </c>
      <c r="H90" s="33">
        <v>37266.04</v>
      </c>
      <c r="I90" s="33">
        <v>12817.98</v>
      </c>
      <c r="J90" s="74">
        <v>16935.400000000001</v>
      </c>
      <c r="K90" s="13"/>
    </row>
    <row r="91" spans="1:11" ht="13.5" customHeight="1">
      <c r="A91" s="60">
        <v>3</v>
      </c>
      <c r="B91" s="33">
        <v>244335.23</v>
      </c>
      <c r="C91" s="33">
        <v>156223.12</v>
      </c>
      <c r="D91" s="33">
        <v>50841.59</v>
      </c>
      <c r="E91" s="33">
        <v>82063.55</v>
      </c>
      <c r="F91" s="33">
        <v>7660.06</v>
      </c>
      <c r="G91" s="33">
        <v>88112.11</v>
      </c>
      <c r="H91" s="33">
        <v>37325.760000000002</v>
      </c>
      <c r="I91" s="33">
        <v>12634.46</v>
      </c>
      <c r="J91" s="74">
        <v>16987.349999999999</v>
      </c>
      <c r="K91" s="13"/>
    </row>
    <row r="92" spans="1:11" ht="13.5" customHeight="1">
      <c r="A92" s="60"/>
      <c r="B92" s="33"/>
      <c r="C92" s="33"/>
      <c r="D92" s="33"/>
      <c r="E92" s="33"/>
      <c r="F92" s="33"/>
      <c r="G92" s="33"/>
      <c r="H92" s="33"/>
      <c r="I92" s="33"/>
      <c r="J92" s="74"/>
      <c r="K92" s="13"/>
    </row>
    <row r="93" spans="1:11" ht="13.5" customHeight="1">
      <c r="A93" s="60">
        <v>4</v>
      </c>
      <c r="B93" s="33">
        <v>245456.52</v>
      </c>
      <c r="C93" s="33">
        <v>157473.34</v>
      </c>
      <c r="D93" s="33">
        <v>52147.65</v>
      </c>
      <c r="E93" s="33">
        <v>81995.19</v>
      </c>
      <c r="F93" s="33">
        <v>7654.36</v>
      </c>
      <c r="G93" s="33">
        <v>87983.18</v>
      </c>
      <c r="H93" s="33">
        <v>37215.5</v>
      </c>
      <c r="I93" s="33">
        <v>12498.1</v>
      </c>
      <c r="J93" s="74">
        <v>17168.41</v>
      </c>
      <c r="K93" s="13"/>
    </row>
    <row r="94" spans="1:11" ht="13.5" customHeight="1">
      <c r="A94" s="60">
        <v>5</v>
      </c>
      <c r="B94" s="33">
        <v>246430.44</v>
      </c>
      <c r="C94" s="33">
        <v>158016.26</v>
      </c>
      <c r="D94" s="33">
        <v>52310.78</v>
      </c>
      <c r="E94" s="33">
        <v>82500.84</v>
      </c>
      <c r="F94" s="33">
        <v>7662.55</v>
      </c>
      <c r="G94" s="33">
        <v>88414.18</v>
      </c>
      <c r="H94" s="33">
        <v>37807.96</v>
      </c>
      <c r="I94" s="33">
        <v>12473.43</v>
      </c>
      <c r="J94" s="74">
        <v>17176.29</v>
      </c>
      <c r="K94" s="13"/>
    </row>
    <row r="95" spans="1:11" ht="13.5" customHeight="1">
      <c r="A95" s="60">
        <v>6</v>
      </c>
      <c r="B95" s="33">
        <v>246601.55</v>
      </c>
      <c r="C95" s="33">
        <v>157849.37</v>
      </c>
      <c r="D95" s="33">
        <v>52361.69</v>
      </c>
      <c r="E95" s="33">
        <v>82534.86</v>
      </c>
      <c r="F95" s="33">
        <v>7716.02</v>
      </c>
      <c r="G95" s="33">
        <v>88752.18</v>
      </c>
      <c r="H95" s="33">
        <v>38156.14</v>
      </c>
      <c r="I95" s="33">
        <v>12437.99</v>
      </c>
      <c r="J95" s="74">
        <v>17284.599999999999</v>
      </c>
      <c r="K95" s="13"/>
    </row>
    <row r="96" spans="1:11" ht="13.5" customHeight="1">
      <c r="A96" s="60"/>
      <c r="B96" s="33"/>
      <c r="C96" s="33"/>
      <c r="D96" s="33"/>
      <c r="E96" s="33"/>
      <c r="F96" s="33"/>
      <c r="G96" s="33"/>
      <c r="H96" s="33"/>
      <c r="I96" s="33"/>
      <c r="J96" s="74"/>
      <c r="K96" s="13"/>
    </row>
    <row r="97" spans="1:11" ht="13.5" customHeight="1">
      <c r="A97" s="60">
        <v>7</v>
      </c>
      <c r="B97" s="33">
        <v>248976.02</v>
      </c>
      <c r="C97" s="33">
        <v>159556.59</v>
      </c>
      <c r="D97" s="33">
        <v>52671.53</v>
      </c>
      <c r="E97" s="33">
        <v>83937.24</v>
      </c>
      <c r="F97" s="33">
        <v>7826.97</v>
      </c>
      <c r="G97" s="33">
        <v>89419.43</v>
      </c>
      <c r="H97" s="33">
        <v>38746.61</v>
      </c>
      <c r="I97" s="33">
        <v>12390.7</v>
      </c>
      <c r="J97" s="74">
        <v>17487.259999999998</v>
      </c>
      <c r="K97" s="13"/>
    </row>
    <row r="98" spans="1:11" ht="13.5" customHeight="1">
      <c r="A98" s="60">
        <v>8</v>
      </c>
      <c r="B98" s="33">
        <v>250191.9</v>
      </c>
      <c r="C98" s="33">
        <v>160811.88</v>
      </c>
      <c r="D98" s="33">
        <v>52826.63</v>
      </c>
      <c r="E98" s="33">
        <v>85120.09</v>
      </c>
      <c r="F98" s="33">
        <v>7876.06</v>
      </c>
      <c r="G98" s="33">
        <v>89380.02</v>
      </c>
      <c r="H98" s="33">
        <v>38669.79</v>
      </c>
      <c r="I98" s="33">
        <v>12324.74</v>
      </c>
      <c r="J98" s="74">
        <v>17504.150000000001</v>
      </c>
      <c r="K98" s="13"/>
    </row>
    <row r="99" spans="1:11" ht="13.5" customHeight="1">
      <c r="A99" s="60">
        <v>9</v>
      </c>
      <c r="B99" s="33">
        <v>251096.79</v>
      </c>
      <c r="C99" s="33">
        <v>161601.54</v>
      </c>
      <c r="D99" s="33">
        <v>53146.64</v>
      </c>
      <c r="E99" s="33">
        <v>85756.78</v>
      </c>
      <c r="F99" s="33">
        <v>7746.51</v>
      </c>
      <c r="G99" s="33">
        <v>89495.25</v>
      </c>
      <c r="H99" s="33">
        <v>38785.74</v>
      </c>
      <c r="I99" s="33">
        <v>12359.18</v>
      </c>
      <c r="J99" s="74">
        <v>17227.84</v>
      </c>
      <c r="K99" s="13"/>
    </row>
    <row r="100" spans="1:11" ht="13.5" customHeight="1">
      <c r="A100" s="60"/>
      <c r="B100" s="33"/>
      <c r="C100" s="33"/>
      <c r="D100" s="33"/>
      <c r="E100" s="33"/>
      <c r="F100" s="33"/>
      <c r="G100" s="33"/>
      <c r="H100" s="33"/>
      <c r="I100" s="33"/>
      <c r="J100" s="74"/>
      <c r="K100" s="13"/>
    </row>
    <row r="101" spans="1:11" ht="13.5" customHeight="1">
      <c r="A101" s="60">
        <v>10</v>
      </c>
      <c r="B101" s="33">
        <v>252416.76</v>
      </c>
      <c r="C101" s="33">
        <v>162068.53</v>
      </c>
      <c r="D101" s="33">
        <v>53403.29</v>
      </c>
      <c r="E101" s="33">
        <v>85843.81</v>
      </c>
      <c r="F101" s="33">
        <v>7689.61</v>
      </c>
      <c r="G101" s="33">
        <v>90348.23</v>
      </c>
      <c r="H101" s="33">
        <v>39744</v>
      </c>
      <c r="I101" s="33">
        <v>12378.51</v>
      </c>
      <c r="J101" s="74">
        <v>17094.63</v>
      </c>
      <c r="K101" s="13"/>
    </row>
    <row r="102" spans="1:11" ht="13.5" customHeight="1">
      <c r="A102" s="60">
        <v>11</v>
      </c>
      <c r="B102" s="33">
        <v>252550.98</v>
      </c>
      <c r="C102" s="33">
        <v>162060.85999999999</v>
      </c>
      <c r="D102" s="33">
        <v>53271.25</v>
      </c>
      <c r="E102" s="33">
        <v>86031.07</v>
      </c>
      <c r="F102" s="33">
        <v>7670.14</v>
      </c>
      <c r="G102" s="33">
        <v>90490.12</v>
      </c>
      <c r="H102" s="33">
        <v>39829.550000000003</v>
      </c>
      <c r="I102" s="33">
        <v>12397.39</v>
      </c>
      <c r="J102" s="74">
        <v>17073.39</v>
      </c>
      <c r="K102" s="13"/>
    </row>
    <row r="103" spans="1:11" ht="13.5" customHeight="1">
      <c r="A103" s="60">
        <v>12</v>
      </c>
      <c r="B103" s="33">
        <v>252982.92</v>
      </c>
      <c r="C103" s="33">
        <v>161862.51999999999</v>
      </c>
      <c r="D103" s="33">
        <v>52927.45</v>
      </c>
      <c r="E103" s="33">
        <v>85807.37</v>
      </c>
      <c r="F103" s="33">
        <v>7586.99</v>
      </c>
      <c r="G103" s="33">
        <v>91120.4</v>
      </c>
      <c r="H103" s="33">
        <v>40039.68</v>
      </c>
      <c r="I103" s="33">
        <v>12582.73</v>
      </c>
      <c r="J103" s="74">
        <v>16978.45</v>
      </c>
      <c r="K103" s="13"/>
    </row>
    <row r="104" spans="1:11" ht="13.5" customHeight="1">
      <c r="A104" s="60"/>
      <c r="B104" s="33"/>
      <c r="C104" s="33"/>
      <c r="D104" s="33"/>
      <c r="E104" s="33"/>
      <c r="F104" s="33"/>
      <c r="G104" s="33"/>
      <c r="H104" s="33"/>
      <c r="I104" s="33"/>
      <c r="J104" s="74"/>
      <c r="K104" s="13"/>
    </row>
    <row r="105" spans="1:11" ht="13.5" customHeight="1">
      <c r="A105" s="60">
        <v>2024.1</v>
      </c>
      <c r="B105" s="33">
        <v>253095.84</v>
      </c>
      <c r="C105" s="33">
        <v>162137.23000000001</v>
      </c>
      <c r="D105" s="33">
        <v>53328.4</v>
      </c>
      <c r="E105" s="33">
        <v>85929.67</v>
      </c>
      <c r="F105" s="33">
        <v>7757.01</v>
      </c>
      <c r="G105" s="33">
        <v>90958.61</v>
      </c>
      <c r="H105" s="33">
        <v>40145.15</v>
      </c>
      <c r="I105" s="33">
        <v>13072.54</v>
      </c>
      <c r="J105" s="74">
        <v>17070.73</v>
      </c>
      <c r="K105" s="13"/>
    </row>
    <row r="106" spans="1:11" ht="13.5" customHeight="1">
      <c r="A106" s="60">
        <v>2</v>
      </c>
      <c r="B106" s="33">
        <v>253044.28</v>
      </c>
      <c r="C106" s="33">
        <v>162826.26</v>
      </c>
      <c r="D106" s="33">
        <v>53763.93</v>
      </c>
      <c r="E106" s="33">
        <v>86009.05</v>
      </c>
      <c r="F106" s="33">
        <v>7782.27</v>
      </c>
      <c r="G106" s="33">
        <v>90218.02</v>
      </c>
      <c r="H106" s="33">
        <v>39617.300000000003</v>
      </c>
      <c r="I106" s="33">
        <v>13061.69</v>
      </c>
      <c r="J106" s="74">
        <v>16945.95</v>
      </c>
      <c r="K106" s="13"/>
    </row>
    <row r="107" spans="1:11" ht="13.5" customHeight="1">
      <c r="A107" s="60">
        <v>3</v>
      </c>
      <c r="B107" s="33">
        <v>252446.75</v>
      </c>
      <c r="C107" s="33">
        <v>162526.79</v>
      </c>
      <c r="D107" s="33">
        <v>53839.06</v>
      </c>
      <c r="E107" s="33">
        <v>85573.92</v>
      </c>
      <c r="F107" s="33">
        <v>7938.85</v>
      </c>
      <c r="G107" s="33">
        <v>89919.96</v>
      </c>
      <c r="H107" s="33">
        <v>39379.43</v>
      </c>
      <c r="I107" s="33">
        <v>13118.14</v>
      </c>
      <c r="J107" s="74">
        <v>16729.71</v>
      </c>
      <c r="K107" s="13"/>
    </row>
    <row r="108" spans="1:11" ht="13.5" customHeight="1">
      <c r="A108" s="60"/>
      <c r="B108" s="33"/>
      <c r="C108" s="33"/>
      <c r="D108" s="33"/>
      <c r="E108" s="33"/>
      <c r="F108" s="33"/>
      <c r="G108" s="33"/>
      <c r="H108" s="33"/>
      <c r="I108" s="33"/>
      <c r="J108" s="74"/>
      <c r="K108" s="13"/>
    </row>
    <row r="109" spans="1:11" ht="13.5" customHeight="1">
      <c r="A109" s="60">
        <v>4</v>
      </c>
      <c r="B109" s="33">
        <v>253386.75</v>
      </c>
      <c r="C109" s="33">
        <v>163134.29999999999</v>
      </c>
      <c r="D109" s="33">
        <v>54159.38</v>
      </c>
      <c r="E109" s="33">
        <v>85806.58</v>
      </c>
      <c r="F109" s="33">
        <v>7974.01</v>
      </c>
      <c r="G109" s="33">
        <v>90252.45</v>
      </c>
      <c r="H109" s="33">
        <v>39416.370000000003</v>
      </c>
      <c r="I109" s="33">
        <v>13191.45</v>
      </c>
      <c r="J109" s="74">
        <v>16832.66</v>
      </c>
      <c r="K109" s="13"/>
    </row>
    <row r="110" spans="1:11" ht="13.5" customHeight="1">
      <c r="A110" s="60">
        <v>5</v>
      </c>
      <c r="B110" s="33">
        <v>255324.58</v>
      </c>
      <c r="C110" s="33">
        <v>164327.01999999999</v>
      </c>
      <c r="D110" s="33">
        <v>54785.599999999999</v>
      </c>
      <c r="E110" s="33">
        <v>85972.72</v>
      </c>
      <c r="F110" s="33">
        <v>8246.24</v>
      </c>
      <c r="G110" s="33">
        <v>90997.56</v>
      </c>
      <c r="H110" s="33">
        <v>39729.040000000001</v>
      </c>
      <c r="I110" s="33">
        <v>13221.14</v>
      </c>
      <c r="J110" s="74">
        <v>17117.009999999998</v>
      </c>
      <c r="K110" s="13"/>
    </row>
    <row r="111" spans="1:11" ht="13.5" customHeight="1">
      <c r="A111" s="60">
        <v>6</v>
      </c>
      <c r="B111" s="33">
        <v>255281.66</v>
      </c>
      <c r="C111" s="33">
        <v>164859.78</v>
      </c>
      <c r="D111" s="33">
        <v>54789.07</v>
      </c>
      <c r="E111" s="33">
        <v>87091.58</v>
      </c>
      <c r="F111" s="33">
        <v>8263.2199999999993</v>
      </c>
      <c r="G111" s="33">
        <v>90421.88</v>
      </c>
      <c r="H111" s="33">
        <v>39580.339999999997</v>
      </c>
      <c r="I111" s="33">
        <v>13236.27</v>
      </c>
      <c r="J111" s="74">
        <v>17032.23</v>
      </c>
      <c r="K111" s="13"/>
    </row>
    <row r="112" spans="1:11" ht="13.5" customHeight="1">
      <c r="A112" s="60"/>
      <c r="B112" s="33"/>
      <c r="C112" s="33"/>
      <c r="D112" s="33"/>
      <c r="E112" s="33"/>
      <c r="F112" s="33"/>
      <c r="G112" s="33"/>
      <c r="H112" s="33"/>
      <c r="I112" s="33"/>
      <c r="J112" s="74"/>
      <c r="K112" s="13"/>
    </row>
    <row r="113" spans="1:11" ht="13.5" customHeight="1">
      <c r="A113" s="60">
        <v>7</v>
      </c>
      <c r="B113" s="33">
        <v>258189.66</v>
      </c>
      <c r="C113" s="33">
        <v>167169.20000000001</v>
      </c>
      <c r="D113" s="33">
        <v>55919.93</v>
      </c>
      <c r="E113" s="33">
        <v>88117.75</v>
      </c>
      <c r="F113" s="33">
        <v>8386.18</v>
      </c>
      <c r="G113" s="33">
        <v>91020.46</v>
      </c>
      <c r="H113" s="33">
        <v>39939.53</v>
      </c>
      <c r="I113" s="33">
        <v>13323.39</v>
      </c>
      <c r="J113" s="74">
        <v>17080.75</v>
      </c>
      <c r="K113" s="13"/>
    </row>
    <row r="114" spans="1:11" ht="13.5" customHeight="1">
      <c r="A114" s="60">
        <v>8</v>
      </c>
      <c r="B114" s="33">
        <v>258987.82</v>
      </c>
      <c r="C114" s="33">
        <v>167936.35</v>
      </c>
      <c r="D114" s="33">
        <v>56073.91</v>
      </c>
      <c r="E114" s="33">
        <v>88937.51</v>
      </c>
      <c r="F114" s="33">
        <v>8289.99</v>
      </c>
      <c r="G114" s="33">
        <v>91051.47</v>
      </c>
      <c r="H114" s="33">
        <v>40088.870000000003</v>
      </c>
      <c r="I114" s="33">
        <v>13388.34</v>
      </c>
      <c r="J114" s="74">
        <v>17079.14</v>
      </c>
      <c r="K114" s="13"/>
    </row>
    <row r="115" spans="1:11" ht="13.5" customHeight="1">
      <c r="A115" s="60">
        <v>9</v>
      </c>
      <c r="B115" s="33">
        <v>259776.98</v>
      </c>
      <c r="C115" s="33">
        <v>168352.39</v>
      </c>
      <c r="D115" s="33">
        <v>56285.04</v>
      </c>
      <c r="E115" s="33">
        <v>89221.57</v>
      </c>
      <c r="F115" s="33">
        <v>8235.7199999999993</v>
      </c>
      <c r="G115" s="33">
        <v>91424.59</v>
      </c>
      <c r="H115" s="33">
        <v>40411.67</v>
      </c>
      <c r="I115" s="33">
        <v>13498.27</v>
      </c>
      <c r="J115" s="74">
        <v>17110.43</v>
      </c>
      <c r="K115" s="13"/>
    </row>
    <row r="116" spans="1:11" ht="13.5" customHeight="1">
      <c r="A116" s="60"/>
      <c r="B116" s="33"/>
      <c r="C116" s="33"/>
      <c r="D116" s="33"/>
      <c r="E116" s="33"/>
      <c r="F116" s="33"/>
      <c r="G116" s="33"/>
      <c r="H116" s="33"/>
      <c r="I116" s="33"/>
      <c r="J116" s="74"/>
      <c r="K116" s="13"/>
    </row>
    <row r="117" spans="1:11" ht="13.5" customHeight="1">
      <c r="A117" s="60">
        <v>10</v>
      </c>
      <c r="B117" s="33">
        <v>261674.3</v>
      </c>
      <c r="C117" s="33">
        <v>169462.33</v>
      </c>
      <c r="D117" s="33">
        <v>56698.85</v>
      </c>
      <c r="E117" s="33">
        <v>89444.38</v>
      </c>
      <c r="F117" s="33">
        <v>8339.2199999999993</v>
      </c>
      <c r="G117" s="33">
        <v>92211.97</v>
      </c>
      <c r="H117" s="33">
        <v>40511.9</v>
      </c>
      <c r="I117" s="33">
        <v>13748.32</v>
      </c>
      <c r="J117" s="74">
        <v>17102.53</v>
      </c>
      <c r="K117" s="13"/>
    </row>
    <row r="118" spans="1:11" ht="13.5" customHeight="1">
      <c r="A118" s="60">
        <v>11</v>
      </c>
      <c r="B118" s="33">
        <v>261413.15</v>
      </c>
      <c r="C118" s="33">
        <v>170081.7</v>
      </c>
      <c r="D118" s="33">
        <v>57063.6</v>
      </c>
      <c r="E118" s="33">
        <v>89805.02</v>
      </c>
      <c r="F118" s="33">
        <v>8261.73</v>
      </c>
      <c r="G118" s="33">
        <v>91331.45</v>
      </c>
      <c r="H118" s="33">
        <v>39716.629999999997</v>
      </c>
      <c r="I118" s="33">
        <v>13743.58</v>
      </c>
      <c r="J118" s="74">
        <v>17066.59</v>
      </c>
      <c r="K118" s="13"/>
    </row>
    <row r="119" spans="1:11" ht="13.5" customHeight="1">
      <c r="A119" s="194">
        <v>12</v>
      </c>
      <c r="B119" s="203">
        <v>261436.54</v>
      </c>
      <c r="C119" s="203">
        <v>170188.79999999999</v>
      </c>
      <c r="D119" s="203">
        <v>57033</v>
      </c>
      <c r="E119" s="203">
        <v>89296.04</v>
      </c>
      <c r="F119" s="203">
        <v>8427.7000000000007</v>
      </c>
      <c r="G119" s="203">
        <v>91247.74</v>
      </c>
      <c r="H119" s="203">
        <v>39534.49</v>
      </c>
      <c r="I119" s="203">
        <v>13633.72</v>
      </c>
      <c r="J119" s="204">
        <v>16992.439999999999</v>
      </c>
      <c r="K119" s="13"/>
    </row>
    <row r="120" spans="1:11" ht="13.5" customHeight="1">
      <c r="A120" s="194"/>
      <c r="B120" s="203"/>
      <c r="C120" s="203"/>
      <c r="D120" s="203"/>
      <c r="E120" s="203"/>
      <c r="F120" s="203"/>
      <c r="G120" s="203"/>
      <c r="H120" s="203"/>
      <c r="I120" s="203"/>
      <c r="J120" s="204"/>
      <c r="K120" s="13"/>
    </row>
    <row r="121" spans="1:11" ht="13.5" customHeight="1">
      <c r="A121" s="60">
        <v>2025.1</v>
      </c>
      <c r="B121" s="33">
        <v>261937.66</v>
      </c>
      <c r="C121" s="33">
        <v>170386.57</v>
      </c>
      <c r="D121" s="33">
        <v>58692.63</v>
      </c>
      <c r="E121" s="33">
        <v>89483.64</v>
      </c>
      <c r="F121" s="33">
        <v>7263.48</v>
      </c>
      <c r="G121" s="33">
        <v>91551.09</v>
      </c>
      <c r="H121" s="33">
        <v>39845.519999999997</v>
      </c>
      <c r="I121" s="33">
        <v>14358.8</v>
      </c>
      <c r="J121" s="74">
        <v>16924.3</v>
      </c>
      <c r="K121" s="13"/>
    </row>
    <row r="122" spans="1:11" ht="13.5" customHeight="1">
      <c r="A122" s="60">
        <v>2</v>
      </c>
      <c r="B122" s="33">
        <v>263759.58</v>
      </c>
      <c r="C122" s="33">
        <v>171450.25</v>
      </c>
      <c r="D122" s="33">
        <v>58813.07</v>
      </c>
      <c r="E122" s="33">
        <v>90164.44</v>
      </c>
      <c r="F122" s="33">
        <v>7304.74</v>
      </c>
      <c r="G122" s="33">
        <v>92309.33</v>
      </c>
      <c r="H122" s="33">
        <v>40458.79</v>
      </c>
      <c r="I122" s="33">
        <v>14403.3</v>
      </c>
      <c r="J122" s="74">
        <v>16880.97</v>
      </c>
      <c r="K122" s="13"/>
    </row>
    <row r="123" spans="1:11" ht="13.5" customHeight="1">
      <c r="A123" s="60">
        <v>3</v>
      </c>
      <c r="B123" s="33">
        <v>265014.74</v>
      </c>
      <c r="C123" s="33">
        <v>172670.24</v>
      </c>
      <c r="D123" s="33">
        <v>59261.87</v>
      </c>
      <c r="E123" s="33">
        <v>91029.15</v>
      </c>
      <c r="F123" s="33">
        <v>7252.26</v>
      </c>
      <c r="G123" s="33">
        <v>92344.5</v>
      </c>
      <c r="H123" s="33">
        <v>40520.449999999997</v>
      </c>
      <c r="I123" s="33">
        <v>14356.27</v>
      </c>
      <c r="J123" s="74">
        <v>16900.03</v>
      </c>
      <c r="K123" s="13"/>
    </row>
    <row r="124" spans="1:11" ht="13.5" customHeight="1">
      <c r="A124" s="60"/>
      <c r="B124" s="33"/>
      <c r="C124" s="33"/>
      <c r="D124" s="33"/>
      <c r="E124" s="33"/>
      <c r="F124" s="33"/>
      <c r="G124" s="33"/>
      <c r="H124" s="33"/>
      <c r="I124" s="33"/>
      <c r="J124" s="74"/>
      <c r="K124" s="13"/>
    </row>
    <row r="125" spans="1:11" ht="13.5" customHeight="1">
      <c r="A125" s="60">
        <v>4</v>
      </c>
      <c r="B125" s="33">
        <v>266736.59999999998</v>
      </c>
      <c r="C125" s="33">
        <v>174034.29</v>
      </c>
      <c r="D125" s="33">
        <v>59062.22</v>
      </c>
      <c r="E125" s="33">
        <v>92480.93</v>
      </c>
      <c r="F125" s="33">
        <v>7259.14</v>
      </c>
      <c r="G125" s="33">
        <v>92702.31</v>
      </c>
      <c r="H125" s="33">
        <v>40679.89</v>
      </c>
      <c r="I125" s="33">
        <v>14378.33</v>
      </c>
      <c r="J125" s="74">
        <v>17010.2</v>
      </c>
      <c r="K125" s="13"/>
    </row>
    <row r="126" spans="1:11" ht="13.5" customHeight="1">
      <c r="A126" s="60">
        <v>5</v>
      </c>
      <c r="B126" s="33">
        <v>268098.43</v>
      </c>
      <c r="C126" s="33">
        <v>174936.5</v>
      </c>
      <c r="D126" s="33">
        <v>59151.05</v>
      </c>
      <c r="E126" s="33">
        <v>93041.49</v>
      </c>
      <c r="F126" s="33">
        <v>7288.79</v>
      </c>
      <c r="G126" s="33">
        <v>93161.93</v>
      </c>
      <c r="H126" s="33">
        <v>40770.589999999997</v>
      </c>
      <c r="I126" s="33">
        <v>14473.61</v>
      </c>
      <c r="J126" s="74">
        <v>16974.29</v>
      </c>
      <c r="K126" s="13"/>
    </row>
    <row r="127" spans="1:11" ht="13.5" customHeight="1">
      <c r="A127" s="60">
        <v>6</v>
      </c>
      <c r="B127" s="33">
        <v>268338.56</v>
      </c>
      <c r="C127" s="33">
        <v>175588.98</v>
      </c>
      <c r="D127" s="33">
        <v>59291.49</v>
      </c>
      <c r="E127" s="33">
        <v>94094.73</v>
      </c>
      <c r="F127" s="33">
        <v>7225.18</v>
      </c>
      <c r="G127" s="33">
        <v>92749.58</v>
      </c>
      <c r="H127" s="33">
        <v>40535.35</v>
      </c>
      <c r="I127" s="33">
        <v>14465.81</v>
      </c>
      <c r="J127" s="74">
        <v>17007.669999999998</v>
      </c>
      <c r="K127" s="13"/>
    </row>
    <row r="128" spans="1:11" ht="13.5" customHeight="1">
      <c r="A128" s="60"/>
      <c r="B128" s="33"/>
      <c r="C128" s="33"/>
      <c r="D128" s="33"/>
      <c r="E128" s="33"/>
      <c r="F128" s="33"/>
      <c r="G128" s="33"/>
      <c r="H128" s="33"/>
      <c r="I128" s="33"/>
      <c r="J128" s="74"/>
      <c r="K128" s="13"/>
    </row>
    <row r="129" spans="1:11" ht="13.5" customHeight="1">
      <c r="A129" s="60">
        <v>7</v>
      </c>
      <c r="B129" s="33">
        <v>269044.84000000003</v>
      </c>
      <c r="C129" s="33">
        <v>176149.16</v>
      </c>
      <c r="D129" s="33">
        <v>59292.45</v>
      </c>
      <c r="E129" s="33">
        <v>94658.65</v>
      </c>
      <c r="F129" s="33">
        <v>7247.66</v>
      </c>
      <c r="G129" s="33">
        <v>92895.679999999993</v>
      </c>
      <c r="H129" s="33">
        <v>40553.230000000003</v>
      </c>
      <c r="I129" s="33">
        <v>14499.18</v>
      </c>
      <c r="J129" s="74">
        <v>17026.29</v>
      </c>
      <c r="K129" s="13"/>
    </row>
    <row r="130" spans="1:11" ht="13.5" customHeight="1">
      <c r="A130" s="60">
        <v>8</v>
      </c>
      <c r="B130" s="33">
        <v>269592.46999999997</v>
      </c>
      <c r="C130" s="33">
        <v>176719.4</v>
      </c>
      <c r="D130" s="33">
        <v>60115.6</v>
      </c>
      <c r="E130" s="33">
        <v>94774.18</v>
      </c>
      <c r="F130" s="33">
        <v>7086.99</v>
      </c>
      <c r="G130" s="33">
        <v>92873.07</v>
      </c>
      <c r="H130" s="33">
        <v>40459.620000000003</v>
      </c>
      <c r="I130" s="33">
        <v>14511.89</v>
      </c>
      <c r="J130" s="74">
        <v>17041.87</v>
      </c>
      <c r="K130" s="13"/>
    </row>
    <row r="131" spans="1:11" ht="13.5" customHeight="1">
      <c r="A131" s="60">
        <v>9</v>
      </c>
      <c r="B131" s="33">
        <v>269058.27</v>
      </c>
      <c r="C131" s="33">
        <v>176482.47</v>
      </c>
      <c r="D131" s="33">
        <v>60339.55</v>
      </c>
      <c r="E131" s="33">
        <v>94482.7</v>
      </c>
      <c r="F131" s="33">
        <v>7041.75</v>
      </c>
      <c r="G131" s="33">
        <v>92575.8</v>
      </c>
      <c r="H131" s="33">
        <v>40425.29</v>
      </c>
      <c r="I131" s="33">
        <v>14441.29</v>
      </c>
      <c r="J131" s="74">
        <v>17030.509999999998</v>
      </c>
      <c r="K131" s="13"/>
    </row>
    <row r="132" spans="1:11" ht="13.5" customHeight="1">
      <c r="A132" s="60"/>
      <c r="B132" s="33"/>
      <c r="C132" s="33"/>
      <c r="D132" s="33"/>
      <c r="E132" s="33"/>
      <c r="F132" s="33"/>
      <c r="G132" s="33"/>
      <c r="H132" s="33"/>
      <c r="I132" s="33"/>
      <c r="J132" s="74"/>
      <c r="K132" s="13"/>
    </row>
    <row r="133" spans="1:11" ht="13.5" customHeight="1">
      <c r="A133" s="60">
        <v>10</v>
      </c>
      <c r="B133" s="33">
        <v>271251.36</v>
      </c>
      <c r="C133" s="33">
        <v>178427.05</v>
      </c>
      <c r="D133" s="33">
        <v>61557.67</v>
      </c>
      <c r="E133" s="33">
        <v>94873.36</v>
      </c>
      <c r="F133" s="33">
        <v>7118.39</v>
      </c>
      <c r="G133" s="33">
        <v>92824.31</v>
      </c>
      <c r="H133" s="33">
        <v>40544.76</v>
      </c>
      <c r="I133" s="33">
        <v>14392.34</v>
      </c>
      <c r="J133" s="74">
        <v>17008.73</v>
      </c>
      <c r="K133" s="13"/>
    </row>
    <row r="134" spans="1:11" ht="13.5" customHeight="1">
      <c r="A134" s="60">
        <v>11</v>
      </c>
      <c r="B134" s="33">
        <v>272721.91999999998</v>
      </c>
      <c r="C134" s="33">
        <v>179828.23</v>
      </c>
      <c r="D134" s="33">
        <v>62491.27</v>
      </c>
      <c r="E134" s="33">
        <v>95250.03</v>
      </c>
      <c r="F134" s="33">
        <v>7178.94</v>
      </c>
      <c r="G134" s="33">
        <v>92893.69</v>
      </c>
      <c r="H134" s="33">
        <v>40571.120000000003</v>
      </c>
      <c r="I134" s="33">
        <v>14461.65</v>
      </c>
      <c r="J134" s="74">
        <v>16940.09</v>
      </c>
      <c r="K134" s="13"/>
    </row>
    <row r="135" spans="1:11" ht="13.5" customHeight="1">
      <c r="A135" s="194" t="s">
        <v>213</v>
      </c>
      <c r="B135" s="203">
        <v>274874.90999999997</v>
      </c>
      <c r="C135" s="203">
        <v>181878.47</v>
      </c>
      <c r="D135" s="203">
        <v>63101.49</v>
      </c>
      <c r="E135" s="203">
        <v>96252.45</v>
      </c>
      <c r="F135" s="203">
        <v>7233.31</v>
      </c>
      <c r="G135" s="203">
        <v>92996.44</v>
      </c>
      <c r="H135" s="203">
        <v>40397.01</v>
      </c>
      <c r="I135" s="203">
        <v>14447.87</v>
      </c>
      <c r="J135" s="204">
        <v>16965.95</v>
      </c>
      <c r="K135" s="13"/>
    </row>
    <row r="136" spans="1:11" ht="13.5" customHeight="1">
      <c r="A136" s="60"/>
      <c r="B136" s="33"/>
      <c r="C136" s="33"/>
      <c r="D136" s="33"/>
      <c r="E136" s="33"/>
      <c r="F136" s="33"/>
      <c r="G136" s="33"/>
      <c r="H136" s="33"/>
      <c r="I136" s="33"/>
      <c r="J136" s="74"/>
      <c r="K136" s="13"/>
    </row>
    <row r="137" spans="1:11" ht="13.5" customHeight="1">
      <c r="A137" s="194" t="s">
        <v>266</v>
      </c>
      <c r="B137" s="203">
        <v>274512.5</v>
      </c>
      <c r="C137" s="203">
        <v>181870.17</v>
      </c>
      <c r="D137" s="203">
        <v>63235.72</v>
      </c>
      <c r="E137" s="203">
        <v>96200</v>
      </c>
      <c r="F137" s="203">
        <v>7213.15</v>
      </c>
      <c r="G137" s="203">
        <v>92642.33</v>
      </c>
      <c r="H137" s="203">
        <v>40436.28</v>
      </c>
      <c r="I137" s="203">
        <v>14359.05</v>
      </c>
      <c r="J137" s="204">
        <v>16999.79</v>
      </c>
    </row>
    <row r="138" spans="1:11" s="130" customFormat="1" ht="13.5" customHeight="1">
      <c r="A138" s="194" t="s">
        <v>215</v>
      </c>
      <c r="B138" s="203">
        <v>275015.94</v>
      </c>
      <c r="C138" s="203">
        <v>182276.67</v>
      </c>
      <c r="D138" s="203">
        <v>63555.27</v>
      </c>
      <c r="E138" s="203">
        <v>96373.82</v>
      </c>
      <c r="F138" s="203">
        <v>7192.83</v>
      </c>
      <c r="G138" s="203">
        <v>92739.27</v>
      </c>
      <c r="H138" s="203">
        <v>40536.699999999997</v>
      </c>
      <c r="I138" s="203">
        <v>14375.78</v>
      </c>
      <c r="J138" s="204">
        <v>17028.5</v>
      </c>
    </row>
    <row r="139" spans="1:11" s="11" customFormat="1" ht="13.5" customHeight="1">
      <c r="A139" s="195" t="s">
        <v>265</v>
      </c>
      <c r="B139" s="198">
        <v>275282.55</v>
      </c>
      <c r="C139" s="198">
        <v>182382.98</v>
      </c>
      <c r="D139" s="198">
        <v>63688.9</v>
      </c>
      <c r="E139" s="198">
        <v>96524.23</v>
      </c>
      <c r="F139" s="198">
        <v>7176.35</v>
      </c>
      <c r="G139" s="198">
        <v>92899.57</v>
      </c>
      <c r="H139" s="198">
        <v>40685.769999999997</v>
      </c>
      <c r="I139" s="198">
        <v>14417.61</v>
      </c>
      <c r="J139" s="200">
        <v>17145.07</v>
      </c>
    </row>
    <row r="140" spans="1:11" ht="14.25" customHeight="1">
      <c r="A140" s="36" t="s">
        <v>102</v>
      </c>
      <c r="B140" s="11"/>
      <c r="C140" s="11"/>
      <c r="D140" s="11"/>
      <c r="E140" s="11"/>
      <c r="F140" s="11"/>
      <c r="G140" s="11"/>
      <c r="H140" s="11"/>
      <c r="I140" s="11"/>
      <c r="J140" s="11"/>
    </row>
    <row r="141" spans="1:11">
      <c r="A141" s="36" t="s">
        <v>146</v>
      </c>
      <c r="B141" s="11"/>
      <c r="C141" s="11"/>
      <c r="D141" s="11"/>
      <c r="E141" s="11"/>
      <c r="F141" s="11"/>
      <c r="G141" s="11"/>
      <c r="H141" s="11"/>
      <c r="I141" s="11"/>
      <c r="J141" s="11"/>
    </row>
  </sheetData>
  <mergeCells count="6">
    <mergeCell ref="A1:G1"/>
    <mergeCell ref="A5:A7"/>
    <mergeCell ref="B5:B7"/>
    <mergeCell ref="C5:J5"/>
    <mergeCell ref="C6:C7"/>
    <mergeCell ref="G6:G7"/>
  </mergeCells>
  <phoneticPr fontId="9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3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  <pageSetUpPr fitToPage="1"/>
  </sheetPr>
  <dimension ref="A1:S140"/>
  <sheetViews>
    <sheetView topLeftCell="A4" zoomScale="85" zoomScaleNormal="85" workbookViewId="0">
      <pane xSplit="1" ySplit="4" topLeftCell="B116" activePane="bottomRight" state="frozen"/>
      <selection activeCell="E91" sqref="E91"/>
      <selection pane="topRight" activeCell="E91" sqref="E91"/>
      <selection pane="bottomLeft" activeCell="E91" sqref="E91"/>
      <selection pane="bottomRight" activeCell="A139" sqref="A139:I139"/>
    </sheetView>
  </sheetViews>
  <sheetFormatPr defaultColWidth="8.88671875" defaultRowHeight="13.5"/>
  <cols>
    <col min="1" max="1" width="10.77734375" style="12" customWidth="1"/>
    <col min="2" max="9" width="9.77734375" style="12" customWidth="1"/>
    <col min="10" max="10" width="11.5546875" style="12" bestFit="1" customWidth="1"/>
    <col min="11" max="11" width="10.21875" style="12" bestFit="1" customWidth="1"/>
    <col min="12" max="16384" width="8.88671875" style="12"/>
  </cols>
  <sheetData>
    <row r="1" spans="1:9" ht="18" customHeight="1">
      <c r="A1" s="278" t="s">
        <v>113</v>
      </c>
      <c r="B1" s="278"/>
      <c r="C1" s="278"/>
      <c r="D1" s="278"/>
      <c r="E1" s="278"/>
      <c r="F1" s="278"/>
      <c r="G1" s="278"/>
      <c r="H1" s="278"/>
      <c r="I1" s="278"/>
    </row>
    <row r="2" spans="1:9">
      <c r="A2" s="47"/>
      <c r="B2" s="47"/>
      <c r="C2" s="47"/>
      <c r="D2" s="47"/>
      <c r="E2" s="47"/>
      <c r="F2" s="47"/>
      <c r="G2" s="47"/>
      <c r="H2" s="47"/>
      <c r="I2" s="47"/>
    </row>
    <row r="3" spans="1:9">
      <c r="A3" s="106"/>
      <c r="B3" s="47"/>
      <c r="C3" s="47"/>
      <c r="D3" s="47"/>
      <c r="E3" s="47"/>
      <c r="F3" s="47"/>
      <c r="G3" s="47"/>
      <c r="H3" s="47"/>
      <c r="I3" s="47"/>
    </row>
    <row r="4" spans="1:9">
      <c r="A4" s="52" t="s">
        <v>114</v>
      </c>
      <c r="B4" s="106"/>
      <c r="C4" s="106"/>
      <c r="D4" s="106"/>
      <c r="E4" s="106"/>
      <c r="F4" s="106"/>
      <c r="G4" s="106"/>
      <c r="H4" s="106"/>
      <c r="I4" s="106"/>
    </row>
    <row r="5" spans="1:9" ht="17.25" customHeight="1">
      <c r="A5" s="1" t="s">
        <v>98</v>
      </c>
      <c r="B5" s="1"/>
      <c r="C5" s="50"/>
      <c r="D5" s="50"/>
      <c r="E5" s="50"/>
      <c r="F5" s="50"/>
      <c r="G5" s="4"/>
      <c r="H5" s="4"/>
      <c r="I5" s="4" t="s">
        <v>92</v>
      </c>
    </row>
    <row r="6" spans="1:9" ht="18.75" customHeight="1">
      <c r="A6" s="276" t="s">
        <v>1</v>
      </c>
      <c r="B6" s="335" t="s">
        <v>188</v>
      </c>
      <c r="C6" s="301"/>
      <c r="D6" s="301"/>
      <c r="E6" s="301"/>
      <c r="F6" s="301"/>
      <c r="G6" s="301"/>
      <c r="H6" s="301"/>
      <c r="I6" s="301"/>
    </row>
    <row r="7" spans="1:9" s="25" customFormat="1" ht="26.25" customHeight="1">
      <c r="A7" s="277"/>
      <c r="B7" s="24" t="s">
        <v>2</v>
      </c>
      <c r="C7" s="17" t="s">
        <v>186</v>
      </c>
      <c r="D7" s="6" t="s">
        <v>204</v>
      </c>
      <c r="E7" s="17" t="s">
        <v>12</v>
      </c>
      <c r="F7" s="17" t="s">
        <v>13</v>
      </c>
      <c r="G7" s="6" t="s">
        <v>14</v>
      </c>
      <c r="H7" s="17" t="s">
        <v>15</v>
      </c>
      <c r="I7" s="202" t="s">
        <v>187</v>
      </c>
    </row>
    <row r="8" spans="1:9" s="31" customFormat="1" ht="13.5" customHeight="1">
      <c r="A8" s="72" t="s">
        <v>50</v>
      </c>
      <c r="B8" s="33">
        <v>203833.17</v>
      </c>
      <c r="C8" s="33">
        <v>15996.14</v>
      </c>
      <c r="D8" s="33">
        <v>9363.7800000000007</v>
      </c>
      <c r="E8" s="33">
        <v>957.75</v>
      </c>
      <c r="F8" s="33">
        <v>19242.22</v>
      </c>
      <c r="G8" s="33">
        <v>101957.79</v>
      </c>
      <c r="H8" s="33">
        <v>28958.11</v>
      </c>
      <c r="I8" s="74">
        <v>27357.38</v>
      </c>
    </row>
    <row r="9" spans="1:9" s="31" customFormat="1" ht="13.5" customHeight="1">
      <c r="A9" s="72" t="s">
        <v>81</v>
      </c>
      <c r="B9" s="33">
        <v>215171.79</v>
      </c>
      <c r="C9" s="33">
        <v>15726.23</v>
      </c>
      <c r="D9" s="33">
        <v>12382.06</v>
      </c>
      <c r="E9" s="33">
        <v>586.83000000000004</v>
      </c>
      <c r="F9" s="33">
        <v>19787.14</v>
      </c>
      <c r="G9" s="33">
        <v>108030.93</v>
      </c>
      <c r="H9" s="33">
        <v>30247.57</v>
      </c>
      <c r="I9" s="74">
        <v>28411.02</v>
      </c>
    </row>
    <row r="10" spans="1:9" s="31" customFormat="1" ht="13.5" customHeight="1">
      <c r="A10" s="72" t="s">
        <v>86</v>
      </c>
      <c r="B10" s="33">
        <v>225661.27</v>
      </c>
      <c r="C10" s="33">
        <v>16385.68</v>
      </c>
      <c r="D10" s="33">
        <v>14535.25</v>
      </c>
      <c r="E10" s="33">
        <v>668.53</v>
      </c>
      <c r="F10" s="33">
        <v>20375.169999999998</v>
      </c>
      <c r="G10" s="33">
        <v>115014.66</v>
      </c>
      <c r="H10" s="33">
        <v>31930.23</v>
      </c>
      <c r="I10" s="74">
        <v>26751.759999999998</v>
      </c>
    </row>
    <row r="11" spans="1:9" s="31" customFormat="1" ht="13.5" customHeight="1">
      <c r="A11" s="72" t="s">
        <v>130</v>
      </c>
      <c r="B11" s="33">
        <v>240383.27</v>
      </c>
      <c r="C11" s="33">
        <v>17960.52</v>
      </c>
      <c r="D11" s="33">
        <v>17954.7</v>
      </c>
      <c r="E11" s="33">
        <v>715.17</v>
      </c>
      <c r="F11" s="33">
        <v>21751.119999999999</v>
      </c>
      <c r="G11" s="33">
        <v>122486.82</v>
      </c>
      <c r="H11" s="33">
        <v>33570.03</v>
      </c>
      <c r="I11" s="74">
        <v>25944.91</v>
      </c>
    </row>
    <row r="12" spans="1:9" s="31" customFormat="1" ht="13.5" customHeight="1">
      <c r="A12" s="72"/>
      <c r="B12" s="33"/>
      <c r="C12" s="33"/>
      <c r="D12" s="33"/>
      <c r="E12" s="33"/>
      <c r="F12" s="33"/>
      <c r="G12" s="33"/>
      <c r="H12" s="33"/>
      <c r="I12" s="74"/>
    </row>
    <row r="13" spans="1:9" s="31" customFormat="1" ht="13.5" customHeight="1">
      <c r="A13" s="92" t="s">
        <v>135</v>
      </c>
      <c r="B13" s="33">
        <v>267355.03000000003</v>
      </c>
      <c r="C13" s="33">
        <v>18781.18</v>
      </c>
      <c r="D13" s="33">
        <v>28340.92</v>
      </c>
      <c r="E13" s="33">
        <v>838.38</v>
      </c>
      <c r="F13" s="33">
        <v>23387.360000000001</v>
      </c>
      <c r="G13" s="33">
        <v>129832.85</v>
      </c>
      <c r="H13" s="33">
        <v>35585.589999999997</v>
      </c>
      <c r="I13" s="74">
        <v>30588.75</v>
      </c>
    </row>
    <row r="14" spans="1:9" s="31" customFormat="1" ht="13.5" customHeight="1">
      <c r="A14" s="92" t="s">
        <v>142</v>
      </c>
      <c r="B14" s="33">
        <v>276213.01338377001</v>
      </c>
      <c r="C14" s="33">
        <v>17155.490714070002</v>
      </c>
      <c r="D14" s="33">
        <v>27391.292669700004</v>
      </c>
      <c r="E14" s="33">
        <v>1176.77</v>
      </c>
      <c r="F14" s="33">
        <v>25557.16</v>
      </c>
      <c r="G14" s="33">
        <v>137173.91</v>
      </c>
      <c r="H14" s="33">
        <v>38590.089999999997</v>
      </c>
      <c r="I14" s="74">
        <v>29168.3</v>
      </c>
    </row>
    <row r="15" spans="1:9" s="31" customFormat="1" ht="13.5" customHeight="1">
      <c r="A15" s="92" t="s">
        <v>148</v>
      </c>
      <c r="B15" s="33">
        <v>308084.74</v>
      </c>
      <c r="C15" s="33">
        <v>16534.099999999999</v>
      </c>
      <c r="D15" s="33">
        <v>37271.43</v>
      </c>
      <c r="E15" s="33">
        <v>1564.39</v>
      </c>
      <c r="F15" s="33">
        <v>27448.29</v>
      </c>
      <c r="G15" s="33">
        <v>143699.79999999999</v>
      </c>
      <c r="H15" s="33">
        <v>40887.699999999997</v>
      </c>
      <c r="I15" s="74">
        <v>40679.019999999997</v>
      </c>
    </row>
    <row r="16" spans="1:9" s="31" customFormat="1" ht="13.5" customHeight="1">
      <c r="A16" s="92" t="s">
        <v>149</v>
      </c>
      <c r="B16" s="33">
        <v>325336.94</v>
      </c>
      <c r="C16" s="33">
        <v>17287.82</v>
      </c>
      <c r="D16" s="33">
        <v>36480.86</v>
      </c>
      <c r="E16" s="33">
        <v>2030.39</v>
      </c>
      <c r="F16" s="33">
        <v>30279.77</v>
      </c>
      <c r="G16" s="33">
        <v>156364.82999999999</v>
      </c>
      <c r="H16" s="33">
        <v>45414.36</v>
      </c>
      <c r="I16" s="74">
        <v>37478.910000000003</v>
      </c>
    </row>
    <row r="17" spans="1:10" s="31" customFormat="1" ht="13.5" customHeight="1">
      <c r="A17" s="92" t="s">
        <v>155</v>
      </c>
      <c r="B17" s="33">
        <v>344273.32</v>
      </c>
      <c r="C17" s="33">
        <v>15632.91</v>
      </c>
      <c r="D17" s="33">
        <v>38062.9</v>
      </c>
      <c r="E17" s="33">
        <v>1953.17</v>
      </c>
      <c r="F17" s="33">
        <v>32565.98</v>
      </c>
      <c r="G17" s="33">
        <v>171544.61</v>
      </c>
      <c r="H17" s="33">
        <v>48685.71</v>
      </c>
      <c r="I17" s="74">
        <v>35828.050000000003</v>
      </c>
    </row>
    <row r="18" spans="1:10" ht="13.5" customHeight="1">
      <c r="A18" s="60"/>
      <c r="B18" s="33"/>
      <c r="C18" s="33"/>
      <c r="D18" s="33"/>
      <c r="E18" s="33"/>
      <c r="F18" s="33"/>
      <c r="G18" s="33"/>
      <c r="H18" s="33"/>
      <c r="I18" s="74"/>
      <c r="J18" s="13"/>
    </row>
    <row r="19" spans="1:10" ht="13.5" customHeight="1">
      <c r="A19" s="205" t="s">
        <v>211</v>
      </c>
      <c r="B19" s="203">
        <v>382774.4</v>
      </c>
      <c r="C19" s="203">
        <v>15181.86</v>
      </c>
      <c r="D19" s="203">
        <v>41851.15</v>
      </c>
      <c r="E19" s="203">
        <v>2545.8200000000002</v>
      </c>
      <c r="F19" s="203">
        <v>37889.32</v>
      </c>
      <c r="G19" s="203">
        <v>183982.16</v>
      </c>
      <c r="H19" s="203">
        <v>55045.22</v>
      </c>
      <c r="I19" s="204">
        <v>46278.87</v>
      </c>
      <c r="J19" s="13"/>
    </row>
    <row r="20" spans="1:10" ht="13.5" customHeight="1">
      <c r="A20" s="205" t="s">
        <v>210</v>
      </c>
      <c r="B20" s="203">
        <v>411654.27</v>
      </c>
      <c r="C20" s="203">
        <v>13315.85</v>
      </c>
      <c r="D20" s="203">
        <v>44663.68</v>
      </c>
      <c r="E20" s="203">
        <v>2219.39</v>
      </c>
      <c r="F20" s="203">
        <v>45191.69</v>
      </c>
      <c r="G20" s="203">
        <v>193576.43</v>
      </c>
      <c r="H20" s="203">
        <v>63797.02</v>
      </c>
      <c r="I20" s="204">
        <v>48890.21</v>
      </c>
      <c r="J20" s="13"/>
    </row>
    <row r="21" spans="1:10" ht="13.5" customHeight="1">
      <c r="A21" s="205" t="s">
        <v>238</v>
      </c>
      <c r="B21" s="203">
        <v>436442.33</v>
      </c>
      <c r="C21" s="203">
        <v>11220.57</v>
      </c>
      <c r="D21" s="203">
        <v>46961.279999999999</v>
      </c>
      <c r="E21" s="203">
        <v>3635.88</v>
      </c>
      <c r="F21" s="203">
        <v>47680.39</v>
      </c>
      <c r="G21" s="203">
        <v>210711.26</v>
      </c>
      <c r="H21" s="203">
        <v>65835.03</v>
      </c>
      <c r="I21" s="204">
        <v>50397.91</v>
      </c>
      <c r="J21" s="13"/>
    </row>
    <row r="22" spans="1:10" ht="13.5" customHeight="1">
      <c r="A22" s="205">
        <v>2024</v>
      </c>
      <c r="B22" s="203">
        <f>B119</f>
        <v>465017.38</v>
      </c>
      <c r="C22" s="203">
        <f t="shared" ref="C22:I22" si="0">C119</f>
        <v>14423.2</v>
      </c>
      <c r="D22" s="203">
        <f t="shared" si="0"/>
        <v>48633.37</v>
      </c>
      <c r="E22" s="203">
        <f t="shared" si="0"/>
        <v>3674.91</v>
      </c>
      <c r="F22" s="203">
        <f t="shared" si="0"/>
        <v>51593.3</v>
      </c>
      <c r="G22" s="203">
        <f t="shared" si="0"/>
        <v>224560.78</v>
      </c>
      <c r="H22" s="203">
        <f t="shared" si="0"/>
        <v>70496.479999999996</v>
      </c>
      <c r="I22" s="204">
        <f t="shared" si="0"/>
        <v>51635.33</v>
      </c>
      <c r="J22" s="13"/>
    </row>
    <row r="23" spans="1:10" ht="13.5" customHeight="1">
      <c r="A23" s="205" t="s">
        <v>264</v>
      </c>
      <c r="B23" s="203">
        <v>493950.93</v>
      </c>
      <c r="C23" s="203">
        <v>16972.009999999998</v>
      </c>
      <c r="D23" s="203">
        <v>55140.15</v>
      </c>
      <c r="E23" s="203">
        <v>3312.55</v>
      </c>
      <c r="F23" s="203">
        <v>54548.15</v>
      </c>
      <c r="G23" s="203">
        <v>233744.55</v>
      </c>
      <c r="H23" s="203">
        <v>75079.38</v>
      </c>
      <c r="I23" s="204">
        <v>55154.14</v>
      </c>
      <c r="J23" s="13"/>
    </row>
    <row r="24" spans="1:10" ht="13.5" customHeight="1">
      <c r="A24" s="60"/>
      <c r="B24" s="33"/>
      <c r="C24" s="33"/>
      <c r="D24" s="33"/>
      <c r="E24" s="33"/>
      <c r="F24" s="33"/>
      <c r="G24" s="33"/>
      <c r="H24" s="33"/>
      <c r="I24" s="74"/>
      <c r="J24" s="13"/>
    </row>
    <row r="25" spans="1:10" ht="13.5" customHeight="1">
      <c r="A25" s="60">
        <v>2019.1</v>
      </c>
      <c r="B25" s="33">
        <v>315134.18</v>
      </c>
      <c r="C25" s="33">
        <v>16746.28</v>
      </c>
      <c r="D25" s="33">
        <v>42649.760000000002</v>
      </c>
      <c r="E25" s="33">
        <v>1692.77</v>
      </c>
      <c r="F25" s="33">
        <v>27862.51</v>
      </c>
      <c r="G25" s="33">
        <v>143774.51999999999</v>
      </c>
      <c r="H25" s="33">
        <v>41215.1</v>
      </c>
      <c r="I25" s="74">
        <v>41193.24</v>
      </c>
      <c r="J25" s="103"/>
    </row>
    <row r="26" spans="1:10" ht="13.5" customHeight="1">
      <c r="A26" s="60">
        <v>2</v>
      </c>
      <c r="B26" s="33">
        <v>314863.32</v>
      </c>
      <c r="C26" s="33">
        <v>17236.32</v>
      </c>
      <c r="D26" s="33">
        <v>39587.11</v>
      </c>
      <c r="E26" s="33">
        <v>1700.13</v>
      </c>
      <c r="F26" s="33">
        <v>28041.599999999999</v>
      </c>
      <c r="G26" s="33">
        <v>143310.47</v>
      </c>
      <c r="H26" s="33">
        <v>41532.11</v>
      </c>
      <c r="I26" s="74">
        <v>43455.58</v>
      </c>
      <c r="J26" s="103"/>
    </row>
    <row r="27" spans="1:10" ht="13.5" customHeight="1">
      <c r="A27" s="60">
        <v>3</v>
      </c>
      <c r="B27" s="33">
        <v>320397.53999999998</v>
      </c>
      <c r="C27" s="33">
        <v>17937.22</v>
      </c>
      <c r="D27" s="33">
        <v>41740.31</v>
      </c>
      <c r="E27" s="33">
        <v>1676.39</v>
      </c>
      <c r="F27" s="33">
        <v>28475.26</v>
      </c>
      <c r="G27" s="33">
        <v>144925.1</v>
      </c>
      <c r="H27" s="33">
        <v>41982.239999999998</v>
      </c>
      <c r="I27" s="74">
        <v>43661.03</v>
      </c>
      <c r="J27" s="103"/>
    </row>
    <row r="28" spans="1:10" ht="13.5" customHeight="1">
      <c r="A28" s="60"/>
      <c r="B28" s="33"/>
      <c r="C28" s="33"/>
      <c r="D28" s="33"/>
      <c r="E28" s="33"/>
      <c r="F28" s="33"/>
      <c r="G28" s="33"/>
      <c r="H28" s="33"/>
      <c r="I28" s="74"/>
      <c r="J28" s="103"/>
    </row>
    <row r="29" spans="1:10" ht="13.5" customHeight="1">
      <c r="A29" s="60">
        <v>4</v>
      </c>
      <c r="B29" s="33">
        <v>319334.05</v>
      </c>
      <c r="C29" s="33">
        <v>18307.349999999999</v>
      </c>
      <c r="D29" s="33">
        <v>40082.53</v>
      </c>
      <c r="E29" s="33">
        <v>1659.75</v>
      </c>
      <c r="F29" s="33">
        <v>28654.720000000001</v>
      </c>
      <c r="G29" s="33">
        <v>145656.47</v>
      </c>
      <c r="H29" s="33">
        <v>42469.64</v>
      </c>
      <c r="I29" s="74">
        <v>42503.59</v>
      </c>
      <c r="J29" s="103"/>
    </row>
    <row r="30" spans="1:10" ht="13.5" customHeight="1">
      <c r="A30" s="60">
        <v>5</v>
      </c>
      <c r="B30" s="33">
        <v>318779.12</v>
      </c>
      <c r="C30" s="33">
        <v>18263.8</v>
      </c>
      <c r="D30" s="33">
        <v>40411.870000000003</v>
      </c>
      <c r="E30" s="33">
        <v>1637.01</v>
      </c>
      <c r="F30" s="33">
        <v>28700.37</v>
      </c>
      <c r="G30" s="33">
        <v>146685.42000000001</v>
      </c>
      <c r="H30" s="33">
        <v>42817</v>
      </c>
      <c r="I30" s="74">
        <v>40263.65</v>
      </c>
      <c r="J30" s="103"/>
    </row>
    <row r="31" spans="1:10" ht="13.5" customHeight="1">
      <c r="A31" s="60">
        <v>6</v>
      </c>
      <c r="B31" s="33">
        <v>323459.71000000002</v>
      </c>
      <c r="C31" s="33">
        <v>18097.72</v>
      </c>
      <c r="D31" s="33">
        <v>43062.11</v>
      </c>
      <c r="E31" s="33">
        <v>1598.83</v>
      </c>
      <c r="F31" s="33">
        <v>28861.46</v>
      </c>
      <c r="G31" s="33">
        <v>149281.76</v>
      </c>
      <c r="H31" s="33">
        <v>43205.29</v>
      </c>
      <c r="I31" s="74">
        <v>39352.54</v>
      </c>
      <c r="J31" s="103"/>
    </row>
    <row r="32" spans="1:10" ht="13.5" customHeight="1">
      <c r="A32" s="60"/>
      <c r="B32" s="33"/>
      <c r="C32" s="33"/>
      <c r="D32" s="33"/>
      <c r="E32" s="33"/>
      <c r="F32" s="33"/>
      <c r="G32" s="33"/>
      <c r="H32" s="33"/>
      <c r="I32" s="74"/>
      <c r="J32" s="103"/>
    </row>
    <row r="33" spans="1:17" ht="13.5" customHeight="1">
      <c r="A33" s="60">
        <v>7</v>
      </c>
      <c r="B33" s="33">
        <v>322919.48</v>
      </c>
      <c r="C33" s="33">
        <v>17990.63</v>
      </c>
      <c r="D33" s="33">
        <v>42340.89</v>
      </c>
      <c r="E33" s="33">
        <v>1597.23</v>
      </c>
      <c r="F33" s="33">
        <v>29121.37</v>
      </c>
      <c r="G33" s="33">
        <v>149111.01999999999</v>
      </c>
      <c r="H33" s="33">
        <v>43498.58</v>
      </c>
      <c r="I33" s="74">
        <v>39259.769999999997</v>
      </c>
      <c r="J33" s="103"/>
    </row>
    <row r="34" spans="1:17" ht="13.5" customHeight="1">
      <c r="A34" s="60">
        <v>8</v>
      </c>
      <c r="B34" s="33">
        <v>324166.94</v>
      </c>
      <c r="C34" s="33">
        <v>18079.34</v>
      </c>
      <c r="D34" s="33">
        <v>42109.73</v>
      </c>
      <c r="E34" s="33">
        <v>1647.04</v>
      </c>
      <c r="F34" s="33">
        <v>29377.93</v>
      </c>
      <c r="G34" s="33">
        <v>150488.46</v>
      </c>
      <c r="H34" s="33">
        <v>43853.440000000002</v>
      </c>
      <c r="I34" s="74">
        <v>38611</v>
      </c>
      <c r="J34" s="103"/>
    </row>
    <row r="35" spans="1:17" ht="13.5" customHeight="1">
      <c r="A35" s="60">
        <v>9</v>
      </c>
      <c r="B35" s="33">
        <v>325472.48</v>
      </c>
      <c r="C35" s="33">
        <v>18044.87</v>
      </c>
      <c r="D35" s="33">
        <v>41301.72</v>
      </c>
      <c r="E35" s="33">
        <v>1743.13</v>
      </c>
      <c r="F35" s="33">
        <v>29488.07</v>
      </c>
      <c r="G35" s="33">
        <v>152382.01</v>
      </c>
      <c r="H35" s="33">
        <v>44370.3</v>
      </c>
      <c r="I35" s="74">
        <v>38142.39</v>
      </c>
      <c r="J35" s="103"/>
    </row>
    <row r="36" spans="1:17" ht="13.5" customHeight="1">
      <c r="A36" s="60"/>
      <c r="B36" s="33"/>
      <c r="C36" s="33"/>
      <c r="D36" s="33"/>
      <c r="E36" s="33"/>
      <c r="F36" s="33"/>
      <c r="G36" s="33"/>
      <c r="H36" s="33"/>
      <c r="I36" s="74"/>
      <c r="J36" s="103"/>
    </row>
    <row r="37" spans="1:17" ht="13.5" customHeight="1">
      <c r="A37" s="60">
        <v>10</v>
      </c>
      <c r="B37" s="33">
        <v>325418.13</v>
      </c>
      <c r="C37" s="33">
        <v>17487.560000000001</v>
      </c>
      <c r="D37" s="33">
        <v>40499.83</v>
      </c>
      <c r="E37" s="33">
        <v>1793.09</v>
      </c>
      <c r="F37" s="33">
        <v>29701.17</v>
      </c>
      <c r="G37" s="33">
        <v>153536.82</v>
      </c>
      <c r="H37" s="33">
        <v>44691.6</v>
      </c>
      <c r="I37" s="74">
        <v>37708.06</v>
      </c>
      <c r="J37" s="103"/>
    </row>
    <row r="38" spans="1:17" ht="13.5" customHeight="1">
      <c r="A38" s="60">
        <v>11</v>
      </c>
      <c r="B38" s="33">
        <v>325727.05176334002</v>
      </c>
      <c r="C38" s="33">
        <v>17556.836004560002</v>
      </c>
      <c r="D38" s="33">
        <v>39782.25</v>
      </c>
      <c r="E38" s="33">
        <v>1816.24</v>
      </c>
      <c r="F38" s="33">
        <v>29854.43</v>
      </c>
      <c r="G38" s="33">
        <v>154241.43</v>
      </c>
      <c r="H38" s="33">
        <v>44888.75</v>
      </c>
      <c r="I38" s="74">
        <v>37587.120000000003</v>
      </c>
      <c r="J38" s="103"/>
    </row>
    <row r="39" spans="1:17" ht="13.5" customHeight="1">
      <c r="A39" s="60">
        <v>12</v>
      </c>
      <c r="B39" s="33">
        <v>325336.94</v>
      </c>
      <c r="C39" s="33">
        <v>17287.82</v>
      </c>
      <c r="D39" s="33">
        <v>36480.86</v>
      </c>
      <c r="E39" s="33">
        <v>2030.39</v>
      </c>
      <c r="F39" s="33">
        <v>30279.77</v>
      </c>
      <c r="G39" s="33">
        <v>156364.82999999999</v>
      </c>
      <c r="H39" s="33">
        <v>45414.36</v>
      </c>
      <c r="I39" s="74">
        <v>37478.910000000003</v>
      </c>
      <c r="J39" s="103"/>
    </row>
    <row r="40" spans="1:17" ht="13.5" customHeight="1">
      <c r="A40" s="60"/>
      <c r="B40" s="33"/>
      <c r="C40" s="33"/>
      <c r="D40" s="33"/>
      <c r="E40" s="33"/>
      <c r="F40" s="33"/>
      <c r="G40" s="33"/>
      <c r="H40" s="33"/>
      <c r="I40" s="74"/>
      <c r="J40" s="103"/>
    </row>
    <row r="41" spans="1:17" ht="13.5" customHeight="1">
      <c r="A41" s="60">
        <v>2020.1</v>
      </c>
      <c r="B41" s="33">
        <v>328595.39</v>
      </c>
      <c r="C41" s="33">
        <v>17498.09</v>
      </c>
      <c r="D41" s="33">
        <v>37732.19</v>
      </c>
      <c r="E41" s="33">
        <v>1915.66</v>
      </c>
      <c r="F41" s="33">
        <v>30547.55</v>
      </c>
      <c r="G41" s="33">
        <v>155823.49</v>
      </c>
      <c r="H41" s="33">
        <v>45792.3</v>
      </c>
      <c r="I41" s="74">
        <v>39286.11</v>
      </c>
      <c r="J41" s="103"/>
    </row>
    <row r="42" spans="1:17" ht="13.5" customHeight="1">
      <c r="A42" s="60">
        <v>2</v>
      </c>
      <c r="B42" s="33">
        <v>332207.42</v>
      </c>
      <c r="C42" s="33">
        <v>17110.759999999998</v>
      </c>
      <c r="D42" s="33">
        <v>39812.629999999997</v>
      </c>
      <c r="E42" s="33">
        <v>1829.23</v>
      </c>
      <c r="F42" s="33">
        <v>30971.73</v>
      </c>
      <c r="G42" s="33">
        <v>156043.09</v>
      </c>
      <c r="H42" s="33">
        <v>46195.48</v>
      </c>
      <c r="I42" s="74">
        <v>40244.49</v>
      </c>
      <c r="J42" s="153"/>
      <c r="K42" s="153"/>
      <c r="L42" s="153"/>
      <c r="M42" s="153"/>
      <c r="N42" s="153"/>
      <c r="O42" s="153"/>
      <c r="P42" s="153"/>
      <c r="Q42" s="153"/>
    </row>
    <row r="43" spans="1:17" ht="13.5" customHeight="1">
      <c r="A43" s="60">
        <v>3</v>
      </c>
      <c r="B43" s="33">
        <v>332918.13873394998</v>
      </c>
      <c r="C43" s="33">
        <v>16881.27</v>
      </c>
      <c r="D43" s="33">
        <v>40062.370000000003</v>
      </c>
      <c r="E43" s="33">
        <v>1778.71</v>
      </c>
      <c r="F43" s="33">
        <v>31015.09</v>
      </c>
      <c r="G43" s="33">
        <v>157773.29</v>
      </c>
      <c r="H43" s="33">
        <v>46182.42</v>
      </c>
      <c r="I43" s="74">
        <v>39224.980000000003</v>
      </c>
      <c r="J43" s="153"/>
      <c r="K43" s="153"/>
      <c r="L43" s="153"/>
      <c r="M43" s="153"/>
      <c r="N43" s="153"/>
      <c r="O43" s="153"/>
      <c r="P43" s="153"/>
      <c r="Q43" s="153"/>
    </row>
    <row r="44" spans="1:17" ht="13.5" customHeight="1">
      <c r="A44" s="60"/>
      <c r="B44" s="33"/>
      <c r="C44" s="33"/>
      <c r="D44" s="33"/>
      <c r="E44" s="33"/>
      <c r="F44" s="33"/>
      <c r="G44" s="33"/>
      <c r="H44" s="33"/>
      <c r="I44" s="74"/>
      <c r="J44" s="103"/>
    </row>
    <row r="45" spans="1:17" ht="13.5" customHeight="1">
      <c r="A45" s="60">
        <v>4</v>
      </c>
      <c r="B45" s="33">
        <v>333852.76</v>
      </c>
      <c r="C45" s="33">
        <v>17099.79</v>
      </c>
      <c r="D45" s="33">
        <v>39682.65</v>
      </c>
      <c r="E45" s="33">
        <v>2004.38</v>
      </c>
      <c r="F45" s="33">
        <v>31159.54</v>
      </c>
      <c r="G45" s="33">
        <v>158998.26999999999</v>
      </c>
      <c r="H45" s="33">
        <v>46291.76</v>
      </c>
      <c r="I45" s="74">
        <v>38616.370000000003</v>
      </c>
      <c r="J45" s="103"/>
    </row>
    <row r="46" spans="1:17" ht="13.5" customHeight="1">
      <c r="A46" s="60">
        <v>5</v>
      </c>
      <c r="B46" s="33">
        <v>333537.58</v>
      </c>
      <c r="C46" s="33">
        <v>17221.080000000002</v>
      </c>
      <c r="D46" s="33">
        <v>38117.5</v>
      </c>
      <c r="E46" s="33">
        <v>1969.47</v>
      </c>
      <c r="F46" s="33">
        <v>31481.78</v>
      </c>
      <c r="G46" s="33">
        <v>159501.81</v>
      </c>
      <c r="H46" s="33">
        <v>46557.760000000002</v>
      </c>
      <c r="I46" s="74">
        <v>38688.18</v>
      </c>
      <c r="J46" s="103"/>
    </row>
    <row r="47" spans="1:17" ht="13.5" customHeight="1">
      <c r="A47" s="60">
        <v>6</v>
      </c>
      <c r="B47" s="33">
        <v>338974.85</v>
      </c>
      <c r="C47" s="33">
        <v>17247.830000000002</v>
      </c>
      <c r="D47" s="33">
        <v>37984.1</v>
      </c>
      <c r="E47" s="33">
        <v>1951.36</v>
      </c>
      <c r="F47" s="33">
        <v>31767.71</v>
      </c>
      <c r="G47" s="33">
        <v>162795.66</v>
      </c>
      <c r="H47" s="33">
        <v>47032.68</v>
      </c>
      <c r="I47" s="74">
        <v>40195.519999999997</v>
      </c>
      <c r="J47" s="103"/>
    </row>
    <row r="48" spans="1:17" ht="13.5" customHeight="1">
      <c r="A48" s="60"/>
      <c r="B48" s="33"/>
      <c r="C48" s="33"/>
      <c r="D48" s="33"/>
      <c r="E48" s="33"/>
      <c r="F48" s="33"/>
      <c r="G48" s="33"/>
      <c r="H48" s="33"/>
      <c r="I48" s="74"/>
      <c r="J48" s="103"/>
    </row>
    <row r="49" spans="1:10" ht="13.5" customHeight="1">
      <c r="A49" s="60">
        <v>7</v>
      </c>
      <c r="B49" s="33">
        <v>342749.24</v>
      </c>
      <c r="C49" s="33">
        <v>17305.41</v>
      </c>
      <c r="D49" s="33">
        <v>41294.49</v>
      </c>
      <c r="E49" s="33">
        <v>1936.08</v>
      </c>
      <c r="F49" s="33">
        <v>32038.21</v>
      </c>
      <c r="G49" s="33">
        <v>162916.98000000001</v>
      </c>
      <c r="H49" s="33">
        <v>47461.15</v>
      </c>
      <c r="I49" s="74">
        <v>39796.92</v>
      </c>
      <c r="J49" s="103"/>
    </row>
    <row r="50" spans="1:10" ht="13.5" customHeight="1">
      <c r="A50" s="60">
        <v>8</v>
      </c>
      <c r="B50" s="33">
        <v>344053.46</v>
      </c>
      <c r="C50" s="33">
        <v>16895.12</v>
      </c>
      <c r="D50" s="33">
        <v>42346.64</v>
      </c>
      <c r="E50" s="33">
        <v>1894.02</v>
      </c>
      <c r="F50" s="33">
        <v>32115.05</v>
      </c>
      <c r="G50" s="33">
        <v>163899.46</v>
      </c>
      <c r="H50" s="33">
        <v>47751.68</v>
      </c>
      <c r="I50" s="74">
        <v>39151.49</v>
      </c>
      <c r="J50" s="103"/>
    </row>
    <row r="51" spans="1:10" ht="13.5" customHeight="1">
      <c r="A51" s="60">
        <v>9</v>
      </c>
      <c r="B51" s="33">
        <v>348159.6</v>
      </c>
      <c r="C51" s="33">
        <v>16718.759999999998</v>
      </c>
      <c r="D51" s="33">
        <v>43001.73</v>
      </c>
      <c r="E51" s="33">
        <v>1866.77</v>
      </c>
      <c r="F51" s="33">
        <v>32131.26</v>
      </c>
      <c r="G51" s="33">
        <v>167323.26999999999</v>
      </c>
      <c r="H51" s="33">
        <v>47909.61</v>
      </c>
      <c r="I51" s="74">
        <v>39208.19</v>
      </c>
      <c r="J51" s="103"/>
    </row>
    <row r="52" spans="1:10" ht="13.5" customHeight="1">
      <c r="A52" s="60"/>
      <c r="B52" s="33"/>
      <c r="C52" s="33"/>
      <c r="D52" s="33"/>
      <c r="E52" s="33"/>
      <c r="F52" s="33"/>
      <c r="G52" s="33"/>
      <c r="H52" s="33"/>
      <c r="I52" s="74"/>
      <c r="J52" s="103"/>
    </row>
    <row r="53" spans="1:10" ht="13.5" customHeight="1">
      <c r="A53" s="60">
        <v>10</v>
      </c>
      <c r="B53" s="33">
        <v>344516.1</v>
      </c>
      <c r="C53" s="33">
        <v>16419.87</v>
      </c>
      <c r="D53" s="33">
        <v>40415.46</v>
      </c>
      <c r="E53" s="33">
        <v>1850.99</v>
      </c>
      <c r="F53" s="33">
        <v>32301.9</v>
      </c>
      <c r="G53" s="33">
        <v>168518.97</v>
      </c>
      <c r="H53" s="33">
        <v>48215.32</v>
      </c>
      <c r="I53" s="74">
        <v>36793.589999999997</v>
      </c>
      <c r="J53" s="103"/>
    </row>
    <row r="54" spans="1:10" ht="13.5" customHeight="1">
      <c r="A54" s="60">
        <v>11</v>
      </c>
      <c r="B54" s="33">
        <v>343301.56</v>
      </c>
      <c r="C54" s="33">
        <v>16134.27</v>
      </c>
      <c r="D54" s="33">
        <v>40361.19</v>
      </c>
      <c r="E54" s="33">
        <v>1944.29</v>
      </c>
      <c r="F54" s="33">
        <v>32361.99</v>
      </c>
      <c r="G54" s="33">
        <v>168722.16</v>
      </c>
      <c r="H54" s="33">
        <v>48435.55</v>
      </c>
      <c r="I54" s="74">
        <v>35342.11</v>
      </c>
      <c r="J54" s="103"/>
    </row>
    <row r="55" spans="1:10" ht="13.5" customHeight="1">
      <c r="A55" s="60">
        <v>12</v>
      </c>
      <c r="B55" s="33">
        <v>344273.32</v>
      </c>
      <c r="C55" s="33">
        <v>15632.91</v>
      </c>
      <c r="D55" s="33">
        <v>38062.9</v>
      </c>
      <c r="E55" s="33">
        <v>1953.17</v>
      </c>
      <c r="F55" s="33">
        <v>32565.98</v>
      </c>
      <c r="G55" s="33">
        <v>171544.61</v>
      </c>
      <c r="H55" s="33">
        <v>48685.71</v>
      </c>
      <c r="I55" s="74">
        <v>35828.050000000003</v>
      </c>
      <c r="J55" s="103"/>
    </row>
    <row r="56" spans="1:10" ht="13.5" customHeight="1">
      <c r="A56" s="60"/>
      <c r="B56" s="33"/>
      <c r="C56" s="33"/>
      <c r="D56" s="33"/>
      <c r="E56" s="33"/>
      <c r="F56" s="33"/>
      <c r="G56" s="33"/>
      <c r="H56" s="33"/>
      <c r="I56" s="74"/>
      <c r="J56" s="103"/>
    </row>
    <row r="57" spans="1:10" ht="13.5" customHeight="1">
      <c r="A57" s="60">
        <v>2021.1</v>
      </c>
      <c r="B57" s="33">
        <v>350989.93</v>
      </c>
      <c r="C57" s="33">
        <v>15359.6</v>
      </c>
      <c r="D57" s="33">
        <v>43447.18</v>
      </c>
      <c r="E57" s="33">
        <v>1911.95</v>
      </c>
      <c r="F57" s="33">
        <v>32696.83</v>
      </c>
      <c r="G57" s="33">
        <v>170815.14</v>
      </c>
      <c r="H57" s="33">
        <v>48870.03</v>
      </c>
      <c r="I57" s="74">
        <v>37889.199999999997</v>
      </c>
      <c r="J57" s="103"/>
    </row>
    <row r="58" spans="1:10" ht="13.5" customHeight="1">
      <c r="A58" s="60">
        <v>2</v>
      </c>
      <c r="B58" s="33">
        <v>351316.31</v>
      </c>
      <c r="C58" s="33">
        <v>15098.39</v>
      </c>
      <c r="D58" s="33">
        <v>43921.5</v>
      </c>
      <c r="E58" s="33">
        <v>1935</v>
      </c>
      <c r="F58" s="33">
        <v>33002.85</v>
      </c>
      <c r="G58" s="33">
        <v>170765.8</v>
      </c>
      <c r="H58" s="33">
        <v>48996.78</v>
      </c>
      <c r="I58" s="74">
        <v>37596</v>
      </c>
      <c r="J58" s="103"/>
    </row>
    <row r="59" spans="1:10" ht="13.5" customHeight="1">
      <c r="A59" s="60">
        <v>3</v>
      </c>
      <c r="B59" s="33">
        <v>362244.69</v>
      </c>
      <c r="C59" s="33">
        <v>15008.93</v>
      </c>
      <c r="D59" s="33">
        <v>43464.51</v>
      </c>
      <c r="E59" s="33">
        <v>2057.92</v>
      </c>
      <c r="F59" s="33">
        <v>33450.71</v>
      </c>
      <c r="G59" s="33">
        <v>172629.88</v>
      </c>
      <c r="H59" s="33">
        <v>49478.09</v>
      </c>
      <c r="I59" s="74">
        <v>46154.66</v>
      </c>
      <c r="J59" s="103"/>
    </row>
    <row r="60" spans="1:10" ht="13.5" customHeight="1">
      <c r="A60" s="60"/>
      <c r="B60" s="33"/>
      <c r="C60" s="33"/>
      <c r="D60" s="33"/>
      <c r="E60" s="33"/>
      <c r="F60" s="33"/>
      <c r="G60" s="33"/>
      <c r="H60" s="33"/>
      <c r="I60" s="74"/>
      <c r="J60" s="103"/>
    </row>
    <row r="61" spans="1:10" ht="13.5" customHeight="1">
      <c r="A61" s="60">
        <v>4</v>
      </c>
      <c r="B61" s="33">
        <v>360214.63</v>
      </c>
      <c r="C61" s="33">
        <v>14982.79</v>
      </c>
      <c r="D61" s="33">
        <v>42367.17</v>
      </c>
      <c r="E61" s="33">
        <v>2038.97</v>
      </c>
      <c r="F61" s="33">
        <v>33647.480000000003</v>
      </c>
      <c r="G61" s="33">
        <v>172947.29</v>
      </c>
      <c r="H61" s="33">
        <v>49673.26</v>
      </c>
      <c r="I61" s="74">
        <v>44557.68</v>
      </c>
      <c r="J61" s="103"/>
    </row>
    <row r="62" spans="1:10" ht="13.5" customHeight="1">
      <c r="A62" s="60">
        <v>5</v>
      </c>
      <c r="B62" s="33">
        <v>365454.28</v>
      </c>
      <c r="C62" s="33">
        <v>15245.29</v>
      </c>
      <c r="D62" s="33">
        <v>42306.3</v>
      </c>
      <c r="E62" s="33">
        <v>2137.13</v>
      </c>
      <c r="F62" s="33">
        <v>33986.07</v>
      </c>
      <c r="G62" s="33">
        <v>172973.67</v>
      </c>
      <c r="H62" s="33">
        <v>50207.02</v>
      </c>
      <c r="I62" s="74">
        <v>48598.8</v>
      </c>
      <c r="J62" s="103"/>
    </row>
    <row r="63" spans="1:10" ht="13.5" customHeight="1">
      <c r="A63" s="60">
        <v>6</v>
      </c>
      <c r="B63" s="33">
        <v>369476.69</v>
      </c>
      <c r="C63" s="33">
        <v>15137.55</v>
      </c>
      <c r="D63" s="33">
        <v>39086.639999999999</v>
      </c>
      <c r="E63" s="33">
        <v>2108.6</v>
      </c>
      <c r="F63" s="33">
        <v>34674.22</v>
      </c>
      <c r="G63" s="33">
        <v>176027.1</v>
      </c>
      <c r="H63" s="33">
        <v>50882.69</v>
      </c>
      <c r="I63" s="74">
        <v>51559.89</v>
      </c>
      <c r="J63" s="103"/>
    </row>
    <row r="64" spans="1:10" ht="13.5" customHeight="1">
      <c r="A64" s="60"/>
      <c r="B64" s="33"/>
      <c r="C64" s="33"/>
      <c r="D64" s="33"/>
      <c r="E64" s="33"/>
      <c r="F64" s="33"/>
      <c r="G64" s="33"/>
      <c r="H64" s="33"/>
      <c r="I64" s="74"/>
      <c r="J64" s="103"/>
    </row>
    <row r="65" spans="1:10" ht="13.5" customHeight="1">
      <c r="A65" s="60">
        <v>7</v>
      </c>
      <c r="B65" s="33">
        <v>372542.05</v>
      </c>
      <c r="C65" s="33">
        <v>14977.71</v>
      </c>
      <c r="D65" s="33">
        <v>41781.14</v>
      </c>
      <c r="E65" s="33">
        <v>2678.06</v>
      </c>
      <c r="F65" s="33">
        <v>34879.24</v>
      </c>
      <c r="G65" s="33">
        <v>176319.49</v>
      </c>
      <c r="H65" s="33">
        <v>51298.07</v>
      </c>
      <c r="I65" s="74">
        <v>50608.33</v>
      </c>
      <c r="J65" s="103"/>
    </row>
    <row r="66" spans="1:10" ht="13.5" customHeight="1">
      <c r="A66" s="60">
        <v>8</v>
      </c>
      <c r="B66" s="33">
        <v>369146.31</v>
      </c>
      <c r="C66" s="33">
        <v>14996.68</v>
      </c>
      <c r="D66" s="33">
        <v>41169.379999999997</v>
      </c>
      <c r="E66" s="33">
        <v>2666.52</v>
      </c>
      <c r="F66" s="33">
        <v>35293.65</v>
      </c>
      <c r="G66" s="33">
        <v>177838.04</v>
      </c>
      <c r="H66" s="33">
        <v>51890.96</v>
      </c>
      <c r="I66" s="74">
        <v>45291.07</v>
      </c>
      <c r="J66" s="103"/>
    </row>
    <row r="67" spans="1:10" ht="13.5" customHeight="1">
      <c r="A67" s="60">
        <v>9</v>
      </c>
      <c r="B67" s="33">
        <v>372657.18</v>
      </c>
      <c r="C67" s="33">
        <v>14958.97</v>
      </c>
      <c r="D67" s="33">
        <v>38779.980000000003</v>
      </c>
      <c r="E67" s="33">
        <v>2606.06</v>
      </c>
      <c r="F67" s="33">
        <v>35898.26</v>
      </c>
      <c r="G67" s="33">
        <v>180891.33</v>
      </c>
      <c r="H67" s="33">
        <v>52413.81</v>
      </c>
      <c r="I67" s="74">
        <v>47108.77</v>
      </c>
      <c r="J67" s="103"/>
    </row>
    <row r="68" spans="1:10" ht="13.5" customHeight="1">
      <c r="A68" s="60"/>
      <c r="B68" s="33"/>
      <c r="C68" s="33"/>
      <c r="D68" s="33"/>
      <c r="E68" s="33"/>
      <c r="F68" s="33"/>
      <c r="G68" s="33"/>
      <c r="H68" s="33"/>
      <c r="I68" s="74"/>
      <c r="J68" s="103"/>
    </row>
    <row r="69" spans="1:10" ht="13.5" customHeight="1">
      <c r="A69" s="60">
        <v>10</v>
      </c>
      <c r="B69" s="33">
        <v>375056.33</v>
      </c>
      <c r="C69" s="33">
        <v>14972.06</v>
      </c>
      <c r="D69" s="33">
        <v>39156.239999999998</v>
      </c>
      <c r="E69" s="33">
        <v>2535.04</v>
      </c>
      <c r="F69" s="33">
        <v>36370.89</v>
      </c>
      <c r="G69" s="33">
        <v>182314.1</v>
      </c>
      <c r="H69" s="33">
        <v>52940.29</v>
      </c>
      <c r="I69" s="74">
        <v>46767.72</v>
      </c>
      <c r="J69" s="103"/>
    </row>
    <row r="70" spans="1:10" ht="13.5" customHeight="1">
      <c r="A70" s="60">
        <v>11</v>
      </c>
      <c r="B70" s="33">
        <v>371203</v>
      </c>
      <c r="C70" s="33">
        <v>14968.39</v>
      </c>
      <c r="D70" s="33">
        <v>40314.79</v>
      </c>
      <c r="E70" s="33">
        <v>2615.39</v>
      </c>
      <c r="F70" s="33">
        <v>36572.39</v>
      </c>
      <c r="G70" s="33">
        <v>181204.56</v>
      </c>
      <c r="H70" s="33">
        <v>53929.41</v>
      </c>
      <c r="I70" s="74">
        <v>41598.07</v>
      </c>
      <c r="J70" s="103"/>
    </row>
    <row r="71" spans="1:10" ht="13.5" customHeight="1">
      <c r="A71" s="60">
        <v>12</v>
      </c>
      <c r="B71" s="33">
        <v>382774.4</v>
      </c>
      <c r="C71" s="33">
        <v>15181.86</v>
      </c>
      <c r="D71" s="33">
        <v>41851.15</v>
      </c>
      <c r="E71" s="33">
        <v>2545.8200000000002</v>
      </c>
      <c r="F71" s="33">
        <v>37889.32</v>
      </c>
      <c r="G71" s="33">
        <v>183982.16</v>
      </c>
      <c r="H71" s="33">
        <v>55045.22</v>
      </c>
      <c r="I71" s="74">
        <v>46278.87</v>
      </c>
      <c r="J71" s="103"/>
    </row>
    <row r="72" spans="1:10" ht="13.5" customHeight="1">
      <c r="A72" s="60"/>
      <c r="B72" s="33"/>
      <c r="C72" s="33"/>
      <c r="D72" s="33"/>
      <c r="E72" s="33"/>
      <c r="F72" s="33"/>
      <c r="G72" s="33"/>
      <c r="H72" s="33"/>
      <c r="I72" s="74"/>
      <c r="J72" s="103"/>
    </row>
    <row r="73" spans="1:10" ht="13.5" customHeight="1">
      <c r="A73" s="60">
        <v>2022.1</v>
      </c>
      <c r="B73" s="33">
        <v>393953.92</v>
      </c>
      <c r="C73" s="33">
        <v>15142.2</v>
      </c>
      <c r="D73" s="33">
        <v>41700.230000000003</v>
      </c>
      <c r="E73" s="33">
        <v>2636.93</v>
      </c>
      <c r="F73" s="33">
        <v>38901.86</v>
      </c>
      <c r="G73" s="33">
        <v>182760.83</v>
      </c>
      <c r="H73" s="33">
        <v>55488.46</v>
      </c>
      <c r="I73" s="74">
        <v>57323.41</v>
      </c>
      <c r="J73" s="103"/>
    </row>
    <row r="74" spans="1:10" ht="13.5" customHeight="1">
      <c r="A74" s="60">
        <v>2</v>
      </c>
      <c r="B74" s="33">
        <v>396183.57</v>
      </c>
      <c r="C74" s="33">
        <v>14942.51</v>
      </c>
      <c r="D74" s="33">
        <v>41991.87</v>
      </c>
      <c r="E74" s="33">
        <v>2652.19</v>
      </c>
      <c r="F74" s="33">
        <v>39997.07</v>
      </c>
      <c r="G74" s="33">
        <v>182387.45</v>
      </c>
      <c r="H74" s="33">
        <v>56450.46</v>
      </c>
      <c r="I74" s="74">
        <v>57762.02</v>
      </c>
      <c r="J74" s="103"/>
    </row>
    <row r="75" spans="1:10" ht="13.5" customHeight="1">
      <c r="A75" s="60">
        <v>3</v>
      </c>
      <c r="B75" s="33">
        <v>399187.8</v>
      </c>
      <c r="C75" s="33">
        <v>15094.2</v>
      </c>
      <c r="D75" s="33">
        <v>42966.35</v>
      </c>
      <c r="E75" s="33">
        <v>2615.0500000000002</v>
      </c>
      <c r="F75" s="33">
        <v>40919.58</v>
      </c>
      <c r="G75" s="33">
        <v>183647.35999999999</v>
      </c>
      <c r="H75" s="33">
        <v>57321.54</v>
      </c>
      <c r="I75" s="74">
        <v>56623.71</v>
      </c>
      <c r="J75" s="103"/>
    </row>
    <row r="76" spans="1:10" ht="13.5" customHeight="1">
      <c r="A76" s="60"/>
      <c r="B76" s="33"/>
      <c r="C76" s="33"/>
      <c r="D76" s="33"/>
      <c r="E76" s="33"/>
      <c r="F76" s="33"/>
      <c r="G76" s="33"/>
      <c r="H76" s="33"/>
      <c r="I76" s="74"/>
      <c r="J76" s="103"/>
    </row>
    <row r="77" spans="1:10" ht="13.5" customHeight="1">
      <c r="A77" s="60">
        <v>4</v>
      </c>
      <c r="B77" s="33">
        <v>399040.71</v>
      </c>
      <c r="C77" s="33">
        <v>15045.72</v>
      </c>
      <c r="D77" s="33">
        <v>43092.88</v>
      </c>
      <c r="E77" s="33">
        <v>2618.69</v>
      </c>
      <c r="F77" s="33">
        <v>41526.980000000003</v>
      </c>
      <c r="G77" s="33">
        <v>184961.76</v>
      </c>
      <c r="H77" s="33">
        <v>58338.37</v>
      </c>
      <c r="I77" s="74">
        <v>53456.31</v>
      </c>
      <c r="J77" s="103"/>
    </row>
    <row r="78" spans="1:10" ht="13.5" customHeight="1">
      <c r="A78" s="60">
        <v>5</v>
      </c>
      <c r="B78" s="33">
        <v>401574.5</v>
      </c>
      <c r="C78" s="33">
        <v>15081.91</v>
      </c>
      <c r="D78" s="33">
        <v>42897.17</v>
      </c>
      <c r="E78" s="33">
        <v>2440.81</v>
      </c>
      <c r="F78" s="33">
        <v>42623.91</v>
      </c>
      <c r="G78" s="33">
        <v>185534.19</v>
      </c>
      <c r="H78" s="33">
        <v>59344.57</v>
      </c>
      <c r="I78" s="74">
        <v>53651.94</v>
      </c>
      <c r="J78" s="103"/>
    </row>
    <row r="79" spans="1:10" ht="13.5" customHeight="1">
      <c r="A79" s="60">
        <v>6</v>
      </c>
      <c r="B79" s="33">
        <v>405660.68</v>
      </c>
      <c r="C79" s="33">
        <v>14819.05</v>
      </c>
      <c r="D79" s="33">
        <v>43489.49</v>
      </c>
      <c r="E79" s="33">
        <v>2333.36</v>
      </c>
      <c r="F79" s="33">
        <v>43098.8</v>
      </c>
      <c r="G79" s="33">
        <v>187800.69</v>
      </c>
      <c r="H79" s="33">
        <v>59685.04</v>
      </c>
      <c r="I79" s="74">
        <v>54434.25</v>
      </c>
      <c r="J79" s="103"/>
    </row>
    <row r="80" spans="1:10" ht="13.5" customHeight="1">
      <c r="A80" s="60"/>
      <c r="B80" s="33"/>
      <c r="C80" s="33"/>
      <c r="D80" s="33"/>
      <c r="E80" s="33"/>
      <c r="F80" s="33"/>
      <c r="G80" s="33"/>
      <c r="H80" s="33"/>
      <c r="I80" s="74"/>
      <c r="J80" s="103"/>
    </row>
    <row r="81" spans="1:10" ht="13.5" customHeight="1">
      <c r="A81" s="60">
        <v>7</v>
      </c>
      <c r="B81" s="33">
        <v>404502.53</v>
      </c>
      <c r="C81" s="33">
        <v>14464.85</v>
      </c>
      <c r="D81" s="33">
        <v>42984.46</v>
      </c>
      <c r="E81" s="33">
        <v>2160.2600000000002</v>
      </c>
      <c r="F81" s="33">
        <v>43748.79</v>
      </c>
      <c r="G81" s="33">
        <v>187430.7</v>
      </c>
      <c r="H81" s="33">
        <v>59847.45</v>
      </c>
      <c r="I81" s="74">
        <v>53866.02</v>
      </c>
      <c r="J81" s="103"/>
    </row>
    <row r="82" spans="1:10" ht="13.5" customHeight="1">
      <c r="A82" s="60">
        <v>8</v>
      </c>
      <c r="B82" s="33">
        <v>403449.18</v>
      </c>
      <c r="C82" s="33">
        <v>14506.35</v>
      </c>
      <c r="D82" s="33">
        <v>43033.97</v>
      </c>
      <c r="E82" s="33">
        <v>2020.46</v>
      </c>
      <c r="F82" s="33">
        <v>44559.35</v>
      </c>
      <c r="G82" s="33">
        <v>188068.71</v>
      </c>
      <c r="H82" s="33">
        <v>60734.63</v>
      </c>
      <c r="I82" s="74">
        <v>50525.71</v>
      </c>
      <c r="J82" s="103"/>
    </row>
    <row r="83" spans="1:10" ht="13.5" customHeight="1">
      <c r="A83" s="60">
        <v>9</v>
      </c>
      <c r="B83" s="33">
        <v>404700.08</v>
      </c>
      <c r="C83" s="33">
        <v>14411.74</v>
      </c>
      <c r="D83" s="33">
        <v>43497.93</v>
      </c>
      <c r="E83" s="33">
        <v>1946.36</v>
      </c>
      <c r="F83" s="33">
        <v>44630.66</v>
      </c>
      <c r="G83" s="33">
        <v>189476.74</v>
      </c>
      <c r="H83" s="33">
        <v>61144.32</v>
      </c>
      <c r="I83" s="74">
        <v>49592.32</v>
      </c>
      <c r="J83" s="103"/>
    </row>
    <row r="84" spans="1:10" ht="13.5" customHeight="1">
      <c r="A84" s="60"/>
      <c r="B84" s="33"/>
      <c r="C84" s="33"/>
      <c r="D84" s="33"/>
      <c r="E84" s="33"/>
      <c r="F84" s="33"/>
      <c r="G84" s="33"/>
      <c r="H84" s="33"/>
      <c r="I84" s="74"/>
      <c r="J84" s="103"/>
    </row>
    <row r="85" spans="1:10" ht="13.5" customHeight="1">
      <c r="A85" s="60">
        <v>10</v>
      </c>
      <c r="B85" s="33">
        <v>401350.54</v>
      </c>
      <c r="C85" s="33">
        <v>13824.45</v>
      </c>
      <c r="D85" s="33">
        <v>43553.69</v>
      </c>
      <c r="E85" s="33">
        <v>2263.84</v>
      </c>
      <c r="F85" s="33">
        <v>44082.17</v>
      </c>
      <c r="G85" s="33">
        <v>188839.35</v>
      </c>
      <c r="H85" s="33">
        <v>60886.76</v>
      </c>
      <c r="I85" s="74">
        <v>47900.28</v>
      </c>
      <c r="J85" s="103"/>
    </row>
    <row r="86" spans="1:10" ht="13.5" customHeight="1">
      <c r="A86" s="60">
        <v>11</v>
      </c>
      <c r="B86" s="33">
        <v>404574.76</v>
      </c>
      <c r="C86" s="33">
        <v>13728.14</v>
      </c>
      <c r="D86" s="33">
        <v>44044.959999999999</v>
      </c>
      <c r="E86" s="33">
        <v>2211.09</v>
      </c>
      <c r="F86" s="33">
        <v>44230.5</v>
      </c>
      <c r="G86" s="33">
        <v>190191.88</v>
      </c>
      <c r="H86" s="33">
        <v>62176.98</v>
      </c>
      <c r="I86" s="74">
        <v>47991.199999999997</v>
      </c>
      <c r="J86" s="103"/>
    </row>
    <row r="87" spans="1:10" ht="13.5" customHeight="1">
      <c r="A87" s="60">
        <v>12</v>
      </c>
      <c r="B87" s="33">
        <v>411654.27</v>
      </c>
      <c r="C87" s="33">
        <v>13315.85</v>
      </c>
      <c r="D87" s="33">
        <v>44663.68</v>
      </c>
      <c r="E87" s="33">
        <v>2219.39</v>
      </c>
      <c r="F87" s="33">
        <v>45191.69</v>
      </c>
      <c r="G87" s="33">
        <v>193576.43</v>
      </c>
      <c r="H87" s="33">
        <v>63797.02</v>
      </c>
      <c r="I87" s="74">
        <v>48890.21</v>
      </c>
      <c r="J87" s="103"/>
    </row>
    <row r="88" spans="1:10" ht="13.5" customHeight="1">
      <c r="A88" s="60"/>
      <c r="B88" s="33"/>
      <c r="C88" s="33"/>
      <c r="D88" s="33"/>
      <c r="E88" s="33"/>
      <c r="F88" s="33"/>
      <c r="G88" s="33"/>
      <c r="H88" s="33"/>
      <c r="I88" s="74"/>
      <c r="J88" s="103"/>
    </row>
    <row r="89" spans="1:10" ht="13.5" customHeight="1">
      <c r="A89" s="60">
        <v>2023.1</v>
      </c>
      <c r="B89" s="33">
        <v>415989.73</v>
      </c>
      <c r="C89" s="33">
        <v>12864.18</v>
      </c>
      <c r="D89" s="33">
        <v>45345.52</v>
      </c>
      <c r="E89" s="33">
        <v>2553.1</v>
      </c>
      <c r="F89" s="33">
        <v>46592.99</v>
      </c>
      <c r="G89" s="33">
        <v>193473.09</v>
      </c>
      <c r="H89" s="33">
        <v>65335.66</v>
      </c>
      <c r="I89" s="74">
        <v>49825.18</v>
      </c>
      <c r="J89" s="103"/>
    </row>
    <row r="90" spans="1:10" ht="13.5" customHeight="1">
      <c r="A90" s="60">
        <v>2</v>
      </c>
      <c r="B90" s="33">
        <v>416714.43</v>
      </c>
      <c r="C90" s="33">
        <v>13102.66</v>
      </c>
      <c r="D90" s="33">
        <v>45087.25</v>
      </c>
      <c r="E90" s="33">
        <v>2470.67</v>
      </c>
      <c r="F90" s="33">
        <v>47353.81</v>
      </c>
      <c r="G90" s="33">
        <v>193451.11</v>
      </c>
      <c r="H90" s="33">
        <v>66823.839999999997</v>
      </c>
      <c r="I90" s="74">
        <v>48425.1</v>
      </c>
      <c r="J90" s="103"/>
    </row>
    <row r="91" spans="1:10" ht="13.5" customHeight="1">
      <c r="A91" s="60">
        <v>3</v>
      </c>
      <c r="B91" s="33">
        <v>422704.28</v>
      </c>
      <c r="C91" s="33">
        <v>13219.43</v>
      </c>
      <c r="D91" s="33">
        <v>45026.36</v>
      </c>
      <c r="E91" s="33">
        <v>2439.58</v>
      </c>
      <c r="F91" s="33">
        <v>47380.42</v>
      </c>
      <c r="G91" s="33">
        <v>196577.71</v>
      </c>
      <c r="H91" s="33">
        <v>66634.66</v>
      </c>
      <c r="I91" s="74">
        <v>51426.12</v>
      </c>
      <c r="J91" s="103"/>
    </row>
    <row r="92" spans="1:10" ht="13.5" customHeight="1">
      <c r="A92" s="60"/>
      <c r="B92" s="33"/>
      <c r="C92" s="33"/>
      <c r="D92" s="33"/>
      <c r="E92" s="33"/>
      <c r="F92" s="33"/>
      <c r="G92" s="33"/>
      <c r="H92" s="33"/>
      <c r="I92" s="74"/>
      <c r="J92" s="103"/>
    </row>
    <row r="93" spans="1:10" ht="13.5" customHeight="1">
      <c r="A93" s="60">
        <v>4</v>
      </c>
      <c r="B93" s="33">
        <v>427719.81</v>
      </c>
      <c r="C93" s="33">
        <v>13089.56</v>
      </c>
      <c r="D93" s="33">
        <v>45449.43</v>
      </c>
      <c r="E93" s="33">
        <v>2713.82</v>
      </c>
      <c r="F93" s="33">
        <v>47601.09</v>
      </c>
      <c r="G93" s="33">
        <v>198436</v>
      </c>
      <c r="H93" s="33">
        <v>65989.25</v>
      </c>
      <c r="I93" s="74">
        <v>54440.66</v>
      </c>
      <c r="J93" s="103"/>
    </row>
    <row r="94" spans="1:10" ht="13.5" customHeight="1">
      <c r="A94" s="60">
        <v>5</v>
      </c>
      <c r="B94" s="33">
        <v>426578.89</v>
      </c>
      <c r="C94" s="33">
        <v>12964.07</v>
      </c>
      <c r="D94" s="33">
        <v>44892.51</v>
      </c>
      <c r="E94" s="33">
        <v>2745.05</v>
      </c>
      <c r="F94" s="33">
        <v>47643.48</v>
      </c>
      <c r="G94" s="33">
        <v>199146.27</v>
      </c>
      <c r="H94" s="33">
        <v>66453.16</v>
      </c>
      <c r="I94" s="74">
        <v>52734.36</v>
      </c>
      <c r="J94" s="103"/>
    </row>
    <row r="95" spans="1:10" ht="13.5" customHeight="1">
      <c r="A95" s="60">
        <v>6</v>
      </c>
      <c r="B95" s="33">
        <v>422554.11</v>
      </c>
      <c r="C95" s="33">
        <v>11279.72</v>
      </c>
      <c r="D95" s="33">
        <v>45075.09</v>
      </c>
      <c r="E95" s="33">
        <v>2824.59</v>
      </c>
      <c r="F95" s="33">
        <v>48047.87</v>
      </c>
      <c r="G95" s="33">
        <v>202320.52</v>
      </c>
      <c r="H95" s="33">
        <v>66947.199999999997</v>
      </c>
      <c r="I95" s="74">
        <v>46059.11</v>
      </c>
      <c r="J95" s="103"/>
    </row>
    <row r="96" spans="1:10" ht="13.5" customHeight="1">
      <c r="A96" s="60"/>
      <c r="B96" s="33"/>
      <c r="C96" s="33"/>
      <c r="D96" s="33"/>
      <c r="E96" s="33"/>
      <c r="F96" s="33"/>
      <c r="G96" s="33"/>
      <c r="H96" s="33"/>
      <c r="I96" s="74"/>
      <c r="J96" s="103"/>
    </row>
    <row r="97" spans="1:10" ht="13.5" customHeight="1">
      <c r="A97" s="60">
        <v>7</v>
      </c>
      <c r="B97" s="33">
        <v>421304.42</v>
      </c>
      <c r="C97" s="33">
        <v>11229.78</v>
      </c>
      <c r="D97" s="33">
        <v>45102.1</v>
      </c>
      <c r="E97" s="33">
        <v>3197.9</v>
      </c>
      <c r="F97" s="33">
        <v>48172</v>
      </c>
      <c r="G97" s="33">
        <v>204381.85</v>
      </c>
      <c r="H97" s="33">
        <v>63539.75</v>
      </c>
      <c r="I97" s="74">
        <v>45681.05</v>
      </c>
      <c r="J97" s="103"/>
    </row>
    <row r="98" spans="1:10" ht="13.5" customHeight="1">
      <c r="A98" s="60">
        <v>8</v>
      </c>
      <c r="B98" s="33">
        <v>423052.94</v>
      </c>
      <c r="C98" s="33">
        <v>11102.87</v>
      </c>
      <c r="D98" s="33">
        <v>45255.360000000001</v>
      </c>
      <c r="E98" s="33">
        <v>3301.99</v>
      </c>
      <c r="F98" s="33">
        <v>48181.53</v>
      </c>
      <c r="G98" s="33">
        <v>206454.59</v>
      </c>
      <c r="H98" s="33">
        <v>63753.55</v>
      </c>
      <c r="I98" s="74">
        <v>45003.040000000001</v>
      </c>
      <c r="J98" s="103"/>
    </row>
    <row r="99" spans="1:10" ht="13.5" customHeight="1">
      <c r="A99" s="60">
        <v>9</v>
      </c>
      <c r="B99" s="33">
        <v>426481.02</v>
      </c>
      <c r="C99" s="33">
        <v>11330.92</v>
      </c>
      <c r="D99" s="33">
        <v>45700.73</v>
      </c>
      <c r="E99" s="33">
        <v>3296.15</v>
      </c>
      <c r="F99" s="33">
        <v>48210.5</v>
      </c>
      <c r="G99" s="33">
        <v>209456.58</v>
      </c>
      <c r="H99" s="33">
        <v>63837.08</v>
      </c>
      <c r="I99" s="74">
        <v>44649.07</v>
      </c>
      <c r="J99" s="103"/>
    </row>
    <row r="100" spans="1:10" ht="13.5" customHeight="1">
      <c r="A100" s="60"/>
      <c r="B100" s="33"/>
      <c r="C100" s="33"/>
      <c r="D100" s="33"/>
      <c r="E100" s="33"/>
      <c r="F100" s="33"/>
      <c r="G100" s="33"/>
      <c r="H100" s="33"/>
      <c r="I100" s="74"/>
      <c r="J100" s="103"/>
    </row>
    <row r="101" spans="1:10" ht="13.5" customHeight="1">
      <c r="A101" s="60">
        <v>10</v>
      </c>
      <c r="B101" s="33">
        <v>428520.67</v>
      </c>
      <c r="C101" s="33">
        <v>11484.48</v>
      </c>
      <c r="D101" s="33">
        <v>46050.6</v>
      </c>
      <c r="E101" s="33">
        <v>3660.58</v>
      </c>
      <c r="F101" s="33">
        <v>48204.73</v>
      </c>
      <c r="G101" s="33">
        <v>210012.11</v>
      </c>
      <c r="H101" s="33">
        <v>64319.61</v>
      </c>
      <c r="I101" s="74">
        <v>44788.56</v>
      </c>
      <c r="J101" s="103"/>
    </row>
    <row r="102" spans="1:10" ht="13.5" customHeight="1">
      <c r="A102" s="60">
        <v>11</v>
      </c>
      <c r="B102" s="33">
        <v>429362.33</v>
      </c>
      <c r="C102" s="33">
        <v>11459.29</v>
      </c>
      <c r="D102" s="33">
        <v>46118.41</v>
      </c>
      <c r="E102" s="33">
        <v>3546.12</v>
      </c>
      <c r="F102" s="33">
        <v>47737.36</v>
      </c>
      <c r="G102" s="33">
        <v>207999.22</v>
      </c>
      <c r="H102" s="33">
        <v>65357.43</v>
      </c>
      <c r="I102" s="74">
        <v>47144.49</v>
      </c>
      <c r="J102" s="103"/>
    </row>
    <row r="103" spans="1:10" ht="13.5" customHeight="1">
      <c r="A103" s="60">
        <v>12</v>
      </c>
      <c r="B103" s="33">
        <v>436442.33</v>
      </c>
      <c r="C103" s="33">
        <v>11220.57</v>
      </c>
      <c r="D103" s="33">
        <v>46961.279999999999</v>
      </c>
      <c r="E103" s="33">
        <v>3635.88</v>
      </c>
      <c r="F103" s="33">
        <v>47680.39</v>
      </c>
      <c r="G103" s="33">
        <v>210711.26</v>
      </c>
      <c r="H103" s="33">
        <v>65835.03</v>
      </c>
      <c r="I103" s="74">
        <v>50397.91</v>
      </c>
      <c r="J103" s="103"/>
    </row>
    <row r="104" spans="1:10" ht="13.5" customHeight="1">
      <c r="A104" s="60"/>
      <c r="B104" s="33"/>
      <c r="C104" s="33"/>
      <c r="D104" s="33"/>
      <c r="E104" s="33"/>
      <c r="F104" s="33"/>
      <c r="G104" s="33"/>
      <c r="H104" s="33"/>
      <c r="I104" s="74"/>
      <c r="J104" s="103"/>
    </row>
    <row r="105" spans="1:10" ht="13.5" customHeight="1">
      <c r="A105" s="60">
        <v>2024.1</v>
      </c>
      <c r="B105" s="33">
        <v>431130.04</v>
      </c>
      <c r="C105" s="33">
        <v>11465.32</v>
      </c>
      <c r="D105" s="33">
        <v>47080.55</v>
      </c>
      <c r="E105" s="33">
        <v>3711.56</v>
      </c>
      <c r="F105" s="33">
        <v>47670.7</v>
      </c>
      <c r="G105" s="33">
        <v>209204.27</v>
      </c>
      <c r="H105" s="33">
        <v>66657.81</v>
      </c>
      <c r="I105" s="74">
        <v>45339.83</v>
      </c>
      <c r="J105" s="103"/>
    </row>
    <row r="106" spans="1:10" ht="13.5" customHeight="1">
      <c r="A106" s="60">
        <v>2</v>
      </c>
      <c r="B106" s="33">
        <v>436970.5</v>
      </c>
      <c r="C106" s="33">
        <v>11574.52</v>
      </c>
      <c r="D106" s="33">
        <v>46849.440000000002</v>
      </c>
      <c r="E106" s="33">
        <v>3691.75</v>
      </c>
      <c r="F106" s="33">
        <v>48113.62</v>
      </c>
      <c r="G106" s="33">
        <v>209136.81</v>
      </c>
      <c r="H106" s="33">
        <v>67250.179999999993</v>
      </c>
      <c r="I106" s="74">
        <v>50354.18</v>
      </c>
      <c r="J106" s="103"/>
    </row>
    <row r="107" spans="1:10" ht="13.5" customHeight="1">
      <c r="A107" s="60">
        <v>3</v>
      </c>
      <c r="B107" s="33">
        <v>439932.91</v>
      </c>
      <c r="C107" s="33">
        <v>12155.91</v>
      </c>
      <c r="D107" s="33">
        <v>46496.88</v>
      </c>
      <c r="E107" s="33">
        <v>3907.97</v>
      </c>
      <c r="F107" s="33">
        <v>49118.71</v>
      </c>
      <c r="G107" s="33">
        <v>212747.12</v>
      </c>
      <c r="H107" s="33">
        <v>67955.990000000005</v>
      </c>
      <c r="I107" s="74">
        <v>47550.33</v>
      </c>
      <c r="J107" s="103"/>
    </row>
    <row r="108" spans="1:10" ht="13.5" customHeight="1">
      <c r="A108" s="60"/>
      <c r="B108" s="33"/>
      <c r="C108" s="33"/>
      <c r="D108" s="33"/>
      <c r="E108" s="33"/>
      <c r="F108" s="33"/>
      <c r="G108" s="33"/>
      <c r="H108" s="33"/>
      <c r="I108" s="74"/>
      <c r="J108" s="103"/>
    </row>
    <row r="109" spans="1:10" ht="13.5" customHeight="1">
      <c r="A109" s="60">
        <v>4</v>
      </c>
      <c r="B109" s="33">
        <v>444254.6</v>
      </c>
      <c r="C109" s="33">
        <v>11930.63</v>
      </c>
      <c r="D109" s="33">
        <v>46166.85</v>
      </c>
      <c r="E109" s="33">
        <v>4036.25</v>
      </c>
      <c r="F109" s="33">
        <v>49528.29</v>
      </c>
      <c r="G109" s="33">
        <v>213161.41</v>
      </c>
      <c r="H109" s="33">
        <v>68348.98</v>
      </c>
      <c r="I109" s="74">
        <v>51082.2</v>
      </c>
      <c r="J109" s="103"/>
    </row>
    <row r="110" spans="1:10" ht="13.5" customHeight="1">
      <c r="A110" s="60">
        <v>5</v>
      </c>
      <c r="B110" s="33">
        <v>444879.96</v>
      </c>
      <c r="C110" s="33">
        <v>11813.45</v>
      </c>
      <c r="D110" s="33">
        <v>45913.15</v>
      </c>
      <c r="E110" s="33">
        <v>4054.88</v>
      </c>
      <c r="F110" s="33">
        <v>49658.3</v>
      </c>
      <c r="G110" s="33">
        <v>213833.44</v>
      </c>
      <c r="H110" s="33">
        <v>68566.240000000005</v>
      </c>
      <c r="I110" s="74">
        <v>51040.49</v>
      </c>
      <c r="J110" s="103"/>
    </row>
    <row r="111" spans="1:10" ht="13.5" customHeight="1">
      <c r="A111" s="60">
        <v>6</v>
      </c>
      <c r="B111" s="33">
        <v>447075.9</v>
      </c>
      <c r="C111" s="33">
        <v>11929.62</v>
      </c>
      <c r="D111" s="33">
        <v>45898.95</v>
      </c>
      <c r="E111" s="33">
        <v>4111.72</v>
      </c>
      <c r="F111" s="33">
        <v>50319.79</v>
      </c>
      <c r="G111" s="33">
        <v>217550.14</v>
      </c>
      <c r="H111" s="33">
        <v>68963.58</v>
      </c>
      <c r="I111" s="74">
        <v>48302.1</v>
      </c>
      <c r="J111" s="103"/>
    </row>
    <row r="112" spans="1:10" ht="13.5" customHeight="1">
      <c r="A112" s="60"/>
      <c r="B112" s="33"/>
      <c r="C112" s="33"/>
      <c r="D112" s="33"/>
      <c r="E112" s="33"/>
      <c r="F112" s="33"/>
      <c r="G112" s="33"/>
      <c r="H112" s="33"/>
      <c r="I112" s="74"/>
      <c r="J112" s="103"/>
    </row>
    <row r="113" spans="1:10" ht="13.5" customHeight="1">
      <c r="A113" s="60">
        <v>7</v>
      </c>
      <c r="B113" s="33">
        <v>450196.06</v>
      </c>
      <c r="C113" s="33">
        <v>14368.39</v>
      </c>
      <c r="D113" s="33">
        <v>45438.87</v>
      </c>
      <c r="E113" s="33">
        <v>4075.81</v>
      </c>
      <c r="F113" s="33">
        <v>50336.74</v>
      </c>
      <c r="G113" s="33">
        <v>218045.28</v>
      </c>
      <c r="H113" s="33">
        <v>69392.350000000006</v>
      </c>
      <c r="I113" s="74">
        <v>48538.63</v>
      </c>
      <c r="J113" s="103"/>
    </row>
    <row r="114" spans="1:10" ht="13.5" customHeight="1">
      <c r="A114" s="60">
        <v>8</v>
      </c>
      <c r="B114" s="33">
        <v>452837.29</v>
      </c>
      <c r="C114" s="33">
        <v>14401.68</v>
      </c>
      <c r="D114" s="33">
        <v>45636.5</v>
      </c>
      <c r="E114" s="33">
        <v>4166.38</v>
      </c>
      <c r="F114" s="33">
        <v>50457.279999999999</v>
      </c>
      <c r="G114" s="33">
        <v>219636.38</v>
      </c>
      <c r="H114" s="33">
        <v>69765.960000000006</v>
      </c>
      <c r="I114" s="74">
        <v>48773.120000000003</v>
      </c>
      <c r="J114" s="103"/>
    </row>
    <row r="115" spans="1:10" ht="13.5" customHeight="1">
      <c r="A115" s="60">
        <v>9</v>
      </c>
      <c r="B115" s="33">
        <v>450087.79</v>
      </c>
      <c r="C115" s="33">
        <v>14500.12</v>
      </c>
      <c r="D115" s="33">
        <v>45249.82</v>
      </c>
      <c r="E115" s="33">
        <v>4170.34</v>
      </c>
      <c r="F115" s="33">
        <v>50518.07</v>
      </c>
      <c r="G115" s="33">
        <v>221395.4</v>
      </c>
      <c r="H115" s="33">
        <v>69991.92</v>
      </c>
      <c r="I115" s="74">
        <v>44262.13</v>
      </c>
      <c r="J115" s="103"/>
    </row>
    <row r="116" spans="1:10" ht="13.5" customHeight="1">
      <c r="A116" s="60"/>
      <c r="B116" s="33"/>
      <c r="C116" s="33"/>
      <c r="D116" s="33"/>
      <c r="E116" s="33"/>
      <c r="F116" s="33"/>
      <c r="G116" s="33"/>
      <c r="H116" s="33"/>
      <c r="I116" s="74"/>
      <c r="J116" s="103"/>
    </row>
    <row r="117" spans="1:10" ht="13.5" customHeight="1">
      <c r="A117" s="60">
        <v>10</v>
      </c>
      <c r="B117" s="33">
        <v>449634.93</v>
      </c>
      <c r="C117" s="33">
        <v>14428.42</v>
      </c>
      <c r="D117" s="33">
        <v>45767.47</v>
      </c>
      <c r="E117" s="33">
        <v>4064.93</v>
      </c>
      <c r="F117" s="33">
        <v>50935.39</v>
      </c>
      <c r="G117" s="33">
        <v>222438.95</v>
      </c>
      <c r="H117" s="33">
        <v>70220.740000000005</v>
      </c>
      <c r="I117" s="74">
        <v>41779.040000000001</v>
      </c>
      <c r="J117" s="103"/>
    </row>
    <row r="118" spans="1:10" ht="13.5" customHeight="1">
      <c r="A118" s="60">
        <v>11</v>
      </c>
      <c r="B118" s="33">
        <v>454316.09</v>
      </c>
      <c r="C118" s="33">
        <v>14421.11</v>
      </c>
      <c r="D118" s="33">
        <v>47364.12</v>
      </c>
      <c r="E118" s="33">
        <v>4003.28</v>
      </c>
      <c r="F118" s="33">
        <v>51346.97</v>
      </c>
      <c r="G118" s="33">
        <v>222349.47</v>
      </c>
      <c r="H118" s="33">
        <v>70175.39</v>
      </c>
      <c r="I118" s="74">
        <v>44655.75</v>
      </c>
      <c r="J118" s="103"/>
    </row>
    <row r="119" spans="1:10" ht="13.5" customHeight="1">
      <c r="A119" s="60">
        <v>12</v>
      </c>
      <c r="B119" s="33">
        <v>465017.38</v>
      </c>
      <c r="C119" s="33">
        <v>14423.2</v>
      </c>
      <c r="D119" s="33">
        <v>48633.37</v>
      </c>
      <c r="E119" s="33">
        <v>3674.91</v>
      </c>
      <c r="F119" s="33">
        <v>51593.3</v>
      </c>
      <c r="G119" s="33">
        <v>224560.78</v>
      </c>
      <c r="H119" s="33">
        <v>70496.479999999996</v>
      </c>
      <c r="I119" s="74">
        <v>51635.33</v>
      </c>
      <c r="J119" s="103"/>
    </row>
    <row r="120" spans="1:10" ht="13.5" customHeight="1">
      <c r="A120" s="60"/>
      <c r="B120" s="33"/>
      <c r="C120" s="33"/>
      <c r="D120" s="33"/>
      <c r="E120" s="33"/>
      <c r="F120" s="33"/>
      <c r="G120" s="33"/>
      <c r="H120" s="33"/>
      <c r="I120" s="74"/>
      <c r="J120" s="103"/>
    </row>
    <row r="121" spans="1:10" ht="13.5" customHeight="1">
      <c r="A121" s="60">
        <v>2025.1</v>
      </c>
      <c r="B121" s="33">
        <v>463739.18</v>
      </c>
      <c r="C121" s="33">
        <v>14476.48</v>
      </c>
      <c r="D121" s="33">
        <v>48666.16</v>
      </c>
      <c r="E121" s="33">
        <v>3271.43</v>
      </c>
      <c r="F121" s="33">
        <v>51786.85</v>
      </c>
      <c r="G121" s="33">
        <v>222960.59</v>
      </c>
      <c r="H121" s="33">
        <v>70794.23</v>
      </c>
      <c r="I121" s="74">
        <v>51783.44</v>
      </c>
      <c r="J121" s="103"/>
    </row>
    <row r="122" spans="1:10" ht="13.5" customHeight="1">
      <c r="A122" s="60">
        <v>2</v>
      </c>
      <c r="B122" s="33">
        <v>464941.24</v>
      </c>
      <c r="C122" s="33">
        <v>14613.13</v>
      </c>
      <c r="D122" s="33">
        <v>49435.6</v>
      </c>
      <c r="E122" s="33">
        <v>3225.83</v>
      </c>
      <c r="F122" s="33">
        <v>52085.94</v>
      </c>
      <c r="G122" s="33">
        <v>222748.81</v>
      </c>
      <c r="H122" s="33">
        <v>71398.11</v>
      </c>
      <c r="I122" s="74">
        <v>51433.82</v>
      </c>
      <c r="J122" s="103"/>
    </row>
    <row r="123" spans="1:10" ht="13.5" customHeight="1">
      <c r="A123" s="60">
        <v>3</v>
      </c>
      <c r="B123" s="33">
        <v>468187.68</v>
      </c>
      <c r="C123" s="33">
        <v>15111.89</v>
      </c>
      <c r="D123" s="33">
        <v>50285.1</v>
      </c>
      <c r="E123" s="33">
        <v>2977.72</v>
      </c>
      <c r="F123" s="33">
        <v>52674.84</v>
      </c>
      <c r="G123" s="33">
        <v>225587.63</v>
      </c>
      <c r="H123" s="33">
        <v>71810.31</v>
      </c>
      <c r="I123" s="74">
        <v>49740.19</v>
      </c>
      <c r="J123" s="103"/>
    </row>
    <row r="124" spans="1:10" ht="13.5" customHeight="1">
      <c r="A124" s="60"/>
      <c r="B124" s="33"/>
      <c r="C124" s="33"/>
      <c r="D124" s="33"/>
      <c r="E124" s="33"/>
      <c r="F124" s="33"/>
      <c r="G124" s="33"/>
      <c r="H124" s="33"/>
      <c r="I124" s="74"/>
      <c r="J124" s="103"/>
    </row>
    <row r="125" spans="1:10" ht="13.5" customHeight="1">
      <c r="A125" s="60">
        <v>4</v>
      </c>
      <c r="B125" s="33">
        <v>471645.98</v>
      </c>
      <c r="C125" s="33">
        <v>16054.99</v>
      </c>
      <c r="D125" s="33">
        <v>51706.74</v>
      </c>
      <c r="E125" s="33">
        <v>2892.65</v>
      </c>
      <c r="F125" s="33">
        <v>52564.67</v>
      </c>
      <c r="G125" s="33">
        <v>226158.47</v>
      </c>
      <c r="H125" s="33">
        <v>72374.12</v>
      </c>
      <c r="I125" s="74">
        <v>49894.35</v>
      </c>
      <c r="J125" s="103"/>
    </row>
    <row r="126" spans="1:10" ht="13.5" customHeight="1">
      <c r="A126" s="60">
        <v>5</v>
      </c>
      <c r="B126" s="33">
        <v>472539.07</v>
      </c>
      <c r="C126" s="33">
        <v>15508.31</v>
      </c>
      <c r="D126" s="33">
        <v>52354.93</v>
      </c>
      <c r="E126" s="33">
        <v>2816.18</v>
      </c>
      <c r="F126" s="33">
        <v>52897.599999999999</v>
      </c>
      <c r="G126" s="33">
        <v>226607.13</v>
      </c>
      <c r="H126" s="33">
        <v>72545.72</v>
      </c>
      <c r="I126" s="74">
        <v>49809.2</v>
      </c>
      <c r="J126" s="103"/>
    </row>
    <row r="127" spans="1:10" ht="13.5" customHeight="1">
      <c r="A127" s="60">
        <v>6</v>
      </c>
      <c r="B127" s="33">
        <v>475398.69</v>
      </c>
      <c r="C127" s="33">
        <v>15528.73</v>
      </c>
      <c r="D127" s="33">
        <v>52561.760000000002</v>
      </c>
      <c r="E127" s="33">
        <v>2687.31</v>
      </c>
      <c r="F127" s="33">
        <v>53129.27</v>
      </c>
      <c r="G127" s="33">
        <v>228625.73</v>
      </c>
      <c r="H127" s="33">
        <v>72972.13</v>
      </c>
      <c r="I127" s="74">
        <v>49893.760000000002</v>
      </c>
      <c r="J127" s="103"/>
    </row>
    <row r="128" spans="1:10" ht="13.5" customHeight="1">
      <c r="A128" s="60"/>
      <c r="B128" s="33"/>
      <c r="C128" s="33"/>
      <c r="D128" s="33"/>
      <c r="E128" s="33"/>
      <c r="F128" s="33"/>
      <c r="G128" s="33"/>
      <c r="H128" s="33"/>
      <c r="I128" s="74"/>
      <c r="J128" s="103"/>
    </row>
    <row r="129" spans="1:19" ht="13.5" customHeight="1">
      <c r="A129" s="60">
        <v>7</v>
      </c>
      <c r="B129" s="33">
        <v>480056.41</v>
      </c>
      <c r="C129" s="33">
        <v>16210.94</v>
      </c>
      <c r="D129" s="33">
        <v>52999.96</v>
      </c>
      <c r="E129" s="33">
        <v>2681.95</v>
      </c>
      <c r="F129" s="33">
        <v>53479.9</v>
      </c>
      <c r="G129" s="33">
        <v>229226.45</v>
      </c>
      <c r="H129" s="33">
        <v>73517.509999999995</v>
      </c>
      <c r="I129" s="74">
        <v>51939.7</v>
      </c>
      <c r="J129" s="103"/>
    </row>
    <row r="130" spans="1:19" ht="13.5" customHeight="1">
      <c r="A130" s="60">
        <v>8</v>
      </c>
      <c r="B130" s="33">
        <v>480508.57</v>
      </c>
      <c r="C130" s="33">
        <v>16285.73</v>
      </c>
      <c r="D130" s="33">
        <v>53019.08</v>
      </c>
      <c r="E130" s="33">
        <v>2717.04</v>
      </c>
      <c r="F130" s="33">
        <v>53576.12</v>
      </c>
      <c r="G130" s="33">
        <v>230806.67</v>
      </c>
      <c r="H130" s="33">
        <v>74031.070000000007</v>
      </c>
      <c r="I130" s="74">
        <v>50072.86</v>
      </c>
      <c r="J130" s="103"/>
    </row>
    <row r="131" spans="1:19" ht="13.5" customHeight="1">
      <c r="A131" s="60">
        <v>9</v>
      </c>
      <c r="B131" s="33">
        <v>486306.79</v>
      </c>
      <c r="C131" s="33">
        <v>16881.21</v>
      </c>
      <c r="D131" s="33">
        <v>52652.52</v>
      </c>
      <c r="E131" s="33">
        <v>2801.72</v>
      </c>
      <c r="F131" s="33">
        <v>53782.41</v>
      </c>
      <c r="G131" s="33">
        <v>233433.99</v>
      </c>
      <c r="H131" s="33">
        <v>74557.460000000006</v>
      </c>
      <c r="I131" s="74">
        <v>52197.48</v>
      </c>
      <c r="J131" s="103"/>
    </row>
    <row r="132" spans="1:19" ht="13.5" customHeight="1">
      <c r="A132" s="60"/>
      <c r="B132" s="33"/>
      <c r="C132" s="33"/>
      <c r="D132" s="33"/>
      <c r="E132" s="33"/>
      <c r="F132" s="33"/>
      <c r="G132" s="33"/>
      <c r="H132" s="33"/>
      <c r="I132" s="74"/>
      <c r="J132" s="103"/>
    </row>
    <row r="133" spans="1:19" ht="13.5" customHeight="1">
      <c r="A133" s="60">
        <v>10</v>
      </c>
      <c r="B133" s="33">
        <v>485902.29</v>
      </c>
      <c r="C133" s="33">
        <v>17011.78</v>
      </c>
      <c r="D133" s="33">
        <v>53130.31</v>
      </c>
      <c r="E133" s="33">
        <v>2822.46</v>
      </c>
      <c r="F133" s="33">
        <v>53777.19</v>
      </c>
      <c r="G133" s="33">
        <v>233835.2</v>
      </c>
      <c r="H133" s="33">
        <v>74749.83</v>
      </c>
      <c r="I133" s="74">
        <v>50575.519999999997</v>
      </c>
      <c r="J133" s="103"/>
    </row>
    <row r="134" spans="1:19" ht="13.5" customHeight="1">
      <c r="A134" s="60" t="s">
        <v>212</v>
      </c>
      <c r="B134" s="33">
        <v>484261.01</v>
      </c>
      <c r="C134" s="33">
        <v>16934.54</v>
      </c>
      <c r="D134" s="33">
        <v>53611.48</v>
      </c>
      <c r="E134" s="33">
        <v>2957.83</v>
      </c>
      <c r="F134" s="33">
        <v>53763.68</v>
      </c>
      <c r="G134" s="33">
        <v>232712.01</v>
      </c>
      <c r="H134" s="33">
        <v>74891.929999999993</v>
      </c>
      <c r="I134" s="74">
        <v>49389.52</v>
      </c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</row>
    <row r="135" spans="1:19" ht="13.5" customHeight="1">
      <c r="A135" s="194" t="s">
        <v>213</v>
      </c>
      <c r="B135" s="203">
        <v>493950.93</v>
      </c>
      <c r="C135" s="203">
        <v>16972.009999999998</v>
      </c>
      <c r="D135" s="203">
        <v>55140.15</v>
      </c>
      <c r="E135" s="203">
        <v>3312.55</v>
      </c>
      <c r="F135" s="203">
        <v>54548.15</v>
      </c>
      <c r="G135" s="203">
        <v>233744.55</v>
      </c>
      <c r="H135" s="203">
        <v>75079.38</v>
      </c>
      <c r="I135" s="204">
        <v>55154.14</v>
      </c>
      <c r="J135" s="151"/>
    </row>
    <row r="136" spans="1:19" ht="13.5" customHeight="1">
      <c r="A136" s="60"/>
      <c r="B136" s="33"/>
      <c r="C136" s="33"/>
      <c r="D136" s="33"/>
      <c r="E136" s="33"/>
      <c r="F136" s="33"/>
      <c r="G136" s="33"/>
      <c r="H136" s="33"/>
      <c r="I136" s="74"/>
      <c r="J136" s="103"/>
    </row>
    <row r="137" spans="1:19" ht="13.5" customHeight="1">
      <c r="A137" s="194" t="s">
        <v>266</v>
      </c>
      <c r="B137" s="203">
        <v>492122.55</v>
      </c>
      <c r="C137" s="203">
        <v>17291.59</v>
      </c>
      <c r="D137" s="203">
        <v>55627.24</v>
      </c>
      <c r="E137" s="203">
        <v>3366.59</v>
      </c>
      <c r="F137" s="203">
        <v>54764.94</v>
      </c>
      <c r="G137" s="203">
        <v>230918.72</v>
      </c>
      <c r="H137" s="203">
        <v>74892.350000000006</v>
      </c>
      <c r="I137" s="204">
        <v>55261.13</v>
      </c>
      <c r="J137" s="13"/>
    </row>
    <row r="138" spans="1:19" ht="13.5" customHeight="1">
      <c r="A138" s="194" t="s">
        <v>215</v>
      </c>
      <c r="B138" s="203">
        <v>489600.72</v>
      </c>
      <c r="C138" s="203">
        <v>16985.91</v>
      </c>
      <c r="D138" s="203">
        <v>56698.43</v>
      </c>
      <c r="E138" s="203">
        <v>3512.89</v>
      </c>
      <c r="F138" s="203">
        <v>54282.96</v>
      </c>
      <c r="G138" s="203">
        <v>228495.23</v>
      </c>
      <c r="H138" s="203">
        <v>74469.8</v>
      </c>
      <c r="I138" s="204">
        <v>55155.51</v>
      </c>
    </row>
    <row r="139" spans="1:19">
      <c r="A139" s="195" t="s">
        <v>265</v>
      </c>
      <c r="B139" s="198">
        <v>490384.25</v>
      </c>
      <c r="C139" s="198">
        <v>17041.7</v>
      </c>
      <c r="D139" s="198">
        <v>57144.05</v>
      </c>
      <c r="E139" s="198">
        <v>3470.9</v>
      </c>
      <c r="F139" s="198">
        <v>53401.5</v>
      </c>
      <c r="G139" s="198">
        <v>227665.45</v>
      </c>
      <c r="H139" s="198">
        <v>74567.02</v>
      </c>
      <c r="I139" s="200">
        <v>57093.63</v>
      </c>
    </row>
    <row r="140" spans="1:19" s="13" customFormat="1">
      <c r="A140" s="23" t="s">
        <v>191</v>
      </c>
      <c r="B140" s="3"/>
      <c r="C140" s="3"/>
      <c r="D140" s="3"/>
      <c r="E140" s="3"/>
      <c r="F140" s="3"/>
      <c r="G140" s="3"/>
      <c r="H140" s="3"/>
      <c r="I140" s="3"/>
    </row>
  </sheetData>
  <sortState ref="C28:I28">
    <sortCondition ref="E27"/>
  </sortState>
  <mergeCells count="3">
    <mergeCell ref="A6:A7"/>
    <mergeCell ref="B6:I6"/>
    <mergeCell ref="A1:I1"/>
  </mergeCells>
  <phoneticPr fontId="9" type="noConversion"/>
  <printOptions horizontalCentered="1"/>
  <pageMargins left="0.55118110236220474" right="0.55118110236220474" top="0.78740157480314965" bottom="0.78740157480314965" header="0.39370078740157483" footer="0.39370078740157483"/>
  <pageSetup paperSize="9" scale="3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  <pageSetUpPr fitToPage="1"/>
  </sheetPr>
  <dimension ref="A1:I143"/>
  <sheetViews>
    <sheetView zoomScale="85" zoomScaleNormal="85" workbookViewId="0">
      <pane xSplit="1" ySplit="7" topLeftCell="B128" activePane="bottomRight" state="frozen"/>
      <selection activeCell="E91" sqref="E91"/>
      <selection pane="topRight" activeCell="E91" sqref="E91"/>
      <selection pane="bottomLeft" activeCell="E91" sqref="E91"/>
      <selection pane="bottomRight" activeCell="B142" sqref="B142"/>
    </sheetView>
  </sheetViews>
  <sheetFormatPr defaultColWidth="8.88671875" defaultRowHeight="13.5"/>
  <cols>
    <col min="1" max="1" width="10.77734375" style="12" customWidth="1"/>
    <col min="2" max="2" width="13.33203125" style="12" customWidth="1"/>
    <col min="3" max="3" width="9.6640625" style="12" customWidth="1"/>
    <col min="4" max="4" width="10.77734375" style="12" customWidth="1"/>
    <col min="5" max="5" width="12.33203125" style="12" customWidth="1"/>
    <col min="6" max="6" width="12" style="12" customWidth="1"/>
    <col min="7" max="7" width="11.6640625" style="12" customWidth="1"/>
    <col min="8" max="8" width="9" style="12" customWidth="1"/>
    <col min="9" max="16384" width="8.88671875" style="12"/>
  </cols>
  <sheetData>
    <row r="1" spans="1:9" s="1" customFormat="1" ht="12">
      <c r="A1" s="52" t="s">
        <v>115</v>
      </c>
      <c r="B1" s="111"/>
      <c r="C1" s="111"/>
      <c r="D1" s="111"/>
      <c r="E1" s="111"/>
      <c r="F1" s="111"/>
      <c r="G1" s="111"/>
      <c r="H1" s="111"/>
    </row>
    <row r="2" spans="1:9" s="1" customFormat="1" ht="12">
      <c r="C2" s="50"/>
      <c r="D2" s="50"/>
      <c r="E2" s="50"/>
      <c r="F2" s="50"/>
      <c r="G2" s="4"/>
      <c r="H2" s="4"/>
    </row>
    <row r="3" spans="1:9" s="23" customFormat="1" ht="12">
      <c r="A3" s="1"/>
      <c r="C3" s="62"/>
      <c r="D3" s="62"/>
      <c r="E3" s="62"/>
      <c r="F3" s="62"/>
      <c r="G3" s="63"/>
      <c r="H3" s="63"/>
    </row>
    <row r="4" spans="1:9" s="23" customFormat="1" ht="12">
      <c r="A4" s="23" t="s">
        <v>116</v>
      </c>
      <c r="C4" s="62"/>
      <c r="D4" s="62"/>
      <c r="E4" s="62"/>
      <c r="F4" s="62"/>
      <c r="G4" s="63"/>
      <c r="H4" s="63"/>
    </row>
    <row r="5" spans="1:9" s="1" customFormat="1" ht="12">
      <c r="A5" s="1" t="s">
        <v>98</v>
      </c>
      <c r="B5" s="49"/>
      <c r="C5" s="49"/>
      <c r="D5" s="49"/>
      <c r="E5" s="49"/>
      <c r="F5" s="4"/>
      <c r="G5" s="4"/>
      <c r="H5" s="4" t="s">
        <v>91</v>
      </c>
    </row>
    <row r="6" spans="1:9" ht="18.75" customHeight="1">
      <c r="A6" s="276" t="s">
        <v>21</v>
      </c>
      <c r="B6" s="335" t="s">
        <v>202</v>
      </c>
      <c r="C6" s="301"/>
      <c r="D6" s="301"/>
      <c r="E6" s="301"/>
      <c r="F6" s="301"/>
      <c r="G6" s="301"/>
      <c r="H6" s="301"/>
    </row>
    <row r="7" spans="1:9" ht="22.5" customHeight="1">
      <c r="A7" s="277"/>
      <c r="B7" s="24" t="s">
        <v>23</v>
      </c>
      <c r="C7" s="6" t="s">
        <v>190</v>
      </c>
      <c r="D7" s="17" t="s">
        <v>36</v>
      </c>
      <c r="E7" s="17" t="s">
        <v>37</v>
      </c>
      <c r="F7" s="6" t="s">
        <v>38</v>
      </c>
      <c r="G7" s="6" t="s">
        <v>0</v>
      </c>
      <c r="H7" s="81" t="s">
        <v>203</v>
      </c>
    </row>
    <row r="8" spans="1:9" s="27" customFormat="1" ht="13.5" customHeight="1">
      <c r="A8" s="72" t="s">
        <v>50</v>
      </c>
      <c r="B8" s="43">
        <v>94624.52</v>
      </c>
      <c r="C8" s="43">
        <v>600.86</v>
      </c>
      <c r="D8" s="85">
        <v>1744.14</v>
      </c>
      <c r="E8" s="85">
        <v>13666.99</v>
      </c>
      <c r="F8" s="43">
        <v>59321.75</v>
      </c>
      <c r="G8" s="43">
        <v>18996.57</v>
      </c>
      <c r="H8" s="100">
        <v>294.20999999999998</v>
      </c>
    </row>
    <row r="9" spans="1:9" s="27" customFormat="1" ht="13.5" customHeight="1">
      <c r="A9" s="72" t="s">
        <v>81</v>
      </c>
      <c r="B9" s="43">
        <v>98234.31</v>
      </c>
      <c r="C9" s="43">
        <v>322.17</v>
      </c>
      <c r="D9" s="85">
        <v>814.13</v>
      </c>
      <c r="E9" s="85">
        <v>14280.82</v>
      </c>
      <c r="F9" s="43">
        <v>62742.239999999998</v>
      </c>
      <c r="G9" s="43">
        <v>19704.580000000002</v>
      </c>
      <c r="H9" s="100">
        <v>370.37</v>
      </c>
      <c r="I9" s="31"/>
    </row>
    <row r="10" spans="1:9" s="27" customFormat="1" ht="13.5" customHeight="1">
      <c r="A10" s="72" t="s">
        <v>86</v>
      </c>
      <c r="B10" s="43">
        <v>105584.81</v>
      </c>
      <c r="C10" s="43">
        <v>202.78</v>
      </c>
      <c r="D10" s="85">
        <v>684.6</v>
      </c>
      <c r="E10" s="85">
        <v>14887.95</v>
      </c>
      <c r="F10" s="43">
        <v>67901.56</v>
      </c>
      <c r="G10" s="43">
        <v>21254</v>
      </c>
      <c r="H10" s="100">
        <v>653.92000000000007</v>
      </c>
      <c r="I10" s="31"/>
    </row>
    <row r="11" spans="1:9" s="27" customFormat="1" ht="13.5" customHeight="1">
      <c r="A11" s="72" t="s">
        <v>131</v>
      </c>
      <c r="B11" s="43">
        <v>113893.32</v>
      </c>
      <c r="C11" s="43">
        <v>184.92</v>
      </c>
      <c r="D11" s="85">
        <v>1658.98</v>
      </c>
      <c r="E11" s="85">
        <v>16271.71</v>
      </c>
      <c r="F11" s="43">
        <v>72045.59</v>
      </c>
      <c r="G11" s="43">
        <v>22923.79</v>
      </c>
      <c r="H11" s="100">
        <v>808.3300000000163</v>
      </c>
      <c r="I11" s="31"/>
    </row>
    <row r="12" spans="1:9" s="27" customFormat="1" ht="13.5" customHeight="1">
      <c r="A12" s="72"/>
      <c r="B12" s="43"/>
      <c r="C12" s="43"/>
      <c r="D12" s="85"/>
      <c r="E12" s="85"/>
      <c r="F12" s="43"/>
      <c r="G12" s="43"/>
      <c r="H12" s="100"/>
      <c r="I12" s="31"/>
    </row>
    <row r="13" spans="1:9" s="27" customFormat="1" ht="13.5" customHeight="1">
      <c r="A13" s="72" t="s">
        <v>135</v>
      </c>
      <c r="B13" s="43">
        <v>128092.37</v>
      </c>
      <c r="C13" s="43">
        <v>196.56</v>
      </c>
      <c r="D13" s="85">
        <v>1802.73</v>
      </c>
      <c r="E13" s="85">
        <v>18388.95</v>
      </c>
      <c r="F13" s="43">
        <v>80457.31</v>
      </c>
      <c r="G13" s="43">
        <v>26548.34</v>
      </c>
      <c r="H13" s="100">
        <v>698.48</v>
      </c>
      <c r="I13" s="31"/>
    </row>
    <row r="14" spans="1:9" s="27" customFormat="1" ht="12.75" customHeight="1">
      <c r="A14" s="72" t="s">
        <v>142</v>
      </c>
      <c r="B14" s="43">
        <v>144438.90400000001</v>
      </c>
      <c r="C14" s="43">
        <v>199.12</v>
      </c>
      <c r="D14" s="85">
        <v>2450.6999999999998</v>
      </c>
      <c r="E14" s="85">
        <v>20337.37</v>
      </c>
      <c r="F14" s="43">
        <v>90522.074000000008</v>
      </c>
      <c r="G14" s="43">
        <v>30314.78</v>
      </c>
      <c r="H14" s="100">
        <v>614.86</v>
      </c>
      <c r="I14" s="31"/>
    </row>
    <row r="15" spans="1:9" s="27" customFormat="1" ht="12.75" customHeight="1">
      <c r="A15" s="72" t="s">
        <v>148</v>
      </c>
      <c r="B15" s="43">
        <v>158430.95000000001</v>
      </c>
      <c r="C15" s="43">
        <v>250.44</v>
      </c>
      <c r="D15" s="43">
        <v>3002.72</v>
      </c>
      <c r="E15" s="43">
        <v>21654.23</v>
      </c>
      <c r="F15" s="43">
        <v>100087.83</v>
      </c>
      <c r="G15" s="43">
        <v>32885.449999999997</v>
      </c>
      <c r="H15" s="100">
        <v>550.28</v>
      </c>
      <c r="I15" s="31"/>
    </row>
    <row r="16" spans="1:9" s="27" customFormat="1" ht="12.75" customHeight="1">
      <c r="A16" s="72" t="s">
        <v>149</v>
      </c>
      <c r="B16" s="43">
        <v>164983.82999999999</v>
      </c>
      <c r="C16" s="43">
        <v>218.88</v>
      </c>
      <c r="D16" s="43">
        <v>3035.65</v>
      </c>
      <c r="E16" s="43">
        <v>22977.19</v>
      </c>
      <c r="F16" s="43">
        <v>105389.59</v>
      </c>
      <c r="G16" s="43">
        <v>32834.32</v>
      </c>
      <c r="H16" s="100">
        <v>528.20000000000005</v>
      </c>
      <c r="I16" s="31"/>
    </row>
    <row r="17" spans="1:9" s="27" customFormat="1" ht="12.75" customHeight="1">
      <c r="A17" s="72" t="s">
        <v>155</v>
      </c>
      <c r="B17" s="43">
        <v>181962.67</v>
      </c>
      <c r="C17" s="43">
        <v>180.45</v>
      </c>
      <c r="D17" s="85">
        <v>3021.5</v>
      </c>
      <c r="E17" s="85">
        <v>25746.93</v>
      </c>
      <c r="F17" s="43">
        <v>115408.08</v>
      </c>
      <c r="G17" s="43">
        <v>36998.75</v>
      </c>
      <c r="H17" s="100">
        <v>606.96</v>
      </c>
      <c r="I17" s="31"/>
    </row>
    <row r="18" spans="1:9" ht="13.5" customHeight="1">
      <c r="A18" s="60"/>
      <c r="B18" s="43"/>
      <c r="C18" s="43"/>
      <c r="D18" s="85"/>
      <c r="E18" s="85"/>
      <c r="F18" s="43"/>
      <c r="G18" s="43"/>
      <c r="H18" s="100"/>
      <c r="I18" s="13"/>
    </row>
    <row r="19" spans="1:9" ht="13.5" customHeight="1">
      <c r="A19" s="201" t="s">
        <v>189</v>
      </c>
      <c r="B19" s="43">
        <v>212600</v>
      </c>
      <c r="C19" s="43">
        <v>191.55</v>
      </c>
      <c r="D19" s="85">
        <v>3594.19</v>
      </c>
      <c r="E19" s="85">
        <v>30262.54</v>
      </c>
      <c r="F19" s="43">
        <v>131522.99</v>
      </c>
      <c r="G19" s="43">
        <v>46272.33</v>
      </c>
      <c r="H19" s="100">
        <v>756.4</v>
      </c>
      <c r="I19" s="13"/>
    </row>
    <row r="20" spans="1:9" ht="13.5" customHeight="1">
      <c r="A20" s="201" t="s">
        <v>210</v>
      </c>
      <c r="B20" s="43">
        <v>233133.49</v>
      </c>
      <c r="C20" s="43">
        <v>266.85000000000002</v>
      </c>
      <c r="D20" s="85">
        <v>1803.32</v>
      </c>
      <c r="E20" s="85">
        <v>36065.78</v>
      </c>
      <c r="F20" s="43">
        <v>143377.51999999999</v>
      </c>
      <c r="G20" s="43">
        <v>50874.62</v>
      </c>
      <c r="H20" s="100">
        <v>745.3900000000001</v>
      </c>
      <c r="I20" s="13"/>
    </row>
    <row r="21" spans="1:9" ht="13.5" customHeight="1">
      <c r="A21" s="201" t="s">
        <v>238</v>
      </c>
      <c r="B21" s="43">
        <v>243212.74</v>
      </c>
      <c r="C21" s="43">
        <v>297.25</v>
      </c>
      <c r="D21" s="85">
        <v>3496.68</v>
      </c>
      <c r="E21" s="85">
        <v>36155.51</v>
      </c>
      <c r="F21" s="43">
        <v>153299.78</v>
      </c>
      <c r="G21" s="43">
        <v>49005.73</v>
      </c>
      <c r="H21" s="100">
        <v>957.8</v>
      </c>
      <c r="I21" s="13"/>
    </row>
    <row r="22" spans="1:9" ht="13.5" customHeight="1">
      <c r="A22" s="201" t="s">
        <v>247</v>
      </c>
      <c r="B22" s="43">
        <f>B119</f>
        <v>254600.1</v>
      </c>
      <c r="C22" s="43">
        <f t="shared" ref="C22:H22" si="0">C119</f>
        <v>213.89</v>
      </c>
      <c r="D22" s="85">
        <f t="shared" si="0"/>
        <v>3391.19</v>
      </c>
      <c r="E22" s="85">
        <f t="shared" si="0"/>
        <v>36608.300000000003</v>
      </c>
      <c r="F22" s="43">
        <f t="shared" si="0"/>
        <v>162546.51999999999</v>
      </c>
      <c r="G22" s="43">
        <f t="shared" si="0"/>
        <v>50904.67</v>
      </c>
      <c r="H22" s="100">
        <f t="shared" si="0"/>
        <v>935.53</v>
      </c>
      <c r="I22" s="13"/>
    </row>
    <row r="23" spans="1:9" ht="13.5" customHeight="1">
      <c r="A23" s="201" t="s">
        <v>264</v>
      </c>
      <c r="B23" s="43">
        <v>268464.90999999997</v>
      </c>
      <c r="C23" s="43">
        <v>163.13</v>
      </c>
      <c r="D23" s="85">
        <v>3191.87</v>
      </c>
      <c r="E23" s="85">
        <v>37554.85</v>
      </c>
      <c r="F23" s="43">
        <v>169635.06</v>
      </c>
      <c r="G23" s="43">
        <v>56847.360000000001</v>
      </c>
      <c r="H23" s="100">
        <v>1072.6400000000001</v>
      </c>
      <c r="I23" s="13"/>
    </row>
    <row r="24" spans="1:9" ht="13.5" customHeight="1">
      <c r="A24" s="60"/>
      <c r="B24" s="43"/>
      <c r="C24" s="43"/>
      <c r="D24" s="85"/>
      <c r="E24" s="85"/>
      <c r="F24" s="43"/>
      <c r="G24" s="43"/>
      <c r="H24" s="100"/>
      <c r="I24" s="13"/>
    </row>
    <row r="25" spans="1:9" ht="13.5" customHeight="1">
      <c r="A25" s="60">
        <v>2019.1</v>
      </c>
      <c r="B25" s="43">
        <v>158016.76999999999</v>
      </c>
      <c r="C25" s="43">
        <v>246.03</v>
      </c>
      <c r="D25" s="85">
        <v>2894.49</v>
      </c>
      <c r="E25" s="85">
        <v>21481.51</v>
      </c>
      <c r="F25" s="43">
        <v>100301.55</v>
      </c>
      <c r="G25" s="43">
        <v>32551.41</v>
      </c>
      <c r="H25" s="100">
        <v>541.78</v>
      </c>
      <c r="I25" s="103"/>
    </row>
    <row r="26" spans="1:9" ht="13.5" customHeight="1">
      <c r="A26" s="60">
        <v>2</v>
      </c>
      <c r="B26" s="43">
        <v>158360.72</v>
      </c>
      <c r="C26" s="43">
        <v>239.62</v>
      </c>
      <c r="D26" s="85">
        <v>3030.7</v>
      </c>
      <c r="E26" s="85">
        <v>21461.45</v>
      </c>
      <c r="F26" s="43">
        <v>100608.7</v>
      </c>
      <c r="G26" s="43">
        <v>32499.05</v>
      </c>
      <c r="H26" s="100">
        <v>521.20000000000005</v>
      </c>
      <c r="I26" s="103"/>
    </row>
    <row r="27" spans="1:9" ht="13.5" customHeight="1">
      <c r="A27" s="60">
        <v>3</v>
      </c>
      <c r="B27" s="43">
        <v>158191.1</v>
      </c>
      <c r="C27" s="43">
        <v>236.73</v>
      </c>
      <c r="D27" s="85">
        <v>2854.82</v>
      </c>
      <c r="E27" s="85">
        <v>21454.35</v>
      </c>
      <c r="F27" s="43">
        <v>100731.6</v>
      </c>
      <c r="G27" s="43">
        <v>32415.29</v>
      </c>
      <c r="H27" s="100">
        <v>498.31</v>
      </c>
      <c r="I27" s="103"/>
    </row>
    <row r="28" spans="1:9" ht="13.5" customHeight="1">
      <c r="A28" s="60"/>
      <c r="B28" s="43"/>
      <c r="C28" s="43"/>
      <c r="D28" s="85"/>
      <c r="E28" s="85"/>
      <c r="F28" s="43"/>
      <c r="G28" s="43"/>
      <c r="H28" s="100"/>
      <c r="I28" s="103"/>
    </row>
    <row r="29" spans="1:9" ht="13.5" customHeight="1">
      <c r="A29" s="60">
        <v>4</v>
      </c>
      <c r="B29" s="43">
        <v>158839.26</v>
      </c>
      <c r="C29" s="43">
        <v>236.3</v>
      </c>
      <c r="D29" s="85">
        <v>2852.81</v>
      </c>
      <c r="E29" s="85">
        <v>21561.75</v>
      </c>
      <c r="F29" s="43">
        <v>101452.23</v>
      </c>
      <c r="G29" s="43">
        <v>32225.82</v>
      </c>
      <c r="H29" s="100">
        <v>510.34999999999997</v>
      </c>
      <c r="I29" s="103"/>
    </row>
    <row r="30" spans="1:9" ht="13.5" customHeight="1">
      <c r="A30" s="60">
        <v>5</v>
      </c>
      <c r="B30" s="43">
        <v>159583.79999999999</v>
      </c>
      <c r="C30" s="43">
        <v>235.91</v>
      </c>
      <c r="D30" s="85">
        <v>2868.68</v>
      </c>
      <c r="E30" s="85">
        <v>21719.29</v>
      </c>
      <c r="F30" s="43">
        <v>102135.31</v>
      </c>
      <c r="G30" s="43">
        <v>32121.75</v>
      </c>
      <c r="H30" s="100">
        <v>502.86</v>
      </c>
      <c r="I30" s="103"/>
    </row>
    <row r="31" spans="1:9" ht="13.5" customHeight="1">
      <c r="A31" s="60">
        <v>6</v>
      </c>
      <c r="B31" s="43">
        <v>160317.20000000001</v>
      </c>
      <c r="C31" s="43">
        <v>239.24</v>
      </c>
      <c r="D31" s="85">
        <v>2760.54</v>
      </c>
      <c r="E31" s="85">
        <v>21779.24</v>
      </c>
      <c r="F31" s="43">
        <v>102735.66</v>
      </c>
      <c r="G31" s="43">
        <v>32280.23</v>
      </c>
      <c r="H31" s="100">
        <v>522.29</v>
      </c>
      <c r="I31" s="103"/>
    </row>
    <row r="32" spans="1:9" ht="13.5" customHeight="1">
      <c r="A32" s="60"/>
      <c r="B32" s="43"/>
      <c r="C32" s="43"/>
      <c r="D32" s="85"/>
      <c r="E32" s="85"/>
      <c r="F32" s="43"/>
      <c r="G32" s="43"/>
      <c r="H32" s="100"/>
      <c r="I32" s="103"/>
    </row>
    <row r="33" spans="1:9" ht="13.5" customHeight="1">
      <c r="A33" s="60">
        <v>7</v>
      </c>
      <c r="B33" s="43">
        <v>160293.73000000001</v>
      </c>
      <c r="C33" s="43">
        <v>237.37</v>
      </c>
      <c r="D33" s="85">
        <v>2691.44</v>
      </c>
      <c r="E33" s="85">
        <v>21777.58</v>
      </c>
      <c r="F33" s="43">
        <v>103054.42</v>
      </c>
      <c r="G33" s="43">
        <v>31995.43</v>
      </c>
      <c r="H33" s="100">
        <v>537.49</v>
      </c>
      <c r="I33" s="103"/>
    </row>
    <row r="34" spans="1:9" ht="13.5" customHeight="1">
      <c r="A34" s="60">
        <v>8</v>
      </c>
      <c r="B34" s="43">
        <v>160863.12</v>
      </c>
      <c r="C34" s="43">
        <v>237.09</v>
      </c>
      <c r="D34" s="85">
        <v>2808.45</v>
      </c>
      <c r="E34" s="85">
        <v>21888.42</v>
      </c>
      <c r="F34" s="43">
        <v>103317.21</v>
      </c>
      <c r="G34" s="43">
        <v>32076.18</v>
      </c>
      <c r="H34" s="100">
        <v>535.77</v>
      </c>
      <c r="I34" s="103"/>
    </row>
    <row r="35" spans="1:9" ht="13.5" customHeight="1">
      <c r="A35" s="60">
        <v>9</v>
      </c>
      <c r="B35" s="43">
        <v>160993.76</v>
      </c>
      <c r="C35" s="43">
        <v>234.26</v>
      </c>
      <c r="D35" s="85">
        <v>2763.86</v>
      </c>
      <c r="E35" s="85">
        <v>22035.64</v>
      </c>
      <c r="F35" s="43">
        <v>103481.76</v>
      </c>
      <c r="G35" s="43">
        <v>31967.09</v>
      </c>
      <c r="H35" s="100">
        <v>511.15</v>
      </c>
      <c r="I35" s="103"/>
    </row>
    <row r="36" spans="1:9" ht="13.5" customHeight="1">
      <c r="A36" s="60"/>
      <c r="B36" s="43"/>
      <c r="C36" s="43"/>
      <c r="D36" s="85"/>
      <c r="E36" s="85"/>
      <c r="F36" s="43"/>
      <c r="G36" s="43"/>
      <c r="H36" s="100"/>
      <c r="I36" s="103"/>
    </row>
    <row r="37" spans="1:9" ht="13.5" customHeight="1">
      <c r="A37" s="60">
        <v>10</v>
      </c>
      <c r="B37" s="43">
        <v>161434.76</v>
      </c>
      <c r="C37" s="43">
        <v>229.72</v>
      </c>
      <c r="D37" s="85">
        <v>2776.73</v>
      </c>
      <c r="E37" s="85">
        <v>22385.49</v>
      </c>
      <c r="F37" s="43">
        <v>103673.12</v>
      </c>
      <c r="G37" s="43">
        <v>31842.23</v>
      </c>
      <c r="H37" s="100">
        <v>527.47</v>
      </c>
      <c r="I37" s="103"/>
    </row>
    <row r="38" spans="1:9" ht="13.5" customHeight="1">
      <c r="A38" s="60">
        <v>11</v>
      </c>
      <c r="B38" s="43">
        <v>162672.79999999999</v>
      </c>
      <c r="C38" s="43">
        <v>223.77</v>
      </c>
      <c r="D38" s="85">
        <v>2934.47</v>
      </c>
      <c r="E38" s="85">
        <v>22692.03</v>
      </c>
      <c r="F38" s="43">
        <v>104067.02</v>
      </c>
      <c r="G38" s="43">
        <v>32225.25</v>
      </c>
      <c r="H38" s="100">
        <v>530.26</v>
      </c>
      <c r="I38" s="103"/>
    </row>
    <row r="39" spans="1:9" ht="13.5" customHeight="1">
      <c r="A39" s="60">
        <v>12</v>
      </c>
      <c r="B39" s="43">
        <v>164983.82999999999</v>
      </c>
      <c r="C39" s="43">
        <v>218.88</v>
      </c>
      <c r="D39" s="85">
        <v>3035.65</v>
      </c>
      <c r="E39" s="85">
        <v>22977.19</v>
      </c>
      <c r="F39" s="43">
        <v>105389.59</v>
      </c>
      <c r="G39" s="43">
        <v>32834.32</v>
      </c>
      <c r="H39" s="100">
        <v>528.20000000000005</v>
      </c>
      <c r="I39" s="103"/>
    </row>
    <row r="40" spans="1:9" ht="13.5" customHeight="1">
      <c r="A40" s="60"/>
      <c r="B40" s="43"/>
      <c r="C40" s="43"/>
      <c r="D40" s="85"/>
      <c r="E40" s="85"/>
      <c r="F40" s="43"/>
      <c r="G40" s="43"/>
      <c r="H40" s="100"/>
      <c r="I40" s="103"/>
    </row>
    <row r="41" spans="1:9" ht="13.5" customHeight="1">
      <c r="A41" s="60">
        <v>2020.1</v>
      </c>
      <c r="B41" s="43">
        <v>165009.26</v>
      </c>
      <c r="C41" s="43">
        <v>207.2</v>
      </c>
      <c r="D41" s="85">
        <v>2885.73</v>
      </c>
      <c r="E41" s="85">
        <v>23029.81</v>
      </c>
      <c r="F41" s="43">
        <v>105452.54</v>
      </c>
      <c r="G41" s="43">
        <v>32930.9</v>
      </c>
      <c r="H41" s="100">
        <v>503.08</v>
      </c>
      <c r="I41" s="103"/>
    </row>
    <row r="42" spans="1:9" ht="13.5" customHeight="1">
      <c r="A42" s="60">
        <v>2</v>
      </c>
      <c r="B42" s="43">
        <v>165503.91</v>
      </c>
      <c r="C42" s="43">
        <v>200.51</v>
      </c>
      <c r="D42" s="85">
        <v>2938.55</v>
      </c>
      <c r="E42" s="85">
        <v>23052.41</v>
      </c>
      <c r="F42" s="43">
        <v>105670.61</v>
      </c>
      <c r="G42" s="43">
        <v>33142.93</v>
      </c>
      <c r="H42" s="100">
        <v>498.9</v>
      </c>
      <c r="I42" s="103"/>
    </row>
    <row r="43" spans="1:9" ht="13.5" customHeight="1">
      <c r="A43" s="60">
        <v>3</v>
      </c>
      <c r="B43" s="43">
        <v>166684.21</v>
      </c>
      <c r="C43" s="43">
        <v>201.86</v>
      </c>
      <c r="D43" s="85">
        <v>2902.16</v>
      </c>
      <c r="E43" s="85">
        <v>23258.94</v>
      </c>
      <c r="F43" s="43">
        <v>106408.67</v>
      </c>
      <c r="G43" s="43">
        <v>33387.980000000003</v>
      </c>
      <c r="H43" s="100">
        <v>524.6</v>
      </c>
      <c r="I43" s="103"/>
    </row>
    <row r="44" spans="1:9" ht="13.5" customHeight="1">
      <c r="A44" s="60"/>
      <c r="B44" s="43"/>
      <c r="C44" s="43"/>
      <c r="D44" s="85"/>
      <c r="E44" s="85"/>
      <c r="F44" s="43"/>
      <c r="G44" s="43"/>
      <c r="H44" s="100"/>
      <c r="I44" s="103"/>
    </row>
    <row r="45" spans="1:9" ht="13.5" customHeight="1">
      <c r="A45" s="60">
        <v>4</v>
      </c>
      <c r="B45" s="43">
        <v>168428.33</v>
      </c>
      <c r="C45" s="43">
        <v>199.78</v>
      </c>
      <c r="D45" s="85">
        <v>3160.48</v>
      </c>
      <c r="E45" s="85">
        <v>23248.33</v>
      </c>
      <c r="F45" s="43">
        <v>107640.87</v>
      </c>
      <c r="G45" s="43">
        <v>33644.32</v>
      </c>
      <c r="H45" s="100">
        <v>534.54999999999995</v>
      </c>
      <c r="I45" s="103"/>
    </row>
    <row r="46" spans="1:9" ht="13.5" customHeight="1">
      <c r="A46" s="60">
        <v>5</v>
      </c>
      <c r="B46" s="43">
        <v>169625.51</v>
      </c>
      <c r="C46" s="43">
        <v>199.15</v>
      </c>
      <c r="D46" s="85">
        <v>3047.59</v>
      </c>
      <c r="E46" s="85">
        <v>23573.96</v>
      </c>
      <c r="F46" s="43">
        <v>108545.67</v>
      </c>
      <c r="G46" s="43">
        <v>33713.279999999999</v>
      </c>
      <c r="H46" s="100">
        <v>545.85</v>
      </c>
      <c r="I46" s="103"/>
    </row>
    <row r="47" spans="1:9" ht="13.5" customHeight="1">
      <c r="A47" s="60">
        <v>6</v>
      </c>
      <c r="B47" s="43">
        <v>172251.55</v>
      </c>
      <c r="C47" s="43">
        <v>190.02</v>
      </c>
      <c r="D47" s="85">
        <v>3019.39</v>
      </c>
      <c r="E47" s="85">
        <v>23663.14</v>
      </c>
      <c r="F47" s="43">
        <v>110025.7</v>
      </c>
      <c r="G47" s="43">
        <v>34803.910000000003</v>
      </c>
      <c r="H47" s="100">
        <v>549.39</v>
      </c>
      <c r="I47" s="103"/>
    </row>
    <row r="48" spans="1:9" ht="13.5" customHeight="1">
      <c r="A48" s="60"/>
      <c r="B48" s="43"/>
      <c r="C48" s="43"/>
      <c r="D48" s="85"/>
      <c r="E48" s="85"/>
      <c r="F48" s="43"/>
      <c r="G48" s="43"/>
      <c r="H48" s="100"/>
      <c r="I48" s="103"/>
    </row>
    <row r="49" spans="1:9" ht="13.5" customHeight="1">
      <c r="A49" s="60">
        <v>7</v>
      </c>
      <c r="B49" s="43">
        <v>173286.11</v>
      </c>
      <c r="C49" s="43">
        <v>190.81</v>
      </c>
      <c r="D49" s="85">
        <v>2689.69</v>
      </c>
      <c r="E49" s="85">
        <v>24095.07</v>
      </c>
      <c r="F49" s="43">
        <v>110668.53</v>
      </c>
      <c r="G49" s="43">
        <v>35090.959999999999</v>
      </c>
      <c r="H49" s="100">
        <v>551.04</v>
      </c>
      <c r="I49" s="103"/>
    </row>
    <row r="50" spans="1:9" ht="13.5" customHeight="1">
      <c r="A50" s="60">
        <v>8</v>
      </c>
      <c r="B50" s="43">
        <v>174787.44</v>
      </c>
      <c r="C50" s="43">
        <v>195.52</v>
      </c>
      <c r="D50" s="85">
        <v>2782.86</v>
      </c>
      <c r="E50" s="85">
        <v>24403.02</v>
      </c>
      <c r="F50" s="43">
        <v>111401.18</v>
      </c>
      <c r="G50" s="43">
        <v>35448.519999999997</v>
      </c>
      <c r="H50" s="100">
        <v>556.34</v>
      </c>
      <c r="I50" s="103"/>
    </row>
    <row r="51" spans="1:9" ht="13.5" customHeight="1">
      <c r="A51" s="60">
        <v>9</v>
      </c>
      <c r="B51" s="43">
        <v>175958.26</v>
      </c>
      <c r="C51" s="43">
        <v>182.99</v>
      </c>
      <c r="D51" s="85">
        <v>2931.5</v>
      </c>
      <c r="E51" s="85">
        <v>24692.1</v>
      </c>
      <c r="F51" s="43">
        <v>112037.27</v>
      </c>
      <c r="G51" s="43">
        <v>35550.69</v>
      </c>
      <c r="H51" s="100">
        <v>563.71</v>
      </c>
      <c r="I51" s="103"/>
    </row>
    <row r="52" spans="1:9" ht="13.5" customHeight="1">
      <c r="A52" s="60"/>
      <c r="B52" s="43"/>
      <c r="C52" s="43"/>
      <c r="D52" s="85"/>
      <c r="E52" s="85"/>
      <c r="F52" s="43"/>
      <c r="G52" s="43"/>
      <c r="H52" s="100"/>
      <c r="I52" s="103"/>
    </row>
    <row r="53" spans="1:9" ht="13.5" customHeight="1">
      <c r="A53" s="60">
        <v>10</v>
      </c>
      <c r="B53" s="43">
        <v>177280.7</v>
      </c>
      <c r="C53" s="43">
        <v>184.13</v>
      </c>
      <c r="D53" s="85">
        <v>3018.66</v>
      </c>
      <c r="E53" s="85">
        <v>25056.13</v>
      </c>
      <c r="F53" s="43">
        <v>112652.62</v>
      </c>
      <c r="G53" s="43">
        <v>35798.28</v>
      </c>
      <c r="H53" s="100">
        <v>570.88</v>
      </c>
      <c r="I53" s="103"/>
    </row>
    <row r="54" spans="1:9" ht="13.5" customHeight="1">
      <c r="A54" s="60">
        <v>11</v>
      </c>
      <c r="B54" s="43">
        <v>179008.72</v>
      </c>
      <c r="C54" s="43">
        <v>195.39</v>
      </c>
      <c r="D54" s="85">
        <v>3014.27</v>
      </c>
      <c r="E54" s="85">
        <v>25235.08</v>
      </c>
      <c r="F54" s="43">
        <v>113708.88</v>
      </c>
      <c r="G54" s="43">
        <v>36285.79</v>
      </c>
      <c r="H54" s="100">
        <v>569.30999999999995</v>
      </c>
      <c r="I54" s="103"/>
    </row>
    <row r="55" spans="1:9" ht="13.5" customHeight="1">
      <c r="A55" s="60">
        <v>12</v>
      </c>
      <c r="B55" s="43">
        <v>181962.67</v>
      </c>
      <c r="C55" s="43">
        <v>180.45</v>
      </c>
      <c r="D55" s="85">
        <v>3021.5</v>
      </c>
      <c r="E55" s="85">
        <v>25746.93</v>
      </c>
      <c r="F55" s="43">
        <v>115408.08</v>
      </c>
      <c r="G55" s="43">
        <v>36998.75</v>
      </c>
      <c r="H55" s="100">
        <v>606.96</v>
      </c>
      <c r="I55" s="103"/>
    </row>
    <row r="56" spans="1:9" ht="13.5" customHeight="1">
      <c r="A56" s="60"/>
      <c r="B56" s="43"/>
      <c r="C56" s="43"/>
      <c r="D56" s="85"/>
      <c r="E56" s="85"/>
      <c r="F56" s="43"/>
      <c r="G56" s="43"/>
      <c r="H56" s="100"/>
      <c r="I56" s="103"/>
    </row>
    <row r="57" spans="1:9" ht="13.5" customHeight="1">
      <c r="A57" s="60">
        <v>2021.1</v>
      </c>
      <c r="B57" s="43">
        <v>182952.86</v>
      </c>
      <c r="C57" s="43">
        <v>175.06</v>
      </c>
      <c r="D57" s="85">
        <v>3142.24</v>
      </c>
      <c r="E57" s="85">
        <v>25770.89</v>
      </c>
      <c r="F57" s="43">
        <v>115992.87</v>
      </c>
      <c r="G57" s="43">
        <v>37224.94</v>
      </c>
      <c r="H57" s="100">
        <v>646.86</v>
      </c>
      <c r="I57" s="103"/>
    </row>
    <row r="58" spans="1:9" ht="13.5" customHeight="1">
      <c r="A58" s="60">
        <v>2</v>
      </c>
      <c r="B58" s="43">
        <v>184421.05</v>
      </c>
      <c r="C58" s="43">
        <v>168.89</v>
      </c>
      <c r="D58" s="85">
        <v>3016.46</v>
      </c>
      <c r="E58" s="85">
        <v>25855.13</v>
      </c>
      <c r="F58" s="43">
        <v>117156.57</v>
      </c>
      <c r="G58" s="43">
        <v>37573.519999999997</v>
      </c>
      <c r="H58" s="100">
        <v>650.49</v>
      </c>
      <c r="I58" s="103"/>
    </row>
    <row r="59" spans="1:9" ht="13.5" customHeight="1">
      <c r="A59" s="60">
        <v>3</v>
      </c>
      <c r="B59" s="43">
        <v>186827.12</v>
      </c>
      <c r="C59" s="43">
        <v>167.79</v>
      </c>
      <c r="D59" s="85">
        <v>3024.73</v>
      </c>
      <c r="E59" s="85">
        <v>25921.82</v>
      </c>
      <c r="F59" s="43">
        <v>119159.79</v>
      </c>
      <c r="G59" s="43">
        <v>37922.35</v>
      </c>
      <c r="H59" s="100">
        <v>630.64</v>
      </c>
      <c r="I59" s="103"/>
    </row>
    <row r="60" spans="1:9" ht="13.5" customHeight="1">
      <c r="A60" s="60"/>
      <c r="B60" s="43"/>
      <c r="C60" s="43"/>
      <c r="D60" s="85"/>
      <c r="E60" s="85"/>
      <c r="F60" s="43"/>
      <c r="G60" s="43"/>
      <c r="H60" s="100"/>
      <c r="I60" s="103"/>
    </row>
    <row r="61" spans="1:9" ht="13.5" customHeight="1">
      <c r="A61" s="60">
        <v>4</v>
      </c>
      <c r="B61" s="43">
        <v>190188.03</v>
      </c>
      <c r="C61" s="43">
        <v>180.58</v>
      </c>
      <c r="D61" s="85">
        <v>3166.04</v>
      </c>
      <c r="E61" s="85">
        <v>26016.91</v>
      </c>
      <c r="F61" s="43">
        <v>121107.62</v>
      </c>
      <c r="G61" s="43">
        <v>39074.93</v>
      </c>
      <c r="H61" s="100">
        <v>641.96</v>
      </c>
      <c r="I61" s="103"/>
    </row>
    <row r="62" spans="1:9" ht="13.5" customHeight="1">
      <c r="A62" s="60">
        <v>5</v>
      </c>
      <c r="B62" s="43">
        <v>192426.89</v>
      </c>
      <c r="C62" s="43">
        <v>171.75</v>
      </c>
      <c r="D62" s="85">
        <v>3181.23</v>
      </c>
      <c r="E62" s="85">
        <v>26291.93</v>
      </c>
      <c r="F62" s="43">
        <v>122439.7</v>
      </c>
      <c r="G62" s="43">
        <v>39704.79</v>
      </c>
      <c r="H62" s="100">
        <v>637.49</v>
      </c>
      <c r="I62" s="103"/>
    </row>
    <row r="63" spans="1:9" ht="13.5" customHeight="1">
      <c r="A63" s="60">
        <v>6</v>
      </c>
      <c r="B63" s="43">
        <v>195162.8</v>
      </c>
      <c r="C63" s="43">
        <v>170.71</v>
      </c>
      <c r="D63" s="85">
        <v>3044.35</v>
      </c>
      <c r="E63" s="85">
        <v>27175.9</v>
      </c>
      <c r="F63" s="43">
        <v>124201.36</v>
      </c>
      <c r="G63" s="43">
        <v>39933.46</v>
      </c>
      <c r="H63" s="100">
        <v>637.02</v>
      </c>
      <c r="I63" s="103"/>
    </row>
    <row r="64" spans="1:9" ht="13.5" customHeight="1">
      <c r="A64" s="60"/>
      <c r="B64" s="43"/>
      <c r="C64" s="43"/>
      <c r="D64" s="85"/>
      <c r="E64" s="85"/>
      <c r="F64" s="43"/>
      <c r="G64" s="43"/>
      <c r="H64" s="100"/>
      <c r="I64" s="103"/>
    </row>
    <row r="65" spans="1:9" ht="13.5" customHeight="1">
      <c r="A65" s="60">
        <v>7</v>
      </c>
      <c r="B65" s="43">
        <v>197958.74</v>
      </c>
      <c r="C65" s="43">
        <v>171.79</v>
      </c>
      <c r="D65" s="85">
        <v>3428.96</v>
      </c>
      <c r="E65" s="85">
        <v>27451.53</v>
      </c>
      <c r="F65" s="43">
        <v>125689.18</v>
      </c>
      <c r="G65" s="43">
        <v>40580.699999999997</v>
      </c>
      <c r="H65" s="100">
        <v>636.58000000000004</v>
      </c>
      <c r="I65" s="103"/>
    </row>
    <row r="66" spans="1:9" ht="13.5" customHeight="1">
      <c r="A66" s="60">
        <v>8</v>
      </c>
      <c r="B66" s="43">
        <v>200402.16</v>
      </c>
      <c r="C66" s="43">
        <v>152.09</v>
      </c>
      <c r="D66" s="85">
        <v>3401.55</v>
      </c>
      <c r="E66" s="85">
        <v>27787.02</v>
      </c>
      <c r="F66" s="43">
        <v>126867.73</v>
      </c>
      <c r="G66" s="43">
        <v>41439.599999999999</v>
      </c>
      <c r="H66" s="100">
        <v>754.17</v>
      </c>
      <c r="I66" s="103"/>
    </row>
    <row r="67" spans="1:9" ht="13.5" customHeight="1">
      <c r="A67" s="60">
        <v>9</v>
      </c>
      <c r="B67" s="43">
        <v>202913.02</v>
      </c>
      <c r="C67" s="43">
        <v>158.88999999999999</v>
      </c>
      <c r="D67" s="85">
        <v>3205.66</v>
      </c>
      <c r="E67" s="85">
        <v>28406.49</v>
      </c>
      <c r="F67" s="43">
        <v>127963.7</v>
      </c>
      <c r="G67" s="43">
        <v>42426.1</v>
      </c>
      <c r="H67" s="100">
        <v>752.18000000000006</v>
      </c>
      <c r="I67" s="103"/>
    </row>
    <row r="68" spans="1:9" ht="13.5" customHeight="1">
      <c r="A68" s="60"/>
      <c r="B68" s="43"/>
      <c r="C68" s="43"/>
      <c r="D68" s="85"/>
      <c r="E68" s="85"/>
      <c r="F68" s="43"/>
      <c r="G68" s="43"/>
      <c r="H68" s="100"/>
      <c r="I68" s="103"/>
    </row>
    <row r="69" spans="1:9" ht="13.5" customHeight="1">
      <c r="A69" s="60">
        <v>10</v>
      </c>
      <c r="B69" s="43">
        <v>204612.19</v>
      </c>
      <c r="C69" s="43">
        <v>160.22</v>
      </c>
      <c r="D69" s="85">
        <v>3316.56</v>
      </c>
      <c r="E69" s="85">
        <v>28894.31</v>
      </c>
      <c r="F69" s="43">
        <v>128304.86</v>
      </c>
      <c r="G69" s="43">
        <v>43164.85</v>
      </c>
      <c r="H69" s="100">
        <v>771.39</v>
      </c>
      <c r="I69" s="103"/>
    </row>
    <row r="70" spans="1:9" ht="13.5" customHeight="1">
      <c r="A70" s="60">
        <v>11</v>
      </c>
      <c r="B70" s="43">
        <v>208526.15</v>
      </c>
      <c r="C70" s="43">
        <v>180.6</v>
      </c>
      <c r="D70" s="85">
        <v>3430.36</v>
      </c>
      <c r="E70" s="85">
        <v>29645.1</v>
      </c>
      <c r="F70" s="43">
        <v>129634.12</v>
      </c>
      <c r="G70" s="43">
        <v>44855.6</v>
      </c>
      <c r="H70" s="100">
        <v>780.37</v>
      </c>
      <c r="I70" s="103"/>
    </row>
    <row r="71" spans="1:9" ht="13.5" customHeight="1">
      <c r="A71" s="60">
        <v>12</v>
      </c>
      <c r="B71" s="43">
        <v>212600</v>
      </c>
      <c r="C71" s="43">
        <v>191.55</v>
      </c>
      <c r="D71" s="85">
        <v>3594.19</v>
      </c>
      <c r="E71" s="85">
        <v>30262.54</v>
      </c>
      <c r="F71" s="43">
        <v>131522.99</v>
      </c>
      <c r="G71" s="43">
        <v>46272.33</v>
      </c>
      <c r="H71" s="100">
        <v>756.4</v>
      </c>
      <c r="I71" s="103"/>
    </row>
    <row r="72" spans="1:9" ht="13.5" customHeight="1">
      <c r="A72" s="60"/>
      <c r="B72" s="43"/>
      <c r="C72" s="43"/>
      <c r="D72" s="85"/>
      <c r="E72" s="85"/>
      <c r="F72" s="43"/>
      <c r="G72" s="43"/>
      <c r="H72" s="100"/>
      <c r="I72" s="103"/>
    </row>
    <row r="73" spans="1:9" ht="13.5" customHeight="1">
      <c r="A73" s="60">
        <v>2022.1</v>
      </c>
      <c r="B73" s="43">
        <v>214278.35</v>
      </c>
      <c r="C73" s="43">
        <v>185.53</v>
      </c>
      <c r="D73" s="85">
        <v>3665.8</v>
      </c>
      <c r="E73" s="85">
        <v>30831.360000000001</v>
      </c>
      <c r="F73" s="43">
        <v>132399.28</v>
      </c>
      <c r="G73" s="43">
        <v>46447.6</v>
      </c>
      <c r="H73" s="100">
        <v>748.78</v>
      </c>
      <c r="I73" s="103"/>
    </row>
    <row r="74" spans="1:9" ht="13.5" customHeight="1">
      <c r="A74" s="60">
        <v>2</v>
      </c>
      <c r="B74" s="43">
        <v>216326.86</v>
      </c>
      <c r="C74" s="43">
        <v>188.06</v>
      </c>
      <c r="D74" s="85">
        <v>3787.86</v>
      </c>
      <c r="E74" s="85">
        <v>31297.79</v>
      </c>
      <c r="F74" s="43">
        <v>133540.49</v>
      </c>
      <c r="G74" s="43">
        <v>46770.19</v>
      </c>
      <c r="H74" s="100">
        <v>742.47</v>
      </c>
      <c r="I74" s="103"/>
    </row>
    <row r="75" spans="1:9" ht="13.5" customHeight="1">
      <c r="A75" s="60">
        <v>3</v>
      </c>
      <c r="B75" s="43">
        <v>218511.78</v>
      </c>
      <c r="C75" s="43">
        <v>190.83</v>
      </c>
      <c r="D75" s="85">
        <v>3856.88</v>
      </c>
      <c r="E75" s="85">
        <v>31852.45</v>
      </c>
      <c r="F75" s="43">
        <v>134754.17000000001</v>
      </c>
      <c r="G75" s="43">
        <v>47135.83</v>
      </c>
      <c r="H75" s="100">
        <v>721.61</v>
      </c>
      <c r="I75" s="103"/>
    </row>
    <row r="76" spans="1:9" ht="13.5" customHeight="1">
      <c r="A76" s="60"/>
      <c r="B76" s="43"/>
      <c r="C76" s="43"/>
      <c r="D76" s="85"/>
      <c r="E76" s="85"/>
      <c r="F76" s="43"/>
      <c r="G76" s="43"/>
      <c r="H76" s="100"/>
      <c r="I76" s="103"/>
    </row>
    <row r="77" spans="1:9" ht="13.5" customHeight="1">
      <c r="A77" s="60">
        <v>4</v>
      </c>
      <c r="B77" s="43">
        <v>221422.01</v>
      </c>
      <c r="C77" s="43">
        <v>194.35</v>
      </c>
      <c r="D77" s="85">
        <v>3716.22</v>
      </c>
      <c r="E77" s="85">
        <v>32243.97</v>
      </c>
      <c r="F77" s="43">
        <v>136063.32</v>
      </c>
      <c r="G77" s="43">
        <v>48486.51</v>
      </c>
      <c r="H77" s="100">
        <v>717.64</v>
      </c>
      <c r="I77" s="103"/>
    </row>
    <row r="78" spans="1:9" ht="13.5" customHeight="1">
      <c r="A78" s="60">
        <v>5</v>
      </c>
      <c r="B78" s="43">
        <v>223134.89</v>
      </c>
      <c r="C78" s="43">
        <v>198.28</v>
      </c>
      <c r="D78" s="85">
        <v>3513.73</v>
      </c>
      <c r="E78" s="85">
        <v>32768.32</v>
      </c>
      <c r="F78" s="43">
        <v>136931.81</v>
      </c>
      <c r="G78" s="43">
        <v>48993.4</v>
      </c>
      <c r="H78" s="100">
        <v>729.35</v>
      </c>
      <c r="I78" s="103"/>
    </row>
    <row r="79" spans="1:9" ht="13.5" customHeight="1">
      <c r="A79" s="60">
        <v>6</v>
      </c>
      <c r="B79" s="43">
        <v>226612.2</v>
      </c>
      <c r="C79" s="43">
        <v>202.22</v>
      </c>
      <c r="D79" s="85">
        <v>3499.28</v>
      </c>
      <c r="E79" s="85">
        <v>33590.78</v>
      </c>
      <c r="F79" s="43">
        <v>139118.20000000001</v>
      </c>
      <c r="G79" s="43">
        <v>49476.35</v>
      </c>
      <c r="H79" s="100">
        <v>725.37</v>
      </c>
      <c r="I79" s="103"/>
    </row>
    <row r="80" spans="1:9" ht="13.5" customHeight="1">
      <c r="A80" s="60"/>
      <c r="B80" s="43"/>
      <c r="C80" s="43"/>
      <c r="D80" s="85"/>
      <c r="E80" s="85"/>
      <c r="F80" s="43"/>
      <c r="G80" s="43"/>
      <c r="H80" s="100"/>
      <c r="I80" s="103"/>
    </row>
    <row r="81" spans="1:9" ht="13.5" customHeight="1">
      <c r="A81" s="60">
        <v>7</v>
      </c>
      <c r="B81" s="43">
        <v>226476.82</v>
      </c>
      <c r="C81" s="43">
        <v>207.56</v>
      </c>
      <c r="D81" s="85">
        <v>1991.36</v>
      </c>
      <c r="E81" s="85">
        <v>34244.44</v>
      </c>
      <c r="F81" s="43">
        <v>139586.78</v>
      </c>
      <c r="G81" s="43">
        <v>49724.3</v>
      </c>
      <c r="H81" s="100">
        <v>722.38</v>
      </c>
      <c r="I81" s="103"/>
    </row>
    <row r="82" spans="1:9" ht="13.5" customHeight="1">
      <c r="A82" s="60">
        <v>8</v>
      </c>
      <c r="B82" s="43">
        <v>228360.14</v>
      </c>
      <c r="C82" s="43">
        <v>216.04</v>
      </c>
      <c r="D82" s="85">
        <v>1905.68</v>
      </c>
      <c r="E82" s="85">
        <v>34794.879999999997</v>
      </c>
      <c r="F82" s="43">
        <v>140557.6</v>
      </c>
      <c r="G82" s="43">
        <v>50154.92</v>
      </c>
      <c r="H82" s="100">
        <v>731.02</v>
      </c>
      <c r="I82" s="103"/>
    </row>
    <row r="83" spans="1:9" ht="13.5" customHeight="1">
      <c r="A83" s="60">
        <v>9</v>
      </c>
      <c r="B83" s="43">
        <v>229897.11</v>
      </c>
      <c r="C83" s="43">
        <v>227.32</v>
      </c>
      <c r="D83" s="85">
        <v>1635.62</v>
      </c>
      <c r="E83" s="85">
        <v>35660.6</v>
      </c>
      <c r="F83" s="43">
        <v>141278.85999999999</v>
      </c>
      <c r="G83" s="43">
        <v>50366.63</v>
      </c>
      <c r="H83" s="100">
        <v>728.08</v>
      </c>
      <c r="I83" s="103"/>
    </row>
    <row r="84" spans="1:9" ht="13.5" customHeight="1">
      <c r="A84" s="60"/>
      <c r="B84" s="43"/>
      <c r="C84" s="43"/>
      <c r="D84" s="85"/>
      <c r="E84" s="85"/>
      <c r="F84" s="43"/>
      <c r="G84" s="43"/>
      <c r="H84" s="100"/>
      <c r="I84" s="103"/>
    </row>
    <row r="85" spans="1:9" ht="13.5" customHeight="1">
      <c r="A85" s="60">
        <v>10</v>
      </c>
      <c r="B85" s="43">
        <v>231995.92</v>
      </c>
      <c r="C85" s="43">
        <v>229.29</v>
      </c>
      <c r="D85" s="85">
        <v>1669.88</v>
      </c>
      <c r="E85" s="85">
        <v>36045.97</v>
      </c>
      <c r="F85" s="43">
        <v>142557.46</v>
      </c>
      <c r="G85" s="43">
        <v>50782.51</v>
      </c>
      <c r="H85" s="100">
        <v>710.81</v>
      </c>
      <c r="I85" s="103"/>
    </row>
    <row r="86" spans="1:9" ht="13.5" customHeight="1">
      <c r="A86" s="60">
        <v>11</v>
      </c>
      <c r="B86" s="43">
        <v>232696.05</v>
      </c>
      <c r="C86" s="43">
        <v>262.45</v>
      </c>
      <c r="D86" s="85">
        <v>1746.42</v>
      </c>
      <c r="E86" s="85">
        <v>36028.21</v>
      </c>
      <c r="F86" s="43">
        <v>143127.76999999999</v>
      </c>
      <c r="G86" s="43">
        <v>50815.72</v>
      </c>
      <c r="H86" s="100">
        <v>715.48</v>
      </c>
      <c r="I86" s="103"/>
    </row>
    <row r="87" spans="1:9" ht="13.5" customHeight="1">
      <c r="A87" s="60">
        <v>12</v>
      </c>
      <c r="B87" s="43">
        <v>233133.49</v>
      </c>
      <c r="C87" s="43">
        <v>266.85000000000002</v>
      </c>
      <c r="D87" s="85">
        <v>1803.32</v>
      </c>
      <c r="E87" s="85">
        <v>36065.78</v>
      </c>
      <c r="F87" s="43">
        <v>143377.51999999999</v>
      </c>
      <c r="G87" s="43">
        <v>50874.62</v>
      </c>
      <c r="H87" s="100">
        <v>745.3900000000001</v>
      </c>
      <c r="I87" s="103"/>
    </row>
    <row r="88" spans="1:9" ht="13.5" customHeight="1">
      <c r="A88" s="60"/>
      <c r="B88" s="43"/>
      <c r="C88" s="43"/>
      <c r="D88" s="85"/>
      <c r="E88" s="85"/>
      <c r="F88" s="43"/>
      <c r="G88" s="43"/>
      <c r="H88" s="100"/>
      <c r="I88" s="103"/>
    </row>
    <row r="89" spans="1:9" ht="13.5" customHeight="1">
      <c r="A89" s="60">
        <v>2023.1</v>
      </c>
      <c r="B89" s="43">
        <v>233729.92000000001</v>
      </c>
      <c r="C89" s="43">
        <v>252.36</v>
      </c>
      <c r="D89" s="85">
        <v>2307.4</v>
      </c>
      <c r="E89" s="85">
        <v>36560.33</v>
      </c>
      <c r="F89" s="43">
        <v>143060.06</v>
      </c>
      <c r="G89" s="43">
        <v>50789.13</v>
      </c>
      <c r="H89" s="100">
        <v>760.64</v>
      </c>
      <c r="I89" s="103"/>
    </row>
    <row r="90" spans="1:9" ht="13.5" customHeight="1">
      <c r="A90" s="60">
        <v>2</v>
      </c>
      <c r="B90" s="43">
        <v>233731.8</v>
      </c>
      <c r="C90" s="43">
        <v>245.51</v>
      </c>
      <c r="D90" s="85">
        <v>2523.9299999999998</v>
      </c>
      <c r="E90" s="85">
        <v>36602.519999999997</v>
      </c>
      <c r="F90" s="43">
        <v>143315.10999999999</v>
      </c>
      <c r="G90" s="43">
        <v>50291.18</v>
      </c>
      <c r="H90" s="100">
        <v>753.55000000000007</v>
      </c>
      <c r="I90" s="103"/>
    </row>
    <row r="91" spans="1:9" ht="13.5" customHeight="1">
      <c r="A91" s="60">
        <v>3</v>
      </c>
      <c r="B91" s="43">
        <v>233257.46</v>
      </c>
      <c r="C91" s="43">
        <v>250.14</v>
      </c>
      <c r="D91" s="85">
        <v>2478.21</v>
      </c>
      <c r="E91" s="85">
        <v>36298.03</v>
      </c>
      <c r="F91" s="43">
        <v>143356.74</v>
      </c>
      <c r="G91" s="43">
        <v>50155.03</v>
      </c>
      <c r="H91" s="100">
        <v>719.31</v>
      </c>
      <c r="I91" s="103"/>
    </row>
    <row r="92" spans="1:9" ht="13.5" customHeight="1">
      <c r="A92" s="60"/>
      <c r="B92" s="43"/>
      <c r="C92" s="43"/>
      <c r="D92" s="85"/>
      <c r="E92" s="85"/>
      <c r="F92" s="43"/>
      <c r="G92" s="43"/>
      <c r="H92" s="100"/>
      <c r="I92" s="103"/>
    </row>
    <row r="93" spans="1:9" ht="13.5" customHeight="1">
      <c r="A93" s="60">
        <v>4</v>
      </c>
      <c r="B93" s="43">
        <v>234742.1</v>
      </c>
      <c r="C93" s="43">
        <v>249.16</v>
      </c>
      <c r="D93" s="85">
        <v>2751.36</v>
      </c>
      <c r="E93" s="85">
        <v>36335.81</v>
      </c>
      <c r="F93" s="43">
        <v>144266.91</v>
      </c>
      <c r="G93" s="43">
        <v>50385.120000000003</v>
      </c>
      <c r="H93" s="100">
        <v>753.74</v>
      </c>
      <c r="I93" s="103"/>
    </row>
    <row r="94" spans="1:9" ht="13.5" customHeight="1">
      <c r="A94" s="60">
        <v>5</v>
      </c>
      <c r="B94" s="43">
        <v>235671.05</v>
      </c>
      <c r="C94" s="43">
        <v>246.57</v>
      </c>
      <c r="D94" s="85">
        <v>2822.58</v>
      </c>
      <c r="E94" s="85">
        <v>36114.75</v>
      </c>
      <c r="F94" s="43">
        <v>145390.57999999999</v>
      </c>
      <c r="G94" s="43">
        <v>50309.56</v>
      </c>
      <c r="H94" s="100">
        <v>787</v>
      </c>
      <c r="I94" s="103"/>
    </row>
    <row r="95" spans="1:9" ht="13.5" customHeight="1">
      <c r="A95" s="60">
        <v>6</v>
      </c>
      <c r="B95" s="43">
        <v>236056.01</v>
      </c>
      <c r="C95" s="43">
        <v>243.75</v>
      </c>
      <c r="D95" s="85">
        <v>2848.16</v>
      </c>
      <c r="E95" s="85">
        <v>35850.82</v>
      </c>
      <c r="F95" s="43">
        <v>146541.23000000001</v>
      </c>
      <c r="G95" s="43">
        <v>49792.77</v>
      </c>
      <c r="H95" s="100">
        <v>779.28</v>
      </c>
      <c r="I95" s="103"/>
    </row>
    <row r="96" spans="1:9" ht="13.5" customHeight="1">
      <c r="A96" s="60"/>
      <c r="B96" s="43"/>
      <c r="C96" s="43"/>
      <c r="D96" s="85"/>
      <c r="E96" s="85"/>
      <c r="F96" s="43"/>
      <c r="G96" s="43"/>
      <c r="H96" s="100"/>
      <c r="I96" s="103"/>
    </row>
    <row r="97" spans="1:9" ht="13.5" customHeight="1">
      <c r="A97" s="60">
        <v>7</v>
      </c>
      <c r="B97" s="43">
        <v>237379.05</v>
      </c>
      <c r="C97" s="43">
        <v>242.25</v>
      </c>
      <c r="D97" s="85">
        <v>3254.96</v>
      </c>
      <c r="E97" s="85">
        <v>35604.28</v>
      </c>
      <c r="F97" s="43">
        <v>147723.63</v>
      </c>
      <c r="G97" s="43">
        <v>49749.64</v>
      </c>
      <c r="H97" s="100">
        <v>804.29</v>
      </c>
      <c r="I97" s="103"/>
    </row>
    <row r="98" spans="1:9" ht="13.5" customHeight="1">
      <c r="A98" s="60">
        <v>8</v>
      </c>
      <c r="B98" s="43">
        <v>238592.91</v>
      </c>
      <c r="C98" s="43">
        <v>246.1</v>
      </c>
      <c r="D98" s="85">
        <v>3368.16</v>
      </c>
      <c r="E98" s="85">
        <v>36061.4</v>
      </c>
      <c r="F98" s="43">
        <v>148668.57</v>
      </c>
      <c r="G98" s="43">
        <v>49388.11</v>
      </c>
      <c r="H98" s="100">
        <v>860.56999999999994</v>
      </c>
      <c r="I98" s="103"/>
    </row>
    <row r="99" spans="1:9" ht="13.5" customHeight="1">
      <c r="A99" s="60">
        <v>9</v>
      </c>
      <c r="B99" s="43">
        <v>238641.72</v>
      </c>
      <c r="C99" s="43">
        <v>244.87</v>
      </c>
      <c r="D99" s="85">
        <v>3378.74</v>
      </c>
      <c r="E99" s="85">
        <v>35991.699999999997</v>
      </c>
      <c r="F99" s="43">
        <v>149037.14000000001</v>
      </c>
      <c r="G99" s="43">
        <v>49106.12</v>
      </c>
      <c r="H99" s="100">
        <v>883.14</v>
      </c>
      <c r="I99" s="103"/>
    </row>
    <row r="100" spans="1:9" ht="13.5" customHeight="1">
      <c r="A100" s="60"/>
      <c r="B100" s="43"/>
      <c r="C100" s="43"/>
      <c r="D100" s="85"/>
      <c r="E100" s="85"/>
      <c r="F100" s="43"/>
      <c r="G100" s="43"/>
      <c r="H100" s="100"/>
      <c r="I100" s="103"/>
    </row>
    <row r="101" spans="1:9" ht="13.5" customHeight="1">
      <c r="A101" s="60">
        <v>10</v>
      </c>
      <c r="B101" s="43">
        <v>239914.3</v>
      </c>
      <c r="C101" s="43">
        <v>339.31</v>
      </c>
      <c r="D101" s="85">
        <v>3566.34</v>
      </c>
      <c r="E101" s="85">
        <v>36091.18</v>
      </c>
      <c r="F101" s="43">
        <v>150094.45000000001</v>
      </c>
      <c r="G101" s="43">
        <v>48860.9</v>
      </c>
      <c r="H101" s="100">
        <v>962.12</v>
      </c>
      <c r="I101" s="103"/>
    </row>
    <row r="102" spans="1:9" ht="13.5" customHeight="1">
      <c r="A102" s="60">
        <v>11</v>
      </c>
      <c r="B102" s="43">
        <v>242048.16</v>
      </c>
      <c r="C102" s="43">
        <v>1150.7</v>
      </c>
      <c r="D102" s="85">
        <v>3480.58</v>
      </c>
      <c r="E102" s="85">
        <v>36173.85</v>
      </c>
      <c r="F102" s="43">
        <v>151839.9</v>
      </c>
      <c r="G102" s="43">
        <v>48451.09</v>
      </c>
      <c r="H102" s="100">
        <v>952.04</v>
      </c>
      <c r="I102" s="103"/>
    </row>
    <row r="103" spans="1:9" ht="13.5" customHeight="1">
      <c r="A103" s="60">
        <v>12</v>
      </c>
      <c r="B103" s="43">
        <v>243212.74</v>
      </c>
      <c r="C103" s="43">
        <v>297.25</v>
      </c>
      <c r="D103" s="85">
        <v>3496.68</v>
      </c>
      <c r="E103" s="85">
        <v>36155.51</v>
      </c>
      <c r="F103" s="43">
        <v>153299.78</v>
      </c>
      <c r="G103" s="43">
        <v>49005.73</v>
      </c>
      <c r="H103" s="100">
        <v>957.8</v>
      </c>
      <c r="I103" s="103"/>
    </row>
    <row r="104" spans="1:9" ht="13.5" customHeight="1">
      <c r="A104" s="60"/>
      <c r="B104" s="43"/>
      <c r="C104" s="43"/>
      <c r="D104" s="85"/>
      <c r="E104" s="85"/>
      <c r="F104" s="43"/>
      <c r="G104" s="43"/>
      <c r="H104" s="100"/>
      <c r="I104" s="103"/>
    </row>
    <row r="105" spans="1:9" ht="13.5" customHeight="1">
      <c r="A105" s="60">
        <v>2024.1</v>
      </c>
      <c r="B105" s="43">
        <v>243995.42</v>
      </c>
      <c r="C105" s="43">
        <v>236.42</v>
      </c>
      <c r="D105" s="85">
        <v>3678.96</v>
      </c>
      <c r="E105" s="85">
        <v>36251.99</v>
      </c>
      <c r="F105" s="43">
        <v>154007.07999999999</v>
      </c>
      <c r="G105" s="43">
        <v>48881.82</v>
      </c>
      <c r="H105" s="100">
        <v>939.15</v>
      </c>
      <c r="I105" s="103"/>
    </row>
    <row r="106" spans="1:9" ht="13.5" customHeight="1">
      <c r="A106" s="60">
        <v>2</v>
      </c>
      <c r="B106" s="43">
        <v>243694.51</v>
      </c>
      <c r="C106" s="43">
        <v>230.12</v>
      </c>
      <c r="D106" s="85">
        <v>3708.6</v>
      </c>
      <c r="E106" s="85">
        <v>35970.65</v>
      </c>
      <c r="F106" s="43">
        <v>154052.32999999999</v>
      </c>
      <c r="G106" s="43">
        <v>48798.63</v>
      </c>
      <c r="H106" s="100">
        <v>934.18</v>
      </c>
      <c r="I106" s="103"/>
    </row>
    <row r="107" spans="1:9" ht="13.5" customHeight="1">
      <c r="A107" s="60">
        <v>3</v>
      </c>
      <c r="B107" s="43">
        <v>244483.64</v>
      </c>
      <c r="C107" s="43">
        <v>244.12</v>
      </c>
      <c r="D107" s="85">
        <v>3729.12</v>
      </c>
      <c r="E107" s="85">
        <v>36017.440000000002</v>
      </c>
      <c r="F107" s="43">
        <v>154994.4</v>
      </c>
      <c r="G107" s="43">
        <v>48584.03</v>
      </c>
      <c r="H107" s="100">
        <v>914.53</v>
      </c>
      <c r="I107" s="103"/>
    </row>
    <row r="108" spans="1:9" ht="13.5" customHeight="1">
      <c r="A108" s="60"/>
      <c r="B108" s="43"/>
      <c r="C108" s="43"/>
      <c r="D108" s="85"/>
      <c r="E108" s="85"/>
      <c r="F108" s="43"/>
      <c r="G108" s="43"/>
      <c r="H108" s="100"/>
      <c r="I108" s="103"/>
    </row>
    <row r="109" spans="1:9" ht="13.5" customHeight="1">
      <c r="A109" s="60">
        <v>4</v>
      </c>
      <c r="B109" s="43">
        <v>246590.53</v>
      </c>
      <c r="C109" s="43">
        <v>238.21</v>
      </c>
      <c r="D109" s="85">
        <v>3859.51</v>
      </c>
      <c r="E109" s="85">
        <v>36240.35</v>
      </c>
      <c r="F109" s="43">
        <v>156265.9</v>
      </c>
      <c r="G109" s="43">
        <v>49075.38</v>
      </c>
      <c r="H109" s="100">
        <v>911.18</v>
      </c>
      <c r="I109" s="103"/>
    </row>
    <row r="110" spans="1:9" ht="13.5" customHeight="1">
      <c r="A110" s="60">
        <v>5</v>
      </c>
      <c r="B110" s="43">
        <v>247422.29</v>
      </c>
      <c r="C110" s="43">
        <v>234.07</v>
      </c>
      <c r="D110" s="85">
        <v>3983.08</v>
      </c>
      <c r="E110" s="85">
        <v>36225.040000000001</v>
      </c>
      <c r="F110" s="43">
        <v>157042.66</v>
      </c>
      <c r="G110" s="43">
        <v>49014.62</v>
      </c>
      <c r="H110" s="100">
        <v>922.81999999999994</v>
      </c>
      <c r="I110" s="103"/>
    </row>
    <row r="111" spans="1:9" ht="13.5" customHeight="1">
      <c r="A111" s="60">
        <v>6</v>
      </c>
      <c r="B111" s="43">
        <v>248754.12</v>
      </c>
      <c r="C111" s="43">
        <v>230.42</v>
      </c>
      <c r="D111" s="85">
        <v>3920.48</v>
      </c>
      <c r="E111" s="85">
        <v>36445.800000000003</v>
      </c>
      <c r="F111" s="43">
        <v>158215.47</v>
      </c>
      <c r="G111" s="43">
        <v>49019.8</v>
      </c>
      <c r="H111" s="100">
        <v>922.15</v>
      </c>
      <c r="I111" s="103"/>
    </row>
    <row r="112" spans="1:9" ht="13.5" customHeight="1">
      <c r="A112" s="60"/>
      <c r="B112" s="43"/>
      <c r="C112" s="43"/>
      <c r="D112" s="85"/>
      <c r="E112" s="85"/>
      <c r="F112" s="43"/>
      <c r="G112" s="43"/>
      <c r="H112" s="100"/>
      <c r="I112" s="103"/>
    </row>
    <row r="113" spans="1:9" ht="13.5" customHeight="1">
      <c r="A113" s="60">
        <v>7</v>
      </c>
      <c r="B113" s="43">
        <v>249588.92</v>
      </c>
      <c r="C113" s="43">
        <v>230.44</v>
      </c>
      <c r="D113" s="85">
        <v>3972.26</v>
      </c>
      <c r="E113" s="85">
        <v>36597.64</v>
      </c>
      <c r="F113" s="43">
        <v>159436.98000000001</v>
      </c>
      <c r="G113" s="43">
        <v>48423.83</v>
      </c>
      <c r="H113" s="100">
        <v>927.77</v>
      </c>
      <c r="I113" s="103"/>
    </row>
    <row r="114" spans="1:9" ht="13.5" customHeight="1">
      <c r="A114" s="60">
        <v>8</v>
      </c>
      <c r="B114" s="43">
        <v>248828.98</v>
      </c>
      <c r="C114" s="43">
        <v>225.59</v>
      </c>
      <c r="D114" s="85">
        <v>4044.66</v>
      </c>
      <c r="E114" s="85">
        <v>36004.68</v>
      </c>
      <c r="F114" s="43">
        <v>159226.21</v>
      </c>
      <c r="G114" s="43">
        <v>48393.01</v>
      </c>
      <c r="H114" s="100">
        <v>934.83</v>
      </c>
      <c r="I114" s="103"/>
    </row>
    <row r="115" spans="1:9" ht="13.5" customHeight="1">
      <c r="A115" s="60">
        <v>9</v>
      </c>
      <c r="B115" s="43">
        <v>248809.56</v>
      </c>
      <c r="C115" s="43">
        <v>222.52</v>
      </c>
      <c r="D115" s="85">
        <v>3979.2</v>
      </c>
      <c r="E115" s="85">
        <v>35844.050000000003</v>
      </c>
      <c r="F115" s="43">
        <v>159471.12</v>
      </c>
      <c r="G115" s="43">
        <v>48353.39</v>
      </c>
      <c r="H115" s="100">
        <v>939.28000000000009</v>
      </c>
      <c r="I115" s="103"/>
    </row>
    <row r="116" spans="1:9" ht="13.5" customHeight="1">
      <c r="A116" s="60"/>
      <c r="B116" s="43"/>
      <c r="C116" s="43"/>
      <c r="D116" s="85"/>
      <c r="E116" s="85"/>
      <c r="F116" s="43"/>
      <c r="G116" s="43"/>
      <c r="H116" s="100"/>
      <c r="I116" s="103"/>
    </row>
    <row r="117" spans="1:9" ht="13.5" customHeight="1">
      <c r="A117" s="60">
        <v>10</v>
      </c>
      <c r="B117" s="43">
        <v>249090.67</v>
      </c>
      <c r="C117" s="43">
        <v>222.37</v>
      </c>
      <c r="D117" s="85">
        <v>3828.51</v>
      </c>
      <c r="E117" s="85">
        <v>36006.239999999998</v>
      </c>
      <c r="F117" s="43">
        <v>158563.69</v>
      </c>
      <c r="G117" s="43">
        <v>49527.03</v>
      </c>
      <c r="H117" s="100">
        <v>942.84</v>
      </c>
      <c r="I117" s="103"/>
    </row>
    <row r="118" spans="1:9" ht="13.5" customHeight="1">
      <c r="A118" s="60">
        <v>11</v>
      </c>
      <c r="B118" s="43">
        <v>251431.23</v>
      </c>
      <c r="C118" s="43">
        <v>220.03</v>
      </c>
      <c r="D118" s="85">
        <v>3529.34</v>
      </c>
      <c r="E118" s="85">
        <v>36375.08</v>
      </c>
      <c r="F118" s="43">
        <v>160356.15</v>
      </c>
      <c r="G118" s="43">
        <v>50008.11</v>
      </c>
      <c r="H118" s="100">
        <v>942.51</v>
      </c>
      <c r="I118" s="103"/>
    </row>
    <row r="119" spans="1:9" ht="13.5" customHeight="1">
      <c r="A119" s="60">
        <v>12</v>
      </c>
      <c r="B119" s="43">
        <v>254600.1</v>
      </c>
      <c r="C119" s="43">
        <v>213.89</v>
      </c>
      <c r="D119" s="85">
        <v>3391.19</v>
      </c>
      <c r="E119" s="85">
        <v>36608.300000000003</v>
      </c>
      <c r="F119" s="43">
        <v>162546.51999999999</v>
      </c>
      <c r="G119" s="43">
        <v>50904.67</v>
      </c>
      <c r="H119" s="100">
        <v>935.53</v>
      </c>
      <c r="I119" s="103"/>
    </row>
    <row r="120" spans="1:9" ht="13.5" customHeight="1">
      <c r="A120" s="60"/>
      <c r="B120" s="43"/>
      <c r="C120" s="43"/>
      <c r="D120" s="85"/>
      <c r="E120" s="85"/>
      <c r="F120" s="43"/>
      <c r="G120" s="43"/>
      <c r="H120" s="100"/>
      <c r="I120" s="103"/>
    </row>
    <row r="121" spans="1:9" ht="13.5" customHeight="1">
      <c r="A121" s="60">
        <v>2025.1</v>
      </c>
      <c r="B121" s="43">
        <v>255465.71</v>
      </c>
      <c r="C121" s="43">
        <v>207.38</v>
      </c>
      <c r="D121" s="85">
        <v>3172.39</v>
      </c>
      <c r="E121" s="85">
        <v>36510.050000000003</v>
      </c>
      <c r="F121" s="43">
        <v>163004.88</v>
      </c>
      <c r="G121" s="43">
        <v>51652.98</v>
      </c>
      <c r="H121" s="100">
        <v>918.04</v>
      </c>
      <c r="I121" s="103"/>
    </row>
    <row r="122" spans="1:9" ht="13.5" customHeight="1">
      <c r="A122" s="60">
        <v>2</v>
      </c>
      <c r="B122" s="43">
        <v>255669.56</v>
      </c>
      <c r="C122" s="43">
        <v>196.2</v>
      </c>
      <c r="D122" s="85">
        <v>3001.04</v>
      </c>
      <c r="E122" s="85">
        <v>36534.519999999997</v>
      </c>
      <c r="F122" s="43">
        <v>163029.94</v>
      </c>
      <c r="G122" s="43">
        <v>51985.56</v>
      </c>
      <c r="H122" s="100">
        <v>922.31</v>
      </c>
      <c r="I122" s="103"/>
    </row>
    <row r="123" spans="1:9" ht="13.5" customHeight="1">
      <c r="A123" s="60">
        <v>3</v>
      </c>
      <c r="B123" s="43">
        <v>255998.82</v>
      </c>
      <c r="C123" s="43">
        <v>176.96</v>
      </c>
      <c r="D123" s="85">
        <v>2798.39</v>
      </c>
      <c r="E123" s="85">
        <v>36681.26</v>
      </c>
      <c r="F123" s="43">
        <v>163172.39000000001</v>
      </c>
      <c r="G123" s="43">
        <v>52265.49</v>
      </c>
      <c r="H123" s="100">
        <v>904.33</v>
      </c>
      <c r="I123" s="103"/>
    </row>
    <row r="124" spans="1:9" ht="13.5" customHeight="1">
      <c r="A124" s="60"/>
      <c r="B124" s="43"/>
      <c r="C124" s="43"/>
      <c r="D124" s="85"/>
      <c r="E124" s="85"/>
      <c r="F124" s="43"/>
      <c r="G124" s="43"/>
      <c r="H124" s="100"/>
      <c r="I124" s="103"/>
    </row>
    <row r="125" spans="1:9" ht="13.5" customHeight="1">
      <c r="A125" s="60">
        <v>4</v>
      </c>
      <c r="B125" s="43">
        <v>256518.18</v>
      </c>
      <c r="C125" s="43">
        <v>177.14</v>
      </c>
      <c r="D125" s="85">
        <v>2801.05</v>
      </c>
      <c r="E125" s="85">
        <v>36531.879999999997</v>
      </c>
      <c r="F125" s="43">
        <v>163386.98000000001</v>
      </c>
      <c r="G125" s="43">
        <v>52714.66</v>
      </c>
      <c r="H125" s="100">
        <v>906.47</v>
      </c>
      <c r="I125" s="103"/>
    </row>
    <row r="126" spans="1:9" ht="13.5" customHeight="1">
      <c r="A126" s="60">
        <v>5</v>
      </c>
      <c r="B126" s="43">
        <v>256560.36</v>
      </c>
      <c r="C126" s="43">
        <v>179.21</v>
      </c>
      <c r="D126" s="85">
        <v>2679.02</v>
      </c>
      <c r="E126" s="85">
        <v>36555.360000000001</v>
      </c>
      <c r="F126" s="43">
        <v>163187.17000000001</v>
      </c>
      <c r="G126" s="43">
        <v>53056.93</v>
      </c>
      <c r="H126" s="100">
        <v>902.67</v>
      </c>
      <c r="I126" s="103"/>
    </row>
    <row r="127" spans="1:9" ht="13.5" customHeight="1">
      <c r="A127" s="60">
        <v>6</v>
      </c>
      <c r="B127" s="43">
        <v>259445.16</v>
      </c>
      <c r="C127" s="43">
        <v>171.1</v>
      </c>
      <c r="D127" s="85">
        <v>2661.72</v>
      </c>
      <c r="E127" s="85">
        <v>37013.33</v>
      </c>
      <c r="F127" s="43">
        <v>165215.29</v>
      </c>
      <c r="G127" s="43">
        <v>53488.49</v>
      </c>
      <c r="H127" s="100">
        <v>895.23</v>
      </c>
      <c r="I127" s="103"/>
    </row>
    <row r="128" spans="1:9" ht="13.5" customHeight="1">
      <c r="A128" s="60"/>
      <c r="B128" s="43"/>
      <c r="C128" s="43"/>
      <c r="D128" s="85"/>
      <c r="E128" s="85"/>
      <c r="F128" s="43"/>
      <c r="G128" s="43"/>
      <c r="H128" s="100"/>
      <c r="I128" s="103"/>
    </row>
    <row r="129" spans="1:9" ht="13.5" customHeight="1">
      <c r="A129" s="60">
        <v>7</v>
      </c>
      <c r="B129" s="43">
        <v>260861.55</v>
      </c>
      <c r="C129" s="43">
        <v>168.78</v>
      </c>
      <c r="D129" s="85">
        <v>2549.83</v>
      </c>
      <c r="E129" s="85">
        <v>36950.93</v>
      </c>
      <c r="F129" s="43">
        <v>166311.23000000001</v>
      </c>
      <c r="G129" s="43">
        <v>53884.54</v>
      </c>
      <c r="H129" s="100">
        <v>996.23</v>
      </c>
      <c r="I129" s="103"/>
    </row>
    <row r="130" spans="1:9" ht="13.5" customHeight="1">
      <c r="A130" s="60">
        <v>8</v>
      </c>
      <c r="B130" s="43">
        <v>261466.56</v>
      </c>
      <c r="C130" s="43">
        <v>166.27</v>
      </c>
      <c r="D130" s="85">
        <v>2599.5700000000002</v>
      </c>
      <c r="E130" s="85">
        <v>36834.85</v>
      </c>
      <c r="F130" s="43">
        <v>166752.95000000001</v>
      </c>
      <c r="G130" s="43">
        <v>54114.84</v>
      </c>
      <c r="H130" s="100">
        <v>998.08999999999992</v>
      </c>
      <c r="I130" s="103"/>
    </row>
    <row r="131" spans="1:9" ht="13.5" customHeight="1">
      <c r="A131" s="60">
        <v>9</v>
      </c>
      <c r="B131" s="43">
        <v>261646.41</v>
      </c>
      <c r="C131" s="43">
        <v>163.81</v>
      </c>
      <c r="D131" s="85">
        <v>2682.95</v>
      </c>
      <c r="E131" s="85">
        <v>36438.379999999997</v>
      </c>
      <c r="F131" s="43">
        <v>166982.79</v>
      </c>
      <c r="G131" s="43">
        <v>54331.85</v>
      </c>
      <c r="H131" s="100">
        <v>1046.6299999999999</v>
      </c>
      <c r="I131" s="103"/>
    </row>
    <row r="132" spans="1:9" ht="13.5" customHeight="1">
      <c r="A132" s="60"/>
      <c r="B132" s="43"/>
      <c r="C132" s="43"/>
      <c r="D132" s="85"/>
      <c r="E132" s="85"/>
      <c r="F132" s="43"/>
      <c r="G132" s="43"/>
      <c r="H132" s="100"/>
      <c r="I132" s="103"/>
    </row>
    <row r="133" spans="1:9" ht="13.5" customHeight="1">
      <c r="A133" s="60">
        <v>10</v>
      </c>
      <c r="B133" s="43">
        <v>263969.46999999997</v>
      </c>
      <c r="C133" s="43">
        <v>161.66</v>
      </c>
      <c r="D133" s="85">
        <v>2740.89</v>
      </c>
      <c r="E133" s="85">
        <v>37089.129999999997</v>
      </c>
      <c r="F133" s="43">
        <v>167565.63</v>
      </c>
      <c r="G133" s="43">
        <v>55340.53</v>
      </c>
      <c r="H133" s="100">
        <v>1071.6299999999999</v>
      </c>
      <c r="I133" s="103"/>
    </row>
    <row r="134" spans="1:9" ht="13.5" customHeight="1">
      <c r="A134" s="60" t="s">
        <v>212</v>
      </c>
      <c r="B134" s="43">
        <v>265765.71000000002</v>
      </c>
      <c r="C134" s="43">
        <v>163.87</v>
      </c>
      <c r="D134" s="85">
        <v>2896.09</v>
      </c>
      <c r="E134" s="85">
        <v>37315.620000000003</v>
      </c>
      <c r="F134" s="43">
        <v>168395.56</v>
      </c>
      <c r="G134" s="43">
        <v>55919.02</v>
      </c>
      <c r="H134" s="100">
        <v>1075.55</v>
      </c>
      <c r="I134" s="103"/>
    </row>
    <row r="135" spans="1:9" ht="13.5" customHeight="1">
      <c r="A135" s="194" t="s">
        <v>213</v>
      </c>
      <c r="B135" s="203">
        <v>268464.90999999997</v>
      </c>
      <c r="C135" s="203">
        <v>163.13</v>
      </c>
      <c r="D135" s="203">
        <v>3191.87</v>
      </c>
      <c r="E135" s="203">
        <v>37554.85</v>
      </c>
      <c r="F135" s="203">
        <v>169635.06</v>
      </c>
      <c r="G135" s="203">
        <v>56847.360000000001</v>
      </c>
      <c r="H135" s="204">
        <v>1072.6400000000001</v>
      </c>
      <c r="I135" s="13"/>
    </row>
    <row r="136" spans="1:9" ht="13.5" customHeight="1">
      <c r="A136" s="60"/>
      <c r="B136" s="43"/>
      <c r="C136" s="43"/>
      <c r="D136" s="85"/>
      <c r="E136" s="85"/>
      <c r="F136" s="43"/>
      <c r="G136" s="43"/>
      <c r="H136" s="100"/>
      <c r="I136" s="103"/>
    </row>
    <row r="137" spans="1:9" s="13" customFormat="1" ht="13.5" customHeight="1">
      <c r="A137" s="194" t="s">
        <v>266</v>
      </c>
      <c r="B137" s="203">
        <v>269096.65000000002</v>
      </c>
      <c r="C137" s="203">
        <v>149.88</v>
      </c>
      <c r="D137" s="203">
        <v>3364.33</v>
      </c>
      <c r="E137" s="203">
        <v>37529.769999999997</v>
      </c>
      <c r="F137" s="203">
        <v>170116.78</v>
      </c>
      <c r="G137" s="203">
        <v>56863.25</v>
      </c>
      <c r="H137" s="204">
        <v>1072.6400000000001</v>
      </c>
    </row>
    <row r="138" spans="1:9" ht="13.5" customHeight="1">
      <c r="A138" s="194" t="s">
        <v>215</v>
      </c>
      <c r="B138" s="203">
        <v>269124.18</v>
      </c>
      <c r="C138" s="203">
        <v>143.27000000000001</v>
      </c>
      <c r="D138" s="203">
        <v>3476.68</v>
      </c>
      <c r="E138" s="203">
        <v>37753.629999999997</v>
      </c>
      <c r="F138" s="203">
        <v>169972.27</v>
      </c>
      <c r="G138" s="203">
        <v>56719.19</v>
      </c>
      <c r="H138" s="204">
        <v>1059.1400000000001</v>
      </c>
      <c r="I138" s="13"/>
    </row>
    <row r="139" spans="1:9">
      <c r="A139" s="195" t="s">
        <v>265</v>
      </c>
      <c r="B139" s="198">
        <v>270432.13</v>
      </c>
      <c r="C139" s="198">
        <v>143.77000000000001</v>
      </c>
      <c r="D139" s="198">
        <v>3359.63</v>
      </c>
      <c r="E139" s="198">
        <v>37920.42</v>
      </c>
      <c r="F139" s="198">
        <v>171359.71</v>
      </c>
      <c r="G139" s="198">
        <v>56603.91</v>
      </c>
      <c r="H139" s="200">
        <v>1044.69</v>
      </c>
    </row>
    <row r="140" spans="1:9">
      <c r="A140" s="23" t="s">
        <v>201</v>
      </c>
      <c r="B140" s="3"/>
      <c r="C140" s="3"/>
      <c r="D140" s="3"/>
      <c r="E140" s="3"/>
      <c r="F140" s="3"/>
      <c r="G140" s="3"/>
      <c r="H140" s="82"/>
    </row>
    <row r="141" spans="1:9">
      <c r="A141" s="181"/>
    </row>
    <row r="143" spans="1:9" ht="12" customHeight="1"/>
  </sheetData>
  <mergeCells count="2">
    <mergeCell ref="A6:A7"/>
    <mergeCell ref="B6:H6"/>
  </mergeCells>
  <phoneticPr fontId="9" type="noConversion"/>
  <printOptions horizontalCentered="1"/>
  <pageMargins left="0.55118110236220474" right="0.55118110236220474" top="0.78740157480314965" bottom="0.78740157480314965" header="0.39370078740157483" footer="0.39370078740157483"/>
  <pageSetup paperSize="9" scale="3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  <pageSetUpPr fitToPage="1"/>
  </sheetPr>
  <dimension ref="A1:G139"/>
  <sheetViews>
    <sheetView topLeftCell="A4" zoomScale="85" zoomScaleNormal="85" workbookViewId="0">
      <pane xSplit="1" ySplit="4" topLeftCell="B122" activePane="bottomRight" state="frozen"/>
      <selection activeCell="E91" sqref="E91"/>
      <selection pane="topRight" activeCell="E91" sqref="E91"/>
      <selection pane="bottomLeft" activeCell="E91" sqref="E91"/>
      <selection pane="bottomRight" activeCell="B139" sqref="B139"/>
    </sheetView>
  </sheetViews>
  <sheetFormatPr defaultColWidth="8.88671875" defaultRowHeight="13.5"/>
  <cols>
    <col min="1" max="1" width="10.77734375" style="12" customWidth="1"/>
    <col min="2" max="6" width="15.77734375" style="12" customWidth="1"/>
    <col min="7" max="16384" width="8.88671875" style="12"/>
  </cols>
  <sheetData>
    <row r="1" spans="1:7" s="1" customFormat="1" ht="12"/>
    <row r="2" spans="1:7" s="1" customFormat="1" ht="12">
      <c r="A2" s="336"/>
      <c r="B2" s="336"/>
      <c r="C2" s="336"/>
      <c r="D2" s="336"/>
      <c r="E2" s="336"/>
      <c r="F2" s="112"/>
    </row>
    <row r="3" spans="1:7" s="1" customFormat="1" ht="12">
      <c r="A3" s="110"/>
      <c r="B3" s="23"/>
      <c r="C3" s="64"/>
      <c r="D3" s="64"/>
      <c r="E3" s="64"/>
      <c r="F3" s="64"/>
    </row>
    <row r="4" spans="1:7" s="1" customFormat="1" ht="12">
      <c r="A4" s="23" t="s">
        <v>117</v>
      </c>
      <c r="B4" s="23"/>
      <c r="C4" s="64"/>
      <c r="D4" s="64"/>
      <c r="E4" s="64"/>
      <c r="F4" s="64"/>
    </row>
    <row r="5" spans="1:7" s="1" customFormat="1" ht="12">
      <c r="A5" s="23" t="s">
        <v>98</v>
      </c>
      <c r="B5" s="48"/>
      <c r="C5" s="48"/>
      <c r="D5" s="48"/>
      <c r="E5" s="48"/>
      <c r="F5" s="4" t="s">
        <v>132</v>
      </c>
    </row>
    <row r="6" spans="1:7" ht="11.25" customHeight="1">
      <c r="A6" s="276" t="s">
        <v>118</v>
      </c>
      <c r="B6" s="284" t="s">
        <v>82</v>
      </c>
      <c r="C6" s="65"/>
      <c r="D6" s="65"/>
      <c r="E6" s="284" t="s">
        <v>83</v>
      </c>
      <c r="F6" s="65"/>
    </row>
    <row r="7" spans="1:7" ht="23.25" customHeight="1">
      <c r="A7" s="277"/>
      <c r="B7" s="285"/>
      <c r="C7" s="7" t="s">
        <v>69</v>
      </c>
      <c r="D7" s="7" t="s">
        <v>70</v>
      </c>
      <c r="E7" s="285"/>
      <c r="F7" s="46" t="s">
        <v>192</v>
      </c>
    </row>
    <row r="8" spans="1:7" ht="13.5" customHeight="1">
      <c r="A8" s="67">
        <v>2012</v>
      </c>
      <c r="B8" s="43" t="s">
        <v>85</v>
      </c>
      <c r="C8" s="85" t="s">
        <v>85</v>
      </c>
      <c r="D8" s="43" t="s">
        <v>85</v>
      </c>
      <c r="E8" s="43">
        <v>67760.185407659286</v>
      </c>
      <c r="F8" s="104">
        <v>21087.45692597</v>
      </c>
    </row>
    <row r="9" spans="1:7" s="27" customFormat="1" ht="13.5" customHeight="1">
      <c r="A9" s="67">
        <v>2013</v>
      </c>
      <c r="B9" s="43">
        <v>6620</v>
      </c>
      <c r="C9" s="85">
        <v>61</v>
      </c>
      <c r="D9" s="43">
        <v>6559</v>
      </c>
      <c r="E9" s="43">
        <v>72287.462221021298</v>
      </c>
      <c r="F9" s="104">
        <v>21852.560594629998</v>
      </c>
    </row>
    <row r="10" spans="1:7" s="27" customFormat="1" ht="13.5" customHeight="1">
      <c r="A10" s="67">
        <v>2014</v>
      </c>
      <c r="B10" s="43">
        <v>8607.3700000000008</v>
      </c>
      <c r="C10" s="85">
        <v>159.19</v>
      </c>
      <c r="D10" s="43">
        <v>8448.18</v>
      </c>
      <c r="E10" s="43">
        <v>77911.813597610002</v>
      </c>
      <c r="F10" s="104">
        <v>23188.088812299997</v>
      </c>
      <c r="G10" s="31"/>
    </row>
    <row r="11" spans="1:7" s="27" customFormat="1" ht="13.5" customHeight="1">
      <c r="A11" s="91">
        <v>2015</v>
      </c>
      <c r="B11" s="43">
        <v>11255.65</v>
      </c>
      <c r="C11" s="85">
        <v>439.69</v>
      </c>
      <c r="D11" s="43">
        <v>10815.96</v>
      </c>
      <c r="E11" s="43">
        <v>83817.735261890019</v>
      </c>
      <c r="F11" s="104">
        <v>24111.300000000003</v>
      </c>
      <c r="G11" s="31"/>
    </row>
    <row r="12" spans="1:7" s="27" customFormat="1" ht="13.5" customHeight="1">
      <c r="A12" s="94"/>
      <c r="B12" s="43"/>
      <c r="C12" s="85"/>
      <c r="D12" s="43"/>
      <c r="E12" s="43"/>
      <c r="F12" s="104"/>
      <c r="G12" s="31"/>
    </row>
    <row r="13" spans="1:7" s="27" customFormat="1" ht="13.5" customHeight="1">
      <c r="A13" s="67">
        <v>2016</v>
      </c>
      <c r="B13" s="43">
        <v>14495.39</v>
      </c>
      <c r="C13" s="85">
        <v>447.69</v>
      </c>
      <c r="D13" s="43">
        <v>14047.7</v>
      </c>
      <c r="E13" s="43">
        <v>95729.030931220012</v>
      </c>
      <c r="F13" s="104">
        <v>27132.425999999999</v>
      </c>
      <c r="G13" s="31"/>
    </row>
    <row r="14" spans="1:7" s="27" customFormat="1" ht="13.5" customHeight="1">
      <c r="A14" s="94">
        <v>2017</v>
      </c>
      <c r="B14" s="43">
        <v>20576.824866999999</v>
      </c>
      <c r="C14" s="85">
        <v>243.19</v>
      </c>
      <c r="D14" s="43">
        <v>20333.634867000001</v>
      </c>
      <c r="E14" s="43">
        <v>105481.53480096</v>
      </c>
      <c r="F14" s="104">
        <v>31093.222999999998</v>
      </c>
      <c r="G14" s="31"/>
    </row>
    <row r="15" spans="1:7" s="27" customFormat="1" ht="13.5" customHeight="1">
      <c r="A15" s="114">
        <v>2018</v>
      </c>
      <c r="B15" s="43">
        <v>25959.360000000001</v>
      </c>
      <c r="C15" s="43">
        <v>174.99</v>
      </c>
      <c r="D15" s="43">
        <v>25784.37</v>
      </c>
      <c r="E15" s="43">
        <v>113894.33445156</v>
      </c>
      <c r="F15" s="104">
        <v>32499.48291535</v>
      </c>
      <c r="G15" s="31"/>
    </row>
    <row r="16" spans="1:7" s="27" customFormat="1" ht="13.5" customHeight="1">
      <c r="A16" s="121">
        <v>2019</v>
      </c>
      <c r="B16" s="43">
        <v>30814.82</v>
      </c>
      <c r="C16" s="43">
        <v>213.21</v>
      </c>
      <c r="D16" s="43">
        <v>30601.61</v>
      </c>
      <c r="E16" s="43">
        <v>114117.31544080001</v>
      </c>
      <c r="F16" s="104">
        <v>30189.87589191</v>
      </c>
      <c r="G16" s="31"/>
    </row>
    <row r="17" spans="1:7" s="27" customFormat="1" ht="13.5" customHeight="1">
      <c r="A17" s="149">
        <v>2020</v>
      </c>
      <c r="B17" s="43">
        <v>43679.57</v>
      </c>
      <c r="C17" s="85">
        <v>878.99</v>
      </c>
      <c r="D17" s="43">
        <v>42800.57</v>
      </c>
      <c r="E17" s="43">
        <v>117854.65574271001</v>
      </c>
      <c r="F17" s="104">
        <v>30391.721065919999</v>
      </c>
      <c r="G17" s="31"/>
    </row>
    <row r="18" spans="1:7" s="27" customFormat="1" ht="13.5" customHeight="1">
      <c r="A18" s="167"/>
      <c r="B18" s="43"/>
      <c r="C18" s="85"/>
      <c r="D18" s="43"/>
      <c r="E18" s="43"/>
      <c r="F18" s="104"/>
      <c r="G18" s="31"/>
    </row>
    <row r="19" spans="1:7" s="27" customFormat="1" ht="13.5" customHeight="1">
      <c r="A19" s="197">
        <v>2021</v>
      </c>
      <c r="B19" s="43">
        <v>61631.38</v>
      </c>
      <c r="C19" s="85">
        <v>1400.86</v>
      </c>
      <c r="D19" s="43">
        <v>60230.52</v>
      </c>
      <c r="E19" s="43">
        <v>128554.58</v>
      </c>
      <c r="F19" s="104">
        <v>35909.39</v>
      </c>
      <c r="G19" s="31"/>
    </row>
    <row r="20" spans="1:7" s="27" customFormat="1" ht="13.5" customHeight="1">
      <c r="A20" s="197">
        <v>2022</v>
      </c>
      <c r="B20" s="43">
        <v>84057.74</v>
      </c>
      <c r="C20" s="85">
        <v>2096.7800000000002</v>
      </c>
      <c r="D20" s="43">
        <v>81960.960000000006</v>
      </c>
      <c r="E20" s="43">
        <v>124603.97</v>
      </c>
      <c r="F20" s="104">
        <v>39150</v>
      </c>
      <c r="G20" s="31"/>
    </row>
    <row r="21" spans="1:7" s="27" customFormat="1" ht="13.5" customHeight="1">
      <c r="A21" s="197">
        <v>2023</v>
      </c>
      <c r="B21" s="43">
        <v>100618.45</v>
      </c>
      <c r="C21" s="85">
        <v>2897.69</v>
      </c>
      <c r="D21" s="43">
        <v>97720.76</v>
      </c>
      <c r="E21" s="43">
        <v>117963.71</v>
      </c>
      <c r="F21" s="104">
        <v>40251.72</v>
      </c>
      <c r="G21" s="31"/>
    </row>
    <row r="22" spans="1:7" s="27" customFormat="1" ht="13.5" customHeight="1">
      <c r="A22" s="197">
        <v>2024</v>
      </c>
      <c r="B22" s="43">
        <f>B119</f>
        <v>111493.16</v>
      </c>
      <c r="C22" s="85">
        <f t="shared" ref="C22:F22" si="0">C119</f>
        <v>3638.22</v>
      </c>
      <c r="D22" s="43">
        <f t="shared" si="0"/>
        <v>107854.94</v>
      </c>
      <c r="E22" s="43">
        <f t="shared" si="0"/>
        <v>118439.85</v>
      </c>
      <c r="F22" s="104">
        <f t="shared" si="0"/>
        <v>46384.81</v>
      </c>
      <c r="G22" s="31"/>
    </row>
    <row r="23" spans="1:7" s="27" customFormat="1" ht="13.5" customHeight="1">
      <c r="A23" s="197">
        <v>2025</v>
      </c>
      <c r="B23" s="43">
        <v>119940.74</v>
      </c>
      <c r="C23" s="85">
        <v>4567.76</v>
      </c>
      <c r="D23" s="43">
        <v>115372.98</v>
      </c>
      <c r="E23" s="43">
        <v>120283</v>
      </c>
      <c r="F23" s="104">
        <v>53028</v>
      </c>
      <c r="G23" s="31"/>
    </row>
    <row r="24" spans="1:7" ht="13.5" customHeight="1">
      <c r="A24" s="60"/>
      <c r="B24" s="43"/>
      <c r="C24" s="85"/>
      <c r="D24" s="43"/>
      <c r="E24" s="116"/>
      <c r="G24" s="13"/>
    </row>
    <row r="25" spans="1:7" ht="13.5" customHeight="1">
      <c r="A25" s="60">
        <v>2019.1</v>
      </c>
      <c r="B25" s="43">
        <v>26105.19</v>
      </c>
      <c r="C25" s="85">
        <v>175.99</v>
      </c>
      <c r="D25" s="43">
        <v>25929.200000000001</v>
      </c>
      <c r="E25" s="43">
        <v>113247.75934610999</v>
      </c>
      <c r="F25" s="104">
        <v>31960.873675570001</v>
      </c>
      <c r="G25" s="13"/>
    </row>
    <row r="26" spans="1:7" ht="13.5" customHeight="1">
      <c r="A26" s="60">
        <v>2</v>
      </c>
      <c r="B26" s="43">
        <v>26416.400000000001</v>
      </c>
      <c r="C26" s="85">
        <v>180.21</v>
      </c>
      <c r="D26" s="43">
        <v>26236.19</v>
      </c>
      <c r="E26" s="43">
        <v>113193.35254927</v>
      </c>
      <c r="F26" s="104">
        <v>31717.311651690001</v>
      </c>
      <c r="G26" s="13"/>
    </row>
    <row r="27" spans="1:7" ht="13.5" customHeight="1">
      <c r="A27" s="60">
        <v>3</v>
      </c>
      <c r="B27" s="43">
        <v>26640.13</v>
      </c>
      <c r="C27" s="85">
        <v>176.21</v>
      </c>
      <c r="D27" s="43">
        <v>26463.919999999998</v>
      </c>
      <c r="E27" s="43">
        <v>112565.67643923</v>
      </c>
      <c r="F27" s="104">
        <v>31383.365553849999</v>
      </c>
      <c r="G27" s="13"/>
    </row>
    <row r="28" spans="1:7" ht="13.5" customHeight="1">
      <c r="A28" s="60"/>
      <c r="B28" s="43"/>
      <c r="C28" s="85"/>
      <c r="D28" s="43"/>
      <c r="E28" s="116"/>
      <c r="G28" s="13"/>
    </row>
    <row r="29" spans="1:7" ht="13.5" customHeight="1">
      <c r="A29" s="60">
        <v>4</v>
      </c>
      <c r="B29" s="43">
        <v>26735.1</v>
      </c>
      <c r="C29" s="85">
        <v>176.21</v>
      </c>
      <c r="D29" s="43">
        <v>26558.89</v>
      </c>
      <c r="E29" s="43">
        <v>112920.20926589999</v>
      </c>
      <c r="F29" s="104">
        <v>31086.459505400002</v>
      </c>
      <c r="G29" s="13"/>
    </row>
    <row r="30" spans="1:7" ht="13.5" customHeight="1">
      <c r="A30" s="60">
        <v>5</v>
      </c>
      <c r="B30" s="43">
        <v>27096.5</v>
      </c>
      <c r="C30" s="85">
        <v>176.21</v>
      </c>
      <c r="D30" s="43">
        <v>26920.29</v>
      </c>
      <c r="E30" s="43">
        <v>113235.17705107998</v>
      </c>
      <c r="F30" s="104">
        <v>30997.333852749998</v>
      </c>
      <c r="G30" s="13"/>
    </row>
    <row r="31" spans="1:7" ht="13.5" customHeight="1">
      <c r="A31" s="60">
        <v>6</v>
      </c>
      <c r="B31" s="43">
        <v>27380.01</v>
      </c>
      <c r="C31" s="85">
        <v>206.21</v>
      </c>
      <c r="D31" s="43">
        <v>27173.8</v>
      </c>
      <c r="E31" s="43">
        <v>113566.36758818</v>
      </c>
      <c r="F31" s="104">
        <v>30728.355756830006</v>
      </c>
      <c r="G31" s="13"/>
    </row>
    <row r="32" spans="1:7" ht="13.5" customHeight="1">
      <c r="A32" s="60"/>
      <c r="B32" s="43"/>
      <c r="C32" s="85"/>
      <c r="D32" s="43"/>
      <c r="E32" s="116"/>
      <c r="G32" s="13"/>
    </row>
    <row r="33" spans="1:7" ht="13.5" customHeight="1">
      <c r="A33" s="60">
        <v>7</v>
      </c>
      <c r="B33" s="43">
        <v>27763.09</v>
      </c>
      <c r="C33" s="85">
        <v>226.21</v>
      </c>
      <c r="D33" s="43">
        <v>27536.880000000001</v>
      </c>
      <c r="E33" s="43">
        <v>113123.52808294</v>
      </c>
      <c r="F33" s="104">
        <v>30510.076443319998</v>
      </c>
      <c r="G33" s="13"/>
    </row>
    <row r="34" spans="1:7" ht="13.5" customHeight="1">
      <c r="A34" s="60">
        <v>8</v>
      </c>
      <c r="B34" s="43">
        <v>28272.14</v>
      </c>
      <c r="C34" s="85">
        <v>256.20999999999998</v>
      </c>
      <c r="D34" s="43">
        <v>28015.93</v>
      </c>
      <c r="E34" s="43">
        <v>113195.44034916</v>
      </c>
      <c r="F34" s="104">
        <v>30437.106042269996</v>
      </c>
      <c r="G34" s="13"/>
    </row>
    <row r="35" spans="1:7" ht="13.5" customHeight="1">
      <c r="A35" s="60">
        <v>9</v>
      </c>
      <c r="B35" s="43">
        <v>28495.05</v>
      </c>
      <c r="C35" s="85">
        <v>236.21</v>
      </c>
      <c r="D35" s="43">
        <v>28258.84</v>
      </c>
      <c r="E35" s="43">
        <v>112908.46895555002</v>
      </c>
      <c r="F35" s="104">
        <v>30340.139657709995</v>
      </c>
      <c r="G35" s="13"/>
    </row>
    <row r="36" spans="1:7" ht="13.5" customHeight="1">
      <c r="A36" s="60"/>
      <c r="B36" s="43"/>
      <c r="C36" s="85"/>
      <c r="D36" s="43"/>
      <c r="E36" s="117"/>
      <c r="F36" s="118"/>
      <c r="G36" s="13"/>
    </row>
    <row r="37" spans="1:7" ht="13.5" customHeight="1">
      <c r="A37" s="60">
        <v>10</v>
      </c>
      <c r="B37" s="43">
        <v>29206.17</v>
      </c>
      <c r="C37" s="85">
        <v>235.21</v>
      </c>
      <c r="D37" s="43">
        <v>28970.959999999999</v>
      </c>
      <c r="E37" s="119">
        <v>112715.28943552001</v>
      </c>
      <c r="F37" s="120">
        <v>30132.179227749999</v>
      </c>
      <c r="G37" s="13"/>
    </row>
    <row r="38" spans="1:7" ht="13.5" customHeight="1">
      <c r="A38" s="60">
        <v>11</v>
      </c>
      <c r="B38" s="43">
        <v>29902.43</v>
      </c>
      <c r="C38" s="85">
        <v>234.21</v>
      </c>
      <c r="D38" s="43">
        <v>29668.22</v>
      </c>
      <c r="E38" s="119">
        <v>113025.51</v>
      </c>
      <c r="F38" s="120">
        <v>30150</v>
      </c>
      <c r="G38" s="13"/>
    </row>
    <row r="39" spans="1:7" ht="13.5" customHeight="1">
      <c r="A39" s="60">
        <v>12</v>
      </c>
      <c r="B39" s="43">
        <v>30814.82</v>
      </c>
      <c r="C39" s="85">
        <v>213.21</v>
      </c>
      <c r="D39" s="43">
        <v>30601.61</v>
      </c>
      <c r="E39" s="119">
        <v>114117.31544080001</v>
      </c>
      <c r="F39" s="120">
        <v>30189.87589191</v>
      </c>
      <c r="G39" s="13"/>
    </row>
    <row r="40" spans="1:7" ht="13.5" customHeight="1">
      <c r="A40" s="60"/>
      <c r="B40" s="43"/>
      <c r="C40" s="85"/>
      <c r="D40" s="43"/>
      <c r="E40" s="119"/>
      <c r="F40" s="120"/>
      <c r="G40" s="13"/>
    </row>
    <row r="41" spans="1:7" ht="13.5" customHeight="1">
      <c r="A41" s="60">
        <v>2020.1</v>
      </c>
      <c r="B41" s="43">
        <v>31385.62</v>
      </c>
      <c r="C41" s="85">
        <v>213.21</v>
      </c>
      <c r="D41" s="43">
        <v>31172.41</v>
      </c>
      <c r="E41" s="119">
        <v>113503.26660742999</v>
      </c>
      <c r="F41" s="120">
        <v>29817.009408579997</v>
      </c>
      <c r="G41" s="13"/>
    </row>
    <row r="42" spans="1:7" ht="13.5" customHeight="1">
      <c r="A42" s="60">
        <v>2</v>
      </c>
      <c r="B42" s="43">
        <v>32013.86</v>
      </c>
      <c r="C42" s="85">
        <v>213.21</v>
      </c>
      <c r="D42" s="43">
        <v>31800.65</v>
      </c>
      <c r="E42" s="119">
        <v>113246.9649108</v>
      </c>
      <c r="F42" s="120">
        <v>29560.194936650001</v>
      </c>
      <c r="G42" s="13"/>
    </row>
    <row r="43" spans="1:7" ht="13.5" customHeight="1">
      <c r="A43" s="60">
        <v>3</v>
      </c>
      <c r="B43" s="43">
        <v>33240.019999999997</v>
      </c>
      <c r="C43" s="85">
        <v>245.01</v>
      </c>
      <c r="D43" s="43">
        <v>32995.01</v>
      </c>
      <c r="E43" s="119">
        <v>113172.87378002999</v>
      </c>
      <c r="F43" s="120">
        <v>29329.656091930003</v>
      </c>
      <c r="G43" s="13"/>
    </row>
    <row r="44" spans="1:7" ht="13.5" customHeight="1">
      <c r="A44" s="60"/>
      <c r="B44" s="43"/>
      <c r="C44" s="85"/>
      <c r="D44" s="43"/>
      <c r="E44" s="119"/>
      <c r="F44" s="120"/>
      <c r="G44" s="13"/>
    </row>
    <row r="45" spans="1:7" ht="13.5" customHeight="1">
      <c r="A45" s="60">
        <v>4</v>
      </c>
      <c r="B45" s="43">
        <v>34435.870000000003</v>
      </c>
      <c r="C45" s="85">
        <v>311.23</v>
      </c>
      <c r="D45" s="43">
        <v>34124.639999999999</v>
      </c>
      <c r="E45" s="119">
        <v>113606.84279210999</v>
      </c>
      <c r="F45" s="120">
        <v>29637.613944100005</v>
      </c>
      <c r="G45" s="13"/>
    </row>
    <row r="46" spans="1:7" ht="13.5" customHeight="1">
      <c r="A46" s="60">
        <v>5</v>
      </c>
      <c r="B46" s="43">
        <v>35612.04</v>
      </c>
      <c r="C46" s="85">
        <v>431.23</v>
      </c>
      <c r="D46" s="43">
        <v>35180.81</v>
      </c>
      <c r="E46" s="119">
        <v>113681.57351977999</v>
      </c>
      <c r="F46" s="120">
        <v>29595.348069360003</v>
      </c>
      <c r="G46" s="13"/>
    </row>
    <row r="47" spans="1:7" ht="13.5" customHeight="1">
      <c r="A47" s="60">
        <v>6</v>
      </c>
      <c r="B47" s="43">
        <v>37639.660000000003</v>
      </c>
      <c r="C47" s="85">
        <v>431.23</v>
      </c>
      <c r="D47" s="43">
        <v>37208.43</v>
      </c>
      <c r="E47" s="119">
        <v>114202.78791017999</v>
      </c>
      <c r="F47" s="120">
        <v>29535.070140669999</v>
      </c>
      <c r="G47" s="13"/>
    </row>
    <row r="48" spans="1:7" ht="13.5" customHeight="1">
      <c r="A48" s="60"/>
      <c r="B48" s="43"/>
      <c r="C48" s="85"/>
      <c r="D48" s="43"/>
      <c r="E48" s="119"/>
      <c r="F48" s="120"/>
      <c r="G48" s="13"/>
    </row>
    <row r="49" spans="1:7" ht="13.5" customHeight="1">
      <c r="A49" s="60">
        <v>7</v>
      </c>
      <c r="B49" s="43">
        <v>38600.720000000001</v>
      </c>
      <c r="C49" s="85">
        <v>536.99</v>
      </c>
      <c r="D49" s="43">
        <v>38063.730000000003</v>
      </c>
      <c r="E49" s="119">
        <v>114294.16111302</v>
      </c>
      <c r="F49" s="120">
        <v>29551.671591419999</v>
      </c>
      <c r="G49" s="13"/>
    </row>
    <row r="50" spans="1:7" ht="13.5" customHeight="1">
      <c r="A50" s="60">
        <v>8</v>
      </c>
      <c r="B50" s="43">
        <v>39709.019999999997</v>
      </c>
      <c r="C50" s="85">
        <v>517.99</v>
      </c>
      <c r="D50" s="43">
        <v>39191.03</v>
      </c>
      <c r="E50" s="119">
        <v>114744.2370429</v>
      </c>
      <c r="F50" s="120">
        <v>29586.887015459997</v>
      </c>
      <c r="G50" s="13"/>
    </row>
    <row r="51" spans="1:7" ht="13.5" customHeight="1">
      <c r="A51" s="60">
        <v>9</v>
      </c>
      <c r="B51" s="43">
        <v>40904.559999999998</v>
      </c>
      <c r="C51" s="85">
        <v>607.99</v>
      </c>
      <c r="D51" s="43">
        <v>40296.57</v>
      </c>
      <c r="E51" s="119">
        <v>114871.11792236</v>
      </c>
      <c r="F51" s="120">
        <v>29649.033836480005</v>
      </c>
      <c r="G51" s="13"/>
    </row>
    <row r="52" spans="1:7" ht="13.5" customHeight="1">
      <c r="A52" s="60"/>
      <c r="B52" s="43"/>
      <c r="C52" s="85"/>
      <c r="D52" s="43"/>
      <c r="E52" s="119"/>
      <c r="F52" s="120"/>
      <c r="G52" s="13"/>
    </row>
    <row r="53" spans="1:7" ht="13.5" customHeight="1">
      <c r="A53" s="60">
        <v>10</v>
      </c>
      <c r="B53" s="43">
        <v>41970.05</v>
      </c>
      <c r="C53" s="85">
        <v>812.99</v>
      </c>
      <c r="D53" s="43">
        <v>41157.06</v>
      </c>
      <c r="E53" s="119">
        <v>115155.43380718</v>
      </c>
      <c r="F53" s="120">
        <v>29768.434373870001</v>
      </c>
      <c r="G53" s="13"/>
    </row>
    <row r="54" spans="1:7" ht="13.5" customHeight="1">
      <c r="A54" s="60">
        <v>11</v>
      </c>
      <c r="B54" s="43">
        <v>42639.53</v>
      </c>
      <c r="C54" s="85">
        <v>842.99</v>
      </c>
      <c r="D54" s="43">
        <v>41796.54</v>
      </c>
      <c r="E54" s="119">
        <v>116135.70175410001</v>
      </c>
      <c r="F54" s="120">
        <v>29963.039816349999</v>
      </c>
      <c r="G54" s="13"/>
    </row>
    <row r="55" spans="1:7" ht="13.5" customHeight="1">
      <c r="A55" s="60">
        <v>12</v>
      </c>
      <c r="B55" s="43">
        <v>43679.57</v>
      </c>
      <c r="C55" s="85">
        <v>878.99</v>
      </c>
      <c r="D55" s="43">
        <v>42800.57</v>
      </c>
      <c r="E55" s="119">
        <v>117854.65574271001</v>
      </c>
      <c r="F55" s="120">
        <v>30391.721065919999</v>
      </c>
      <c r="G55" s="13"/>
    </row>
    <row r="56" spans="1:7" ht="13.5" customHeight="1">
      <c r="A56" s="60"/>
      <c r="B56" s="43"/>
      <c r="C56" s="85"/>
      <c r="D56" s="43"/>
      <c r="E56" s="119"/>
      <c r="F56" s="120"/>
      <c r="G56" s="13"/>
    </row>
    <row r="57" spans="1:7" ht="13.5" customHeight="1">
      <c r="A57" s="60">
        <v>2021.1</v>
      </c>
      <c r="B57" s="43">
        <v>44474.57</v>
      </c>
      <c r="C57" s="85">
        <v>878.99</v>
      </c>
      <c r="D57" s="43">
        <v>43595.58</v>
      </c>
      <c r="E57" s="119">
        <v>118060.11297767999</v>
      </c>
      <c r="F57" s="120">
        <v>30590.267634669999</v>
      </c>
      <c r="G57" s="13"/>
    </row>
    <row r="58" spans="1:7" ht="13.5" customHeight="1">
      <c r="A58" s="60">
        <v>2</v>
      </c>
      <c r="B58" s="43">
        <v>45555.79</v>
      </c>
      <c r="C58" s="85">
        <v>971.99</v>
      </c>
      <c r="D58" s="43">
        <v>44583.8</v>
      </c>
      <c r="E58" s="119">
        <v>118484.2027767</v>
      </c>
      <c r="F58" s="120">
        <v>30743.893166809998</v>
      </c>
      <c r="G58" s="13"/>
    </row>
    <row r="59" spans="1:7" ht="13.5" customHeight="1">
      <c r="A59" s="60">
        <v>3</v>
      </c>
      <c r="B59" s="43">
        <v>47361.72</v>
      </c>
      <c r="C59" s="85">
        <v>1121.99</v>
      </c>
      <c r="D59" s="43">
        <v>46239.73</v>
      </c>
      <c r="E59" s="119">
        <v>119170.64115151999</v>
      </c>
      <c r="F59" s="120">
        <v>31029.654022769995</v>
      </c>
      <c r="G59" s="13"/>
    </row>
    <row r="60" spans="1:7" ht="13.5" customHeight="1">
      <c r="A60" s="60"/>
      <c r="B60" s="43"/>
      <c r="C60" s="85"/>
      <c r="D60" s="43"/>
      <c r="E60" s="119"/>
      <c r="F60" s="120"/>
      <c r="G60" s="13"/>
    </row>
    <row r="61" spans="1:7" ht="13.5" customHeight="1">
      <c r="A61" s="60">
        <v>4</v>
      </c>
      <c r="B61" s="43">
        <v>48423.13</v>
      </c>
      <c r="C61" s="85">
        <v>1096.99</v>
      </c>
      <c r="D61" s="43">
        <v>47326.14</v>
      </c>
      <c r="E61" s="119">
        <v>121231.10302525002</v>
      </c>
      <c r="F61" s="120">
        <v>31980.988423710001</v>
      </c>
      <c r="G61" s="13"/>
    </row>
    <row r="62" spans="1:7" ht="13.5" customHeight="1">
      <c r="A62" s="60">
        <v>5</v>
      </c>
      <c r="B62" s="43">
        <v>50144.33</v>
      </c>
      <c r="C62" s="85">
        <v>1093.99</v>
      </c>
      <c r="D62" s="43">
        <v>49050.34</v>
      </c>
      <c r="E62" s="119">
        <v>121670.24126477</v>
      </c>
      <c r="F62" s="120">
        <v>32198.868036839998</v>
      </c>
      <c r="G62" s="13"/>
    </row>
    <row r="63" spans="1:7" ht="13.5" customHeight="1">
      <c r="A63" s="60">
        <v>6</v>
      </c>
      <c r="B63" s="43">
        <v>51708.6</v>
      </c>
      <c r="C63" s="85">
        <v>1063.99</v>
      </c>
      <c r="D63" s="43">
        <v>50644.61</v>
      </c>
      <c r="E63" s="119">
        <v>122810.91456009001</v>
      </c>
      <c r="F63" s="120">
        <v>32539.874433789995</v>
      </c>
      <c r="G63" s="13"/>
    </row>
    <row r="64" spans="1:7" ht="13.5" customHeight="1">
      <c r="A64" s="60"/>
      <c r="B64" s="43"/>
      <c r="C64" s="85"/>
      <c r="D64" s="43"/>
      <c r="E64" s="119"/>
      <c r="F64" s="120"/>
      <c r="G64" s="13"/>
    </row>
    <row r="65" spans="1:7" ht="13.5" customHeight="1">
      <c r="A65" s="60">
        <v>7</v>
      </c>
      <c r="B65" s="43">
        <v>52866.15</v>
      </c>
      <c r="C65" s="85">
        <v>1077.54</v>
      </c>
      <c r="D65" s="43">
        <v>51788.61</v>
      </c>
      <c r="E65" s="119">
        <v>124275.49108531</v>
      </c>
      <c r="F65" s="120">
        <v>33225.275861009999</v>
      </c>
      <c r="G65" s="13"/>
    </row>
    <row r="66" spans="1:7" ht="13.5" customHeight="1">
      <c r="A66" s="60">
        <v>8</v>
      </c>
      <c r="B66" s="43">
        <v>54316.17</v>
      </c>
      <c r="C66" s="85">
        <v>1187.54</v>
      </c>
      <c r="D66" s="43">
        <v>53128.63</v>
      </c>
      <c r="E66" s="119">
        <v>125191.13950672001</v>
      </c>
      <c r="F66" s="120">
        <v>33731.177350360005</v>
      </c>
      <c r="G66" s="13"/>
    </row>
    <row r="67" spans="1:7" ht="13.5" customHeight="1">
      <c r="A67" s="60">
        <v>9</v>
      </c>
      <c r="B67" s="43">
        <v>55626.29</v>
      </c>
      <c r="C67" s="85">
        <v>1266.54</v>
      </c>
      <c r="D67" s="43">
        <v>54359.75</v>
      </c>
      <c r="E67" s="119">
        <v>125943.45621810001</v>
      </c>
      <c r="F67" s="120">
        <v>34328.934424480001</v>
      </c>
      <c r="G67" s="13"/>
    </row>
    <row r="68" spans="1:7" ht="13.5" customHeight="1">
      <c r="A68" s="60"/>
      <c r="B68" s="43"/>
      <c r="C68" s="85"/>
      <c r="D68" s="43"/>
      <c r="E68" s="119"/>
      <c r="F68" s="120"/>
      <c r="G68" s="13"/>
    </row>
    <row r="69" spans="1:7" ht="13.5" customHeight="1">
      <c r="A69" s="60">
        <v>10</v>
      </c>
      <c r="B69" s="43">
        <v>56809.84</v>
      </c>
      <c r="C69" s="85">
        <v>1248.99</v>
      </c>
      <c r="D69" s="43">
        <v>55560.85</v>
      </c>
      <c r="E69" s="119">
        <v>126246.74259000999</v>
      </c>
      <c r="F69" s="120">
        <v>34542.91045843</v>
      </c>
      <c r="G69" s="13"/>
    </row>
    <row r="70" spans="1:7" ht="13.5" customHeight="1">
      <c r="A70" s="60">
        <v>11</v>
      </c>
      <c r="B70" s="43">
        <v>58958.1</v>
      </c>
      <c r="C70" s="85">
        <v>1278.99</v>
      </c>
      <c r="D70" s="43">
        <v>57679.11</v>
      </c>
      <c r="E70" s="119">
        <v>127439.94</v>
      </c>
      <c r="F70" s="120">
        <v>35245.655949549997</v>
      </c>
      <c r="G70" s="13"/>
    </row>
    <row r="71" spans="1:7" ht="13.5" customHeight="1">
      <c r="A71" s="60">
        <v>12</v>
      </c>
      <c r="B71" s="43">
        <v>61631.38</v>
      </c>
      <c r="C71" s="85">
        <v>1400.86</v>
      </c>
      <c r="D71" s="43">
        <v>60230.52</v>
      </c>
      <c r="E71" s="119">
        <v>128554.58</v>
      </c>
      <c r="F71" s="120">
        <v>35909.39</v>
      </c>
      <c r="G71" s="13"/>
    </row>
    <row r="72" spans="1:7" ht="13.5" customHeight="1">
      <c r="A72" s="60"/>
      <c r="B72" s="43"/>
      <c r="C72" s="85"/>
      <c r="D72" s="43"/>
      <c r="E72" s="119"/>
      <c r="F72" s="120"/>
      <c r="G72" s="13"/>
    </row>
    <row r="73" spans="1:7" ht="13.5" customHeight="1">
      <c r="A73" s="60">
        <v>2022.1</v>
      </c>
      <c r="B73" s="43">
        <v>63129.33</v>
      </c>
      <c r="C73" s="85">
        <v>1853.86</v>
      </c>
      <c r="D73" s="43">
        <v>61275.47</v>
      </c>
      <c r="E73" s="119">
        <v>128583.93</v>
      </c>
      <c r="F73" s="120">
        <v>36560.050000000003</v>
      </c>
      <c r="G73" s="13"/>
    </row>
    <row r="74" spans="1:7" ht="13.5" customHeight="1">
      <c r="A74" s="60">
        <v>2</v>
      </c>
      <c r="B74" s="43">
        <v>65359.39</v>
      </c>
      <c r="C74" s="85">
        <v>1852.13</v>
      </c>
      <c r="D74" s="43">
        <v>63507.26</v>
      </c>
      <c r="E74" s="119">
        <v>128095.82</v>
      </c>
      <c r="F74" s="120">
        <v>36649.56</v>
      </c>
      <c r="G74" s="13"/>
    </row>
    <row r="75" spans="1:7" ht="13.5" customHeight="1">
      <c r="A75" s="60">
        <v>3</v>
      </c>
      <c r="B75" s="43">
        <v>67437.95</v>
      </c>
      <c r="C75" s="85">
        <v>1848.54</v>
      </c>
      <c r="D75" s="43">
        <v>65589.41</v>
      </c>
      <c r="E75" s="119">
        <v>127614.97</v>
      </c>
      <c r="F75" s="120">
        <v>37471.5</v>
      </c>
      <c r="G75" s="13"/>
    </row>
    <row r="76" spans="1:7" ht="13.5" customHeight="1">
      <c r="A76" s="60"/>
      <c r="B76" s="43"/>
      <c r="C76" s="85"/>
      <c r="D76" s="43"/>
      <c r="E76" s="119"/>
      <c r="F76" s="120"/>
      <c r="G76" s="13"/>
    </row>
    <row r="77" spans="1:7" ht="13.5" customHeight="1">
      <c r="A77" s="60">
        <v>4</v>
      </c>
      <c r="B77" s="43">
        <v>69742.179999999993</v>
      </c>
      <c r="C77" s="85">
        <v>1797.74</v>
      </c>
      <c r="D77" s="43">
        <v>67944.44</v>
      </c>
      <c r="E77" s="119">
        <v>127844.23</v>
      </c>
      <c r="F77" s="120">
        <v>38054.33</v>
      </c>
      <c r="G77" s="13"/>
    </row>
    <row r="78" spans="1:7" ht="13.5" customHeight="1">
      <c r="A78" s="60">
        <v>5</v>
      </c>
      <c r="B78" s="43">
        <v>71693.94</v>
      </c>
      <c r="C78" s="85">
        <v>1827.75</v>
      </c>
      <c r="D78" s="43">
        <v>69866.19</v>
      </c>
      <c r="E78" s="119">
        <v>127479.49</v>
      </c>
      <c r="F78" s="120">
        <v>38035.33</v>
      </c>
      <c r="G78" s="13"/>
    </row>
    <row r="79" spans="1:7" ht="13.5" customHeight="1">
      <c r="A79" s="60">
        <v>6</v>
      </c>
      <c r="B79" s="43">
        <v>74606.960000000006</v>
      </c>
      <c r="C79" s="85">
        <v>2017.75</v>
      </c>
      <c r="D79" s="43">
        <v>72589.210000000006</v>
      </c>
      <c r="E79" s="119">
        <v>127937.99</v>
      </c>
      <c r="F79" s="120">
        <v>38991.480000000003</v>
      </c>
      <c r="G79" s="13"/>
    </row>
    <row r="80" spans="1:7" ht="13.5" customHeight="1">
      <c r="A80" s="60"/>
      <c r="B80" s="43"/>
      <c r="C80" s="85"/>
      <c r="D80" s="43"/>
      <c r="E80" s="119"/>
      <c r="F80" s="120"/>
      <c r="G80" s="13"/>
    </row>
    <row r="81" spans="1:7" ht="13.5" customHeight="1">
      <c r="A81" s="60">
        <v>7</v>
      </c>
      <c r="B81" s="43">
        <v>74830.98</v>
      </c>
      <c r="C81" s="85">
        <v>1953.56</v>
      </c>
      <c r="D81" s="43">
        <v>72877.42</v>
      </c>
      <c r="E81" s="119">
        <v>127382.75</v>
      </c>
      <c r="F81" s="120">
        <v>39135.69</v>
      </c>
      <c r="G81" s="13"/>
    </row>
    <row r="82" spans="1:7" ht="13.5" customHeight="1">
      <c r="A82" s="60">
        <v>8</v>
      </c>
      <c r="B82" s="43">
        <v>76849.789999999994</v>
      </c>
      <c r="C82" s="85">
        <v>2019.67</v>
      </c>
      <c r="D82" s="43">
        <v>74830.11</v>
      </c>
      <c r="E82" s="119">
        <v>127141.51</v>
      </c>
      <c r="F82" s="120">
        <v>39586.36</v>
      </c>
      <c r="G82" s="13"/>
    </row>
    <row r="83" spans="1:7" ht="13.5" customHeight="1">
      <c r="A83" s="60">
        <v>9</v>
      </c>
      <c r="B83" s="43">
        <v>78702.23</v>
      </c>
      <c r="C83" s="85">
        <v>1880.78</v>
      </c>
      <c r="D83" s="43">
        <v>76821.460000000006</v>
      </c>
      <c r="E83" s="119">
        <v>126790.23</v>
      </c>
      <c r="F83" s="120">
        <v>39958.92</v>
      </c>
      <c r="G83" s="13"/>
    </row>
    <row r="84" spans="1:7" ht="13.5" customHeight="1">
      <c r="A84" s="60"/>
      <c r="B84" s="43"/>
      <c r="C84" s="85"/>
      <c r="D84" s="43"/>
      <c r="E84" s="119"/>
      <c r="F84" s="120"/>
      <c r="G84" s="13"/>
    </row>
    <row r="85" spans="1:7" ht="13.5" customHeight="1">
      <c r="A85" s="60">
        <v>10</v>
      </c>
      <c r="B85" s="43">
        <v>81463.63</v>
      </c>
      <c r="C85" s="85">
        <v>2059.89</v>
      </c>
      <c r="D85" s="43">
        <v>79403.740000000005</v>
      </c>
      <c r="E85" s="119">
        <v>126172.06</v>
      </c>
      <c r="F85" s="120">
        <v>39861.19</v>
      </c>
      <c r="G85" s="13"/>
    </row>
    <row r="86" spans="1:7" ht="13.5" customHeight="1">
      <c r="A86" s="60">
        <v>11</v>
      </c>
      <c r="B86" s="43">
        <v>83237.850000000006</v>
      </c>
      <c r="C86" s="85">
        <v>2082.46</v>
      </c>
      <c r="D86" s="43">
        <v>81155.38</v>
      </c>
      <c r="E86" s="119">
        <v>125063.66</v>
      </c>
      <c r="F86" s="120">
        <v>39423.379999999997</v>
      </c>
      <c r="G86" s="13"/>
    </row>
    <row r="87" spans="1:7" ht="13.5" customHeight="1">
      <c r="A87" s="60">
        <v>12</v>
      </c>
      <c r="B87" s="43">
        <v>84057.74</v>
      </c>
      <c r="C87" s="85">
        <v>2096.7800000000002</v>
      </c>
      <c r="D87" s="43">
        <v>81960.960000000006</v>
      </c>
      <c r="E87" s="119">
        <v>124603.97</v>
      </c>
      <c r="F87" s="120">
        <v>39150</v>
      </c>
      <c r="G87" s="13"/>
    </row>
    <row r="88" spans="1:7" ht="13.5" customHeight="1">
      <c r="A88" s="60"/>
      <c r="B88" s="43"/>
      <c r="C88" s="85"/>
      <c r="D88" s="43"/>
      <c r="E88" s="119"/>
      <c r="F88" s="120"/>
      <c r="G88" s="13"/>
    </row>
    <row r="89" spans="1:7" ht="13.5" customHeight="1">
      <c r="A89" s="60">
        <v>2023.1</v>
      </c>
      <c r="B89" s="43">
        <v>85111.74</v>
      </c>
      <c r="C89" s="85">
        <v>2093.7399999999998</v>
      </c>
      <c r="D89" s="43">
        <v>83018</v>
      </c>
      <c r="E89" s="119">
        <v>124243.16</v>
      </c>
      <c r="F89" s="120">
        <v>39440.44</v>
      </c>
      <c r="G89" s="13"/>
    </row>
    <row r="90" spans="1:7" ht="13.5" customHeight="1">
      <c r="A90" s="60">
        <v>2</v>
      </c>
      <c r="B90" s="43">
        <v>86039.85</v>
      </c>
      <c r="C90" s="85">
        <v>2129.3200000000002</v>
      </c>
      <c r="D90" s="43">
        <v>83910.53</v>
      </c>
      <c r="E90" s="119">
        <v>123342.68</v>
      </c>
      <c r="F90" s="120">
        <v>39328.589999999997</v>
      </c>
      <c r="G90" s="13"/>
    </row>
    <row r="91" spans="1:7" ht="13.5" customHeight="1">
      <c r="A91" s="60">
        <v>3</v>
      </c>
      <c r="B91" s="43">
        <v>86828.38</v>
      </c>
      <c r="C91" s="85">
        <v>2170.9499999999998</v>
      </c>
      <c r="D91" s="43">
        <v>84657.43</v>
      </c>
      <c r="E91" s="119">
        <v>122207.89</v>
      </c>
      <c r="F91" s="120">
        <v>39198.49</v>
      </c>
      <c r="G91" s="13"/>
    </row>
    <row r="92" spans="1:7" ht="13.5" customHeight="1">
      <c r="A92" s="60"/>
      <c r="B92" s="43"/>
      <c r="C92" s="85"/>
      <c r="D92" s="43"/>
      <c r="E92" s="119"/>
      <c r="F92" s="120"/>
      <c r="G92" s="13"/>
    </row>
    <row r="93" spans="1:7" ht="13.5" customHeight="1">
      <c r="A93" s="60">
        <v>4</v>
      </c>
      <c r="B93" s="43">
        <v>88915.51</v>
      </c>
      <c r="C93" s="85">
        <v>2206.62</v>
      </c>
      <c r="D93" s="43">
        <v>86708.88</v>
      </c>
      <c r="E93" s="119">
        <v>121571.89</v>
      </c>
      <c r="F93" s="120">
        <v>39170.519999999997</v>
      </c>
      <c r="G93" s="13"/>
    </row>
    <row r="94" spans="1:7" ht="13.5" customHeight="1">
      <c r="A94" s="60">
        <v>5</v>
      </c>
      <c r="B94" s="43">
        <v>90201.29</v>
      </c>
      <c r="C94" s="85">
        <v>2176.4699999999998</v>
      </c>
      <c r="D94" s="43">
        <v>88024.83</v>
      </c>
      <c r="E94" s="119">
        <v>121147.62</v>
      </c>
      <c r="F94" s="120">
        <v>39040.550000000003</v>
      </c>
      <c r="G94" s="13"/>
    </row>
    <row r="95" spans="1:7" ht="13.5" customHeight="1">
      <c r="A95" s="60">
        <v>6</v>
      </c>
      <c r="B95" s="43">
        <v>91240.14</v>
      </c>
      <c r="C95" s="85">
        <v>2268.54</v>
      </c>
      <c r="D95" s="43">
        <v>88971.61</v>
      </c>
      <c r="E95" s="119">
        <v>120445.36</v>
      </c>
      <c r="F95" s="120">
        <v>38762.129999999997</v>
      </c>
      <c r="G95" s="13"/>
    </row>
    <row r="96" spans="1:7" ht="13.5" customHeight="1">
      <c r="A96" s="60"/>
      <c r="B96" s="43"/>
      <c r="C96" s="85"/>
      <c r="D96" s="43"/>
      <c r="E96" s="119"/>
      <c r="F96" s="120"/>
      <c r="G96" s="13"/>
    </row>
    <row r="97" spans="1:7" ht="13.5" customHeight="1">
      <c r="A97" s="60">
        <v>7</v>
      </c>
      <c r="B97" s="43">
        <v>92887.76</v>
      </c>
      <c r="C97" s="85">
        <v>2241.52</v>
      </c>
      <c r="D97" s="43">
        <v>90646.24</v>
      </c>
      <c r="E97" s="119">
        <v>119984</v>
      </c>
      <c r="F97" s="120">
        <v>38848.410000000003</v>
      </c>
      <c r="G97" s="13"/>
    </row>
    <row r="98" spans="1:7" ht="13.5" customHeight="1">
      <c r="A98" s="60">
        <v>8</v>
      </c>
      <c r="B98" s="43">
        <v>94974.399999999994</v>
      </c>
      <c r="C98" s="85">
        <v>2240.4699999999998</v>
      </c>
      <c r="D98" s="43">
        <v>92733.92</v>
      </c>
      <c r="E98" s="119">
        <v>119044.6</v>
      </c>
      <c r="F98" s="120">
        <v>39152.300000000003</v>
      </c>
      <c r="G98" s="13"/>
    </row>
    <row r="99" spans="1:7" ht="13.5" customHeight="1">
      <c r="A99" s="60">
        <v>9</v>
      </c>
      <c r="B99" s="43">
        <v>95801.63</v>
      </c>
      <c r="C99" s="85">
        <v>2276.89</v>
      </c>
      <c r="D99" s="43">
        <v>93524.74</v>
      </c>
      <c r="E99" s="119">
        <v>118333.89</v>
      </c>
      <c r="F99" s="120">
        <v>39148.239999999998</v>
      </c>
      <c r="G99" s="13"/>
    </row>
    <row r="100" spans="1:7" ht="13.5" customHeight="1">
      <c r="A100" s="60"/>
      <c r="B100" s="43"/>
      <c r="C100" s="85"/>
      <c r="D100" s="43"/>
      <c r="E100" s="119"/>
      <c r="F100" s="120"/>
      <c r="G100" s="13"/>
    </row>
    <row r="101" spans="1:7" ht="13.5" customHeight="1">
      <c r="A101" s="60">
        <v>10</v>
      </c>
      <c r="B101" s="43">
        <v>97292.95</v>
      </c>
      <c r="C101" s="85">
        <v>2467.9499999999998</v>
      </c>
      <c r="D101" s="43">
        <v>94825</v>
      </c>
      <c r="E101" s="119">
        <v>118044.94</v>
      </c>
      <c r="F101" s="120">
        <v>39198.019999999997</v>
      </c>
      <c r="G101" s="13"/>
    </row>
    <row r="102" spans="1:7" ht="13.5" customHeight="1">
      <c r="A102" s="60">
        <v>11</v>
      </c>
      <c r="B102" s="43">
        <v>98858.02</v>
      </c>
      <c r="C102" s="85">
        <v>2694.64</v>
      </c>
      <c r="D102" s="43">
        <v>96163.38</v>
      </c>
      <c r="E102" s="119">
        <v>117732.78</v>
      </c>
      <c r="F102" s="120">
        <v>39745.35</v>
      </c>
      <c r="G102" s="13"/>
    </row>
    <row r="103" spans="1:7" ht="13.5" customHeight="1">
      <c r="A103" s="60">
        <v>12</v>
      </c>
      <c r="B103" s="43">
        <v>100618.45</v>
      </c>
      <c r="C103" s="85">
        <v>2897.69</v>
      </c>
      <c r="D103" s="43">
        <v>97720.76</v>
      </c>
      <c r="E103" s="119">
        <v>117963.71</v>
      </c>
      <c r="F103" s="120">
        <v>40251.72</v>
      </c>
      <c r="G103" s="13"/>
    </row>
    <row r="104" spans="1:7" ht="13.5" customHeight="1">
      <c r="A104" s="60"/>
      <c r="B104" s="43"/>
      <c r="C104" s="85"/>
      <c r="D104" s="43"/>
      <c r="E104" s="119"/>
      <c r="F104" s="120"/>
      <c r="G104" s="13"/>
    </row>
    <row r="105" spans="1:7" ht="13.5" customHeight="1">
      <c r="A105" s="60">
        <v>2024.1</v>
      </c>
      <c r="B105" s="43">
        <v>102058.3</v>
      </c>
      <c r="C105" s="85">
        <v>2949.39</v>
      </c>
      <c r="D105" s="43">
        <v>99108.91</v>
      </c>
      <c r="E105" s="119">
        <v>117452.37</v>
      </c>
      <c r="F105" s="120">
        <v>40595.47</v>
      </c>
      <c r="G105" s="13"/>
    </row>
    <row r="106" spans="1:7" ht="13.5" customHeight="1">
      <c r="A106" s="60">
        <v>2</v>
      </c>
      <c r="B106" s="43">
        <v>102454.04</v>
      </c>
      <c r="C106" s="85">
        <v>2979.36</v>
      </c>
      <c r="D106" s="43">
        <v>99474.68</v>
      </c>
      <c r="E106" s="119">
        <v>116649.11</v>
      </c>
      <c r="F106" s="120">
        <v>40426.69</v>
      </c>
      <c r="G106" s="13"/>
    </row>
    <row r="107" spans="1:7" ht="13.5" customHeight="1">
      <c r="A107" s="60">
        <v>3</v>
      </c>
      <c r="B107" s="43">
        <v>103665.03</v>
      </c>
      <c r="C107" s="85">
        <v>3027.9</v>
      </c>
      <c r="D107" s="43">
        <v>100637.13</v>
      </c>
      <c r="E107" s="119">
        <v>116118.15</v>
      </c>
      <c r="F107" s="120">
        <v>40701.54</v>
      </c>
      <c r="G107" s="13"/>
    </row>
    <row r="108" spans="1:7" ht="13.5" customHeight="1">
      <c r="A108" s="60"/>
      <c r="B108" s="43"/>
      <c r="C108" s="85"/>
      <c r="D108" s="43"/>
      <c r="E108" s="119"/>
      <c r="F108" s="120"/>
      <c r="G108" s="13"/>
    </row>
    <row r="109" spans="1:7" ht="13.5" customHeight="1">
      <c r="A109" s="60">
        <v>4</v>
      </c>
      <c r="B109" s="43">
        <v>105866.63</v>
      </c>
      <c r="C109" s="85">
        <v>3084.78</v>
      </c>
      <c r="D109" s="43">
        <v>102781.85</v>
      </c>
      <c r="E109" s="119">
        <v>115978.86</v>
      </c>
      <c r="F109" s="120">
        <v>40778.58</v>
      </c>
      <c r="G109" s="13"/>
    </row>
    <row r="110" spans="1:7" ht="13.5" customHeight="1">
      <c r="A110" s="60">
        <v>5</v>
      </c>
      <c r="B110" s="43">
        <v>106933.25</v>
      </c>
      <c r="C110" s="85">
        <v>3179.77</v>
      </c>
      <c r="D110" s="43">
        <v>103753.48</v>
      </c>
      <c r="E110" s="119">
        <v>115648.68</v>
      </c>
      <c r="F110" s="120">
        <v>40803.129999999997</v>
      </c>
      <c r="G110" s="13"/>
    </row>
    <row r="111" spans="1:7" ht="13.5" customHeight="1">
      <c r="A111" s="60">
        <v>6</v>
      </c>
      <c r="B111" s="43">
        <v>108201.22</v>
      </c>
      <c r="C111" s="85">
        <v>3200.54</v>
      </c>
      <c r="D111" s="43">
        <v>105000.68</v>
      </c>
      <c r="E111" s="119">
        <v>115771.2</v>
      </c>
      <c r="F111" s="120">
        <v>41187.29</v>
      </c>
      <c r="G111" s="13"/>
    </row>
    <row r="112" spans="1:7" ht="13.5" customHeight="1">
      <c r="A112" s="60"/>
      <c r="B112" s="43"/>
      <c r="C112" s="85"/>
      <c r="D112" s="43"/>
      <c r="E112" s="119"/>
      <c r="F112" s="120"/>
      <c r="G112" s="13"/>
    </row>
    <row r="113" spans="1:7" ht="13.5" customHeight="1">
      <c r="A113" s="60">
        <v>7</v>
      </c>
      <c r="B113" s="43">
        <v>109119.71</v>
      </c>
      <c r="C113" s="85">
        <v>3277.09</v>
      </c>
      <c r="D113" s="43">
        <v>105842.62</v>
      </c>
      <c r="E113" s="119">
        <v>115790.16</v>
      </c>
      <c r="F113" s="120">
        <v>41689.82</v>
      </c>
      <c r="G113" s="13"/>
    </row>
    <row r="114" spans="1:7" ht="13.5" customHeight="1">
      <c r="A114" s="60">
        <v>8</v>
      </c>
      <c r="B114" s="43">
        <v>109400.48</v>
      </c>
      <c r="C114" s="85">
        <v>3252.09</v>
      </c>
      <c r="D114" s="43">
        <v>106148.39</v>
      </c>
      <c r="E114" s="119">
        <v>114791.73</v>
      </c>
      <c r="F114" s="120">
        <v>41412.85</v>
      </c>
      <c r="G114" s="13"/>
    </row>
    <row r="115" spans="1:7" ht="13.5" customHeight="1">
      <c r="A115" s="60">
        <v>9</v>
      </c>
      <c r="B115" s="43">
        <v>109725.12</v>
      </c>
      <c r="C115" s="85">
        <v>3252.09</v>
      </c>
      <c r="D115" s="43">
        <v>106473.03</v>
      </c>
      <c r="E115" s="119">
        <v>114524.24</v>
      </c>
      <c r="F115" s="120">
        <v>41495.51</v>
      </c>
      <c r="G115" s="13"/>
    </row>
    <row r="116" spans="1:7" ht="13.5" customHeight="1">
      <c r="A116" s="60"/>
      <c r="B116" s="43"/>
      <c r="C116" s="85"/>
      <c r="D116" s="43"/>
      <c r="E116" s="119"/>
      <c r="F116" s="120"/>
      <c r="G116" s="13"/>
    </row>
    <row r="117" spans="1:7" ht="13.5" customHeight="1">
      <c r="A117" s="60">
        <v>10</v>
      </c>
      <c r="B117" s="43">
        <v>109653.62</v>
      </c>
      <c r="C117" s="85">
        <v>3227.53</v>
      </c>
      <c r="D117" s="43">
        <v>106426.09</v>
      </c>
      <c r="E117" s="119">
        <v>114991.31</v>
      </c>
      <c r="F117" s="120">
        <v>42307.47</v>
      </c>
      <c r="G117" s="13"/>
    </row>
    <row r="118" spans="1:7" ht="13.5" customHeight="1">
      <c r="A118" s="60">
        <v>11</v>
      </c>
      <c r="B118" s="43">
        <v>110867.66</v>
      </c>
      <c r="C118" s="85">
        <v>3562.53</v>
      </c>
      <c r="D118" s="43">
        <v>107305.13</v>
      </c>
      <c r="E118" s="119">
        <v>116059.66</v>
      </c>
      <c r="F118" s="120">
        <v>43906.39</v>
      </c>
      <c r="G118" s="13"/>
    </row>
    <row r="119" spans="1:7" ht="13.5" customHeight="1">
      <c r="A119" s="60">
        <v>12</v>
      </c>
      <c r="B119" s="43">
        <v>111493.16</v>
      </c>
      <c r="C119" s="85">
        <v>3638.22</v>
      </c>
      <c r="D119" s="43">
        <v>107854.94</v>
      </c>
      <c r="E119" s="119">
        <v>118439.85</v>
      </c>
      <c r="F119" s="120">
        <v>46384.81</v>
      </c>
      <c r="G119" s="13"/>
    </row>
    <row r="120" spans="1:7" ht="13.5" customHeight="1">
      <c r="A120" s="60"/>
      <c r="B120" s="43"/>
      <c r="C120" s="85"/>
      <c r="D120" s="43"/>
      <c r="E120" s="119"/>
      <c r="F120" s="120"/>
      <c r="G120" s="13"/>
    </row>
    <row r="121" spans="1:7" ht="13.5" customHeight="1">
      <c r="A121" s="60">
        <v>2025.1</v>
      </c>
      <c r="B121" s="43">
        <v>111678.92</v>
      </c>
      <c r="C121" s="85">
        <v>3692.02</v>
      </c>
      <c r="D121" s="43">
        <v>107986.9</v>
      </c>
      <c r="E121" s="119">
        <v>119140.33</v>
      </c>
      <c r="F121" s="120">
        <v>47800.59</v>
      </c>
      <c r="G121" s="13"/>
    </row>
    <row r="122" spans="1:7" ht="13.5" customHeight="1">
      <c r="A122" s="60">
        <v>2</v>
      </c>
      <c r="B122" s="43">
        <v>112106.69</v>
      </c>
      <c r="C122" s="85">
        <v>3692.02</v>
      </c>
      <c r="D122" s="43">
        <v>108414.67</v>
      </c>
      <c r="E122" s="119">
        <v>118953.19</v>
      </c>
      <c r="F122" s="120">
        <v>48202.22</v>
      </c>
      <c r="G122" s="13"/>
    </row>
    <row r="123" spans="1:7" ht="13.5" customHeight="1">
      <c r="A123" s="60">
        <v>3</v>
      </c>
      <c r="B123" s="43">
        <v>111936.9</v>
      </c>
      <c r="C123" s="85">
        <v>3692.02</v>
      </c>
      <c r="D123" s="43">
        <v>108244.88</v>
      </c>
      <c r="E123" s="119">
        <v>118592.56</v>
      </c>
      <c r="F123" s="120">
        <v>48345.47</v>
      </c>
      <c r="G123" s="13"/>
    </row>
    <row r="124" spans="1:7" ht="13.5" customHeight="1">
      <c r="A124" s="60"/>
      <c r="B124" s="43"/>
      <c r="C124" s="85"/>
      <c r="D124" s="43"/>
      <c r="E124" s="119"/>
      <c r="F124" s="120"/>
      <c r="G124" s="13"/>
    </row>
    <row r="125" spans="1:7" ht="13.5" customHeight="1">
      <c r="A125" s="60">
        <v>4</v>
      </c>
      <c r="B125" s="43">
        <v>112628</v>
      </c>
      <c r="C125" s="85">
        <v>3948.68</v>
      </c>
      <c r="D125" s="43">
        <v>108679.32</v>
      </c>
      <c r="E125" s="119">
        <v>118313.81</v>
      </c>
      <c r="F125" s="120">
        <v>48352.9</v>
      </c>
      <c r="G125" s="13"/>
    </row>
    <row r="126" spans="1:7" ht="13.5" customHeight="1">
      <c r="A126" s="60">
        <v>5</v>
      </c>
      <c r="B126" s="43">
        <v>112726.73</v>
      </c>
      <c r="C126" s="85">
        <v>3787.68</v>
      </c>
      <c r="D126" s="43">
        <v>108939.05</v>
      </c>
      <c r="E126" s="119">
        <v>118199.11</v>
      </c>
      <c r="F126" s="120">
        <v>48558.400000000001</v>
      </c>
      <c r="G126" s="13"/>
    </row>
    <row r="127" spans="1:7" ht="13.5" customHeight="1">
      <c r="A127" s="60">
        <v>6</v>
      </c>
      <c r="B127" s="43">
        <v>114355.8</v>
      </c>
      <c r="C127" s="85">
        <v>4026.89</v>
      </c>
      <c r="D127" s="43">
        <v>110328.91</v>
      </c>
      <c r="E127" s="119">
        <v>119357.12</v>
      </c>
      <c r="F127" s="120">
        <v>49495.87</v>
      </c>
      <c r="G127" s="13"/>
    </row>
    <row r="128" spans="1:7" ht="13.5" customHeight="1">
      <c r="A128" s="60"/>
      <c r="B128" s="43"/>
      <c r="C128" s="85"/>
      <c r="D128" s="43"/>
      <c r="E128" s="119"/>
      <c r="F128" s="120"/>
      <c r="G128" s="13"/>
    </row>
    <row r="129" spans="1:7" ht="13.5" customHeight="1">
      <c r="A129" s="60">
        <v>7</v>
      </c>
      <c r="B129" s="43">
        <v>115496.3</v>
      </c>
      <c r="C129" s="85">
        <v>4287.63</v>
      </c>
      <c r="D129" s="43">
        <v>111208.67</v>
      </c>
      <c r="E129" s="119">
        <v>119541.62</v>
      </c>
      <c r="F129" s="120">
        <v>49701.85</v>
      </c>
      <c r="G129" s="13"/>
    </row>
    <row r="130" spans="1:7" ht="13.5" customHeight="1">
      <c r="A130" s="60">
        <v>8</v>
      </c>
      <c r="B130" s="43">
        <v>116095.15</v>
      </c>
      <c r="C130" s="85">
        <v>4249.13</v>
      </c>
      <c r="D130" s="43">
        <v>111846.02</v>
      </c>
      <c r="E130" s="119">
        <v>119359.33</v>
      </c>
      <c r="F130" s="120">
        <v>50182.239999999998</v>
      </c>
      <c r="G130" s="13"/>
    </row>
    <row r="131" spans="1:7" ht="13.5" customHeight="1">
      <c r="A131" s="60">
        <v>9</v>
      </c>
      <c r="B131" s="43">
        <v>116718.64</v>
      </c>
      <c r="C131" s="85">
        <v>4095.57</v>
      </c>
      <c r="D131" s="43">
        <v>112623.07</v>
      </c>
      <c r="E131" s="119">
        <v>118986.14</v>
      </c>
      <c r="F131" s="120">
        <v>50319.08</v>
      </c>
      <c r="G131" s="13"/>
    </row>
    <row r="132" spans="1:7" ht="13.5" customHeight="1">
      <c r="A132" s="60"/>
      <c r="B132" s="43"/>
      <c r="C132" s="85"/>
      <c r="D132" s="43"/>
      <c r="E132" s="119"/>
      <c r="F132" s="120"/>
      <c r="G132" s="13"/>
    </row>
    <row r="133" spans="1:7" ht="13.5" customHeight="1">
      <c r="A133" s="60">
        <v>10</v>
      </c>
      <c r="B133" s="43">
        <v>117727.15</v>
      </c>
      <c r="C133" s="85">
        <v>4186.01</v>
      </c>
      <c r="D133" s="43">
        <v>113541.14</v>
      </c>
      <c r="E133" s="119">
        <v>120312.57</v>
      </c>
      <c r="F133" s="120">
        <v>51628.38</v>
      </c>
      <c r="G133" s="13"/>
    </row>
    <row r="134" spans="1:7" ht="13.5" customHeight="1">
      <c r="A134" s="60" t="s">
        <v>212</v>
      </c>
      <c r="B134" s="43">
        <v>118276.07</v>
      </c>
      <c r="C134" s="85">
        <v>4329.3500000000004</v>
      </c>
      <c r="D134" s="43">
        <v>113946.72</v>
      </c>
      <c r="E134" s="119">
        <v>119394</v>
      </c>
      <c r="F134" s="120">
        <v>52173</v>
      </c>
      <c r="G134" s="13"/>
    </row>
    <row r="135" spans="1:7" ht="13.5" customHeight="1">
      <c r="A135" s="194" t="s">
        <v>213</v>
      </c>
      <c r="B135" s="203">
        <v>119940.74</v>
      </c>
      <c r="C135" s="203">
        <v>4567.76</v>
      </c>
      <c r="D135" s="203">
        <v>115372.98</v>
      </c>
      <c r="E135" s="43">
        <v>120283</v>
      </c>
      <c r="F135" s="104">
        <v>53028</v>
      </c>
      <c r="G135" s="13"/>
    </row>
    <row r="136" spans="1:7" ht="13.5" customHeight="1">
      <c r="A136" s="60"/>
      <c r="B136" s="43"/>
      <c r="C136" s="85"/>
      <c r="D136" s="43"/>
      <c r="E136" s="119"/>
      <c r="F136" s="120"/>
      <c r="G136" s="13"/>
    </row>
    <row r="137" spans="1:7">
      <c r="A137" s="194" t="s">
        <v>266</v>
      </c>
      <c r="B137" s="203">
        <v>120646.7</v>
      </c>
      <c r="C137" s="203">
        <v>4867.76</v>
      </c>
      <c r="D137" s="203">
        <v>115778.94</v>
      </c>
      <c r="E137" s="43">
        <v>120268.46</v>
      </c>
      <c r="F137" s="104">
        <v>54572.67</v>
      </c>
    </row>
    <row r="138" spans="1:7">
      <c r="A138" s="194" t="s">
        <v>215</v>
      </c>
      <c r="B138" s="203">
        <v>120466.16</v>
      </c>
      <c r="C138" s="203">
        <v>4780.6899999999996</v>
      </c>
      <c r="D138" s="203">
        <v>115685.47</v>
      </c>
      <c r="E138" s="43">
        <v>120320.95</v>
      </c>
      <c r="F138" s="104">
        <v>55081.8</v>
      </c>
    </row>
    <row r="139" spans="1:7">
      <c r="A139" s="195" t="s">
        <v>265</v>
      </c>
      <c r="B139" s="198">
        <v>121005.7</v>
      </c>
      <c r="C139" s="198">
        <v>4786.08</v>
      </c>
      <c r="D139" s="198">
        <v>116219.62</v>
      </c>
      <c r="E139" s="199">
        <v>120238.06</v>
      </c>
      <c r="F139" s="104">
        <v>55162.080000000002</v>
      </c>
    </row>
  </sheetData>
  <mergeCells count="4">
    <mergeCell ref="A2:E2"/>
    <mergeCell ref="B6:B7"/>
    <mergeCell ref="E6:E7"/>
    <mergeCell ref="A6:A7"/>
  </mergeCells>
  <phoneticPr fontId="9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4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pageSetUpPr fitToPage="1"/>
  </sheetPr>
  <dimension ref="A1:N147"/>
  <sheetViews>
    <sheetView view="pageBreakPreview" topLeftCell="A2" zoomScaleNormal="70" zoomScaleSheetLayoutView="100" workbookViewId="0">
      <pane xSplit="1" ySplit="6" topLeftCell="B105" activePane="bottomRight" state="frozen"/>
      <selection activeCell="E91" sqref="E91"/>
      <selection pane="topRight" activeCell="E91" sqref="E91"/>
      <selection pane="bottomLeft" activeCell="E91" sqref="E91"/>
      <selection pane="bottomRight" activeCell="C139" sqref="C139"/>
    </sheetView>
  </sheetViews>
  <sheetFormatPr defaultColWidth="8.88671875" defaultRowHeight="13.5"/>
  <cols>
    <col min="1" max="1" width="10.77734375" style="13" customWidth="1"/>
    <col min="2" max="4" width="9.77734375" style="13" customWidth="1"/>
    <col min="5" max="5" width="9.6640625" style="13" customWidth="1"/>
    <col min="6" max="7" width="9.21875" style="13" customWidth="1"/>
    <col min="8" max="8" width="9.77734375" style="13" customWidth="1"/>
    <col min="9" max="9" width="11.44140625" style="13" bestFit="1" customWidth="1"/>
    <col min="10" max="10" width="12.6640625" style="13" bestFit="1" customWidth="1"/>
    <col min="11" max="11" width="9.44140625" style="12" bestFit="1" customWidth="1"/>
    <col min="12" max="12" width="11.5546875" style="12" bestFit="1" customWidth="1"/>
    <col min="13" max="16384" width="8.88671875" style="12"/>
  </cols>
  <sheetData>
    <row r="1" spans="1:11" s="1" customFormat="1" ht="1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1" ht="15.75">
      <c r="A2" s="66" t="s">
        <v>153</v>
      </c>
      <c r="B2" s="66"/>
      <c r="C2" s="66"/>
      <c r="D2" s="66"/>
      <c r="E2" s="66"/>
      <c r="F2" s="66"/>
      <c r="G2" s="66"/>
      <c r="H2" s="66"/>
      <c r="I2" s="66"/>
      <c r="J2" s="66"/>
    </row>
    <row r="3" spans="1:11" s="1" customFormat="1" ht="12">
      <c r="A3" s="113"/>
      <c r="B3" s="113"/>
      <c r="C3" s="113"/>
      <c r="D3" s="113"/>
      <c r="E3" s="113"/>
      <c r="F3" s="113"/>
      <c r="G3" s="113"/>
      <c r="H3" s="113"/>
      <c r="I3" s="113"/>
      <c r="J3" s="113"/>
    </row>
    <row r="4" spans="1:11" s="1" customFormat="1" ht="12">
      <c r="A4" s="113"/>
      <c r="B4" s="113"/>
      <c r="C4" s="113"/>
      <c r="D4" s="113"/>
      <c r="E4" s="113"/>
      <c r="F4" s="113"/>
      <c r="G4" s="113"/>
      <c r="H4" s="113"/>
      <c r="I4" s="113"/>
      <c r="J4" s="113"/>
    </row>
    <row r="5" spans="1:11" s="1" customFormat="1" ht="12">
      <c r="A5" s="19" t="s">
        <v>98</v>
      </c>
      <c r="B5" s="19"/>
      <c r="C5" s="76"/>
      <c r="D5" s="76"/>
      <c r="E5" s="76"/>
      <c r="F5" s="76"/>
      <c r="G5" s="76"/>
      <c r="H5" s="76"/>
      <c r="I5" s="76"/>
      <c r="J5" s="76" t="s">
        <v>121</v>
      </c>
    </row>
    <row r="6" spans="1:11" ht="20.100000000000001" customHeight="1">
      <c r="A6" s="337" t="s">
        <v>193</v>
      </c>
      <c r="B6" s="343" t="s">
        <v>194</v>
      </c>
      <c r="C6" s="343" t="s">
        <v>195</v>
      </c>
      <c r="D6" s="343" t="s">
        <v>196</v>
      </c>
      <c r="E6" s="344" t="s">
        <v>197</v>
      </c>
      <c r="F6" s="339"/>
      <c r="G6" s="340"/>
      <c r="H6" s="341" t="s">
        <v>198</v>
      </c>
      <c r="I6" s="343" t="s">
        <v>199</v>
      </c>
      <c r="J6" s="344" t="s">
        <v>205</v>
      </c>
      <c r="K6" s="163"/>
    </row>
    <row r="7" spans="1:11" ht="20.100000000000001" customHeight="1">
      <c r="A7" s="338"/>
      <c r="B7" s="342"/>
      <c r="C7" s="342"/>
      <c r="D7" s="342"/>
      <c r="E7" s="342"/>
      <c r="F7" s="107" t="s">
        <v>119</v>
      </c>
      <c r="G7" s="107" t="s">
        <v>120</v>
      </c>
      <c r="H7" s="342"/>
      <c r="I7" s="342"/>
      <c r="J7" s="345"/>
    </row>
    <row r="8" spans="1:11" ht="13.5" customHeight="1">
      <c r="A8" s="197">
        <v>2012</v>
      </c>
      <c r="B8" s="80">
        <v>85411.910039010007</v>
      </c>
      <c r="C8" s="80">
        <v>681.56299999999999</v>
      </c>
      <c r="D8" s="77">
        <v>0.79797185157047912</v>
      </c>
      <c r="E8" s="79">
        <v>25</v>
      </c>
      <c r="F8" s="79">
        <v>22</v>
      </c>
      <c r="G8" s="79">
        <v>3</v>
      </c>
      <c r="H8" s="79">
        <v>1189</v>
      </c>
      <c r="I8" s="57">
        <v>16618.25</v>
      </c>
      <c r="J8" s="68">
        <v>4.8696302500000002</v>
      </c>
    </row>
    <row r="9" spans="1:11" ht="13.5" customHeight="1">
      <c r="A9" s="197">
        <v>2013</v>
      </c>
      <c r="B9" s="80">
        <v>71958.594187530005</v>
      </c>
      <c r="C9" s="80">
        <v>315.85250000000002</v>
      </c>
      <c r="D9" s="77">
        <v>0.43893645167228051</v>
      </c>
      <c r="E9" s="79">
        <v>20</v>
      </c>
      <c r="F9" s="79">
        <v>17</v>
      </c>
      <c r="G9" s="79">
        <v>3</v>
      </c>
      <c r="H9" s="79">
        <v>1153</v>
      </c>
      <c r="I9" s="57">
        <v>17161.89</v>
      </c>
      <c r="J9" s="68">
        <v>4.7727314166666668</v>
      </c>
      <c r="K9" s="13"/>
    </row>
    <row r="10" spans="1:11" ht="13.5" customHeight="1">
      <c r="A10" s="197">
        <v>2014</v>
      </c>
      <c r="B10" s="80">
        <v>76766.077234140001</v>
      </c>
      <c r="C10" s="80">
        <v>4153.6573699999999</v>
      </c>
      <c r="D10" s="77">
        <v>5.4107979978332841</v>
      </c>
      <c r="E10" s="79">
        <v>15</v>
      </c>
      <c r="F10" s="79">
        <v>9</v>
      </c>
      <c r="G10" s="79">
        <v>6</v>
      </c>
      <c r="H10" s="79">
        <v>1374</v>
      </c>
      <c r="I10" s="57">
        <v>17467.5</v>
      </c>
      <c r="J10" s="68">
        <v>4.4818440833333328</v>
      </c>
      <c r="K10" s="13"/>
    </row>
    <row r="11" spans="1:11" ht="13.5" customHeight="1">
      <c r="A11" s="197">
        <v>2015</v>
      </c>
      <c r="B11" s="80">
        <v>134132.16985104</v>
      </c>
      <c r="C11" s="80">
        <v>227.0395</v>
      </c>
      <c r="D11" s="77">
        <v>0.16926550897680839</v>
      </c>
      <c r="E11" s="79">
        <v>13</v>
      </c>
      <c r="F11" s="79">
        <v>8</v>
      </c>
      <c r="G11" s="79">
        <v>5</v>
      </c>
      <c r="H11" s="79">
        <v>1548</v>
      </c>
      <c r="I11" s="57">
        <v>18338</v>
      </c>
      <c r="J11" s="68">
        <v>4.0041666666666664</v>
      </c>
      <c r="K11" s="13"/>
    </row>
    <row r="12" spans="1:11" ht="13.15" customHeight="1">
      <c r="A12" s="197"/>
      <c r="B12" s="80"/>
      <c r="C12" s="80"/>
      <c r="D12" s="77"/>
      <c r="E12" s="79"/>
      <c r="F12" s="79"/>
      <c r="G12" s="79"/>
      <c r="H12" s="79"/>
      <c r="I12" s="57"/>
      <c r="J12" s="68"/>
      <c r="K12" s="13"/>
    </row>
    <row r="13" spans="1:11" ht="13.5" customHeight="1">
      <c r="A13" s="197">
        <v>2016</v>
      </c>
      <c r="B13" s="80">
        <v>129302.35952437</v>
      </c>
      <c r="C13" s="80">
        <v>138.50530000000001</v>
      </c>
      <c r="D13" s="77">
        <v>0.10711738015414599</v>
      </c>
      <c r="E13" s="79">
        <v>9.09</v>
      </c>
      <c r="F13" s="79">
        <v>5</v>
      </c>
      <c r="G13" s="79">
        <v>4</v>
      </c>
      <c r="H13" s="79">
        <v>1792</v>
      </c>
      <c r="I13" s="57">
        <v>19229.759999999998</v>
      </c>
      <c r="J13" s="68">
        <v>13.733333333333333</v>
      </c>
      <c r="K13" s="13"/>
    </row>
    <row r="14" spans="1:11" ht="13.5" customHeight="1">
      <c r="A14" s="197">
        <v>2017</v>
      </c>
      <c r="B14" s="80">
        <v>124542.13967701999</v>
      </c>
      <c r="C14" s="80">
        <v>72.513120000000001</v>
      </c>
      <c r="D14" s="77">
        <v>5.822376280675047E-2</v>
      </c>
      <c r="E14" s="79">
        <v>3</v>
      </c>
      <c r="F14" s="79">
        <v>3</v>
      </c>
      <c r="G14" s="79">
        <v>0</v>
      </c>
      <c r="H14" s="79">
        <v>2038</v>
      </c>
      <c r="I14" s="57">
        <v>19916.205973700002</v>
      </c>
      <c r="J14" s="68">
        <v>14.105833333333335</v>
      </c>
      <c r="K14" s="13"/>
    </row>
    <row r="15" spans="1:11" ht="13.5" customHeight="1">
      <c r="A15" s="197">
        <v>2018</v>
      </c>
      <c r="B15" s="80">
        <v>123213.47285149001</v>
      </c>
      <c r="C15" s="80">
        <v>158.96</v>
      </c>
      <c r="D15" s="77">
        <v>0.12901186560303798</v>
      </c>
      <c r="E15" s="79">
        <v>8</v>
      </c>
      <c r="F15" s="79">
        <v>6</v>
      </c>
      <c r="G15" s="79">
        <v>2</v>
      </c>
      <c r="H15" s="79">
        <v>2139</v>
      </c>
      <c r="I15" s="57">
        <v>20964</v>
      </c>
      <c r="J15" s="68">
        <v>14.580833333333331</v>
      </c>
      <c r="K15" s="13"/>
    </row>
    <row r="16" spans="1:11" ht="13.5" customHeight="1">
      <c r="A16" s="197">
        <v>2019</v>
      </c>
      <c r="B16" s="80">
        <v>129824.58595697</v>
      </c>
      <c r="C16" s="80">
        <v>41.625219999999999</v>
      </c>
      <c r="D16" s="77">
        <v>3.206266339551167E-2</v>
      </c>
      <c r="E16" s="79">
        <v>1.2200000000000002</v>
      </c>
      <c r="F16" s="79">
        <v>1</v>
      </c>
      <c r="G16" s="79">
        <v>0</v>
      </c>
      <c r="H16" s="79">
        <v>2072</v>
      </c>
      <c r="I16" s="57">
        <v>23194.87</v>
      </c>
      <c r="J16" s="68">
        <v>14.350000000000001</v>
      </c>
      <c r="K16" s="13"/>
    </row>
    <row r="17" spans="1:13" ht="13.5" customHeight="1">
      <c r="A17" s="197">
        <v>2020</v>
      </c>
      <c r="B17" s="80">
        <v>121555.15327518999</v>
      </c>
      <c r="C17" s="80">
        <v>57.549190000000003</v>
      </c>
      <c r="D17" s="77">
        <v>4.7344097267282274E-2</v>
      </c>
      <c r="E17" s="79">
        <v>3.1</v>
      </c>
      <c r="F17" s="79">
        <v>1</v>
      </c>
      <c r="G17" s="79">
        <v>2</v>
      </c>
      <c r="H17" s="79">
        <v>2460</v>
      </c>
      <c r="I17" s="57">
        <v>30969.942225610001</v>
      </c>
      <c r="J17" s="68">
        <v>11.291666666666666</v>
      </c>
      <c r="K17" s="144"/>
      <c r="L17" s="145"/>
    </row>
    <row r="18" spans="1:13" ht="13.5" customHeight="1">
      <c r="A18" s="197"/>
      <c r="B18" s="80"/>
      <c r="C18" s="80"/>
      <c r="D18" s="77"/>
      <c r="E18" s="79"/>
      <c r="F18" s="79"/>
      <c r="G18" s="79"/>
      <c r="H18" s="79"/>
      <c r="I18" s="57"/>
      <c r="J18" s="68"/>
      <c r="K18" s="144"/>
      <c r="L18" s="145"/>
    </row>
    <row r="19" spans="1:13" ht="13.5" customHeight="1">
      <c r="A19" s="197">
        <v>2021</v>
      </c>
      <c r="B19" s="80">
        <v>103213.79664284</v>
      </c>
      <c r="C19" s="80">
        <v>31.239329999999999</v>
      </c>
      <c r="D19" s="77">
        <v>3.0266622308353093E-2</v>
      </c>
      <c r="E19" s="79">
        <v>3</v>
      </c>
      <c r="F19" s="79">
        <v>2</v>
      </c>
      <c r="G19" s="79">
        <v>1</v>
      </c>
      <c r="H19" s="79">
        <v>2478</v>
      </c>
      <c r="I19" s="57">
        <v>32814.36</v>
      </c>
      <c r="J19" s="68">
        <v>10.386666666666665</v>
      </c>
      <c r="K19" s="144"/>
      <c r="L19" s="145"/>
    </row>
    <row r="20" spans="1:13" ht="13.5" customHeight="1">
      <c r="A20" s="197">
        <v>2022</v>
      </c>
      <c r="B20" s="80">
        <v>103093.72</v>
      </c>
      <c r="C20" s="80">
        <v>25.14</v>
      </c>
      <c r="D20" s="77">
        <v>2.4385578481405077E-2</v>
      </c>
      <c r="E20" s="79">
        <v>2</v>
      </c>
      <c r="F20" s="79">
        <v>2</v>
      </c>
      <c r="G20" s="79">
        <v>0</v>
      </c>
      <c r="H20" s="79">
        <v>2438</v>
      </c>
      <c r="I20" s="57">
        <v>35583.839999999997</v>
      </c>
      <c r="J20" s="68">
        <v>10.5</v>
      </c>
      <c r="K20" s="144"/>
      <c r="L20" s="145"/>
    </row>
    <row r="21" spans="1:13" ht="13.5" customHeight="1">
      <c r="A21" s="197">
        <v>2023</v>
      </c>
      <c r="B21" s="80">
        <v>108985.57999999999</v>
      </c>
      <c r="C21" s="80">
        <v>230.69</v>
      </c>
      <c r="D21" s="77">
        <v>0.21167020444356036</v>
      </c>
      <c r="E21" s="79">
        <v>6</v>
      </c>
      <c r="F21" s="79">
        <v>4</v>
      </c>
      <c r="G21" s="79">
        <v>2</v>
      </c>
      <c r="H21" s="79">
        <v>2085</v>
      </c>
      <c r="I21" s="57">
        <v>36767.51</v>
      </c>
      <c r="J21" s="68">
        <v>11.5</v>
      </c>
      <c r="K21" s="144"/>
      <c r="L21" s="145"/>
      <c r="M21" s="145"/>
    </row>
    <row r="22" spans="1:13" ht="13.5" customHeight="1">
      <c r="A22" s="197">
        <v>2024</v>
      </c>
      <c r="B22" s="80">
        <f>SUM(B105:B119)</f>
        <v>116861.58318871001</v>
      </c>
      <c r="C22" s="80">
        <f>SUM(C105:C119)</f>
        <v>326.62013999999999</v>
      </c>
      <c r="D22" s="77">
        <f>C22/B22*100</f>
        <v>0.27949316711940181</v>
      </c>
      <c r="E22" s="79">
        <f>SUM(E105:E119)</f>
        <v>4.0100000000000007</v>
      </c>
      <c r="F22" s="79">
        <f>SUM(F105:F119)</f>
        <v>3</v>
      </c>
      <c r="G22" s="79">
        <f>SUM(G105:G119)</f>
        <v>0</v>
      </c>
      <c r="H22" s="79">
        <f>SUM(H105:H119)</f>
        <v>1954</v>
      </c>
      <c r="I22" s="57">
        <f>I119</f>
        <v>36999.379999999997</v>
      </c>
      <c r="J22" s="68">
        <f>AVERAGE(J105:J119)</f>
        <v>10.183333333333334</v>
      </c>
      <c r="K22" s="144"/>
      <c r="L22" s="145"/>
    </row>
    <row r="23" spans="1:13" ht="13.5" customHeight="1">
      <c r="A23" s="197">
        <v>2025</v>
      </c>
      <c r="B23" s="80">
        <v>107782.79</v>
      </c>
      <c r="C23" s="80">
        <v>245.49</v>
      </c>
      <c r="D23" s="77">
        <v>0.23</v>
      </c>
      <c r="E23" s="79">
        <v>2.34</v>
      </c>
      <c r="F23" s="79">
        <v>2</v>
      </c>
      <c r="G23" s="79">
        <v>0</v>
      </c>
      <c r="H23" s="79">
        <v>1864</v>
      </c>
      <c r="I23" s="57">
        <v>37666.239999999998</v>
      </c>
      <c r="J23" s="68">
        <v>10.6</v>
      </c>
      <c r="K23" s="144"/>
      <c r="L23" s="145"/>
    </row>
    <row r="24" spans="1:13" ht="11.45" customHeight="1">
      <c r="A24" s="69"/>
      <c r="B24" s="80"/>
      <c r="C24" s="80"/>
      <c r="D24" s="77"/>
      <c r="E24" s="79"/>
      <c r="F24" s="78"/>
      <c r="G24" s="79"/>
      <c r="H24" s="79"/>
      <c r="I24" s="57"/>
      <c r="J24" s="68"/>
      <c r="K24" s="13"/>
    </row>
    <row r="25" spans="1:13" ht="13.5" customHeight="1">
      <c r="A25" s="60">
        <v>2019.1</v>
      </c>
      <c r="B25" s="80">
        <v>21088.25</v>
      </c>
      <c r="C25" s="80">
        <v>19.399999999999999</v>
      </c>
      <c r="D25" s="77">
        <v>0.09</v>
      </c>
      <c r="E25" s="79">
        <v>1</v>
      </c>
      <c r="F25" s="79">
        <v>1</v>
      </c>
      <c r="G25" s="79">
        <v>0</v>
      </c>
      <c r="H25" s="79">
        <v>220</v>
      </c>
      <c r="I25" s="57">
        <v>20966.650000000001</v>
      </c>
      <c r="J25" s="68">
        <v>17.399999999999999</v>
      </c>
      <c r="K25" s="145"/>
      <c r="L25" s="145"/>
    </row>
    <row r="26" spans="1:13" ht="13.5" customHeight="1">
      <c r="A26" s="60">
        <v>2</v>
      </c>
      <c r="B26" s="80">
        <v>13053.14</v>
      </c>
      <c r="C26" s="80">
        <v>5.9</v>
      </c>
      <c r="D26" s="77">
        <v>0.05</v>
      </c>
      <c r="E26" s="79">
        <v>0.08</v>
      </c>
      <c r="F26" s="79">
        <v>0</v>
      </c>
      <c r="G26" s="79">
        <v>0</v>
      </c>
      <c r="H26" s="79">
        <v>172</v>
      </c>
      <c r="I26" s="57">
        <v>21055.01</v>
      </c>
      <c r="J26" s="68">
        <v>14.2</v>
      </c>
      <c r="K26" s="145"/>
      <c r="L26" s="145"/>
    </row>
    <row r="27" spans="1:13" ht="13.5" customHeight="1">
      <c r="A27" s="60">
        <v>3</v>
      </c>
      <c r="B27" s="80">
        <v>6632.12</v>
      </c>
      <c r="C27" s="80">
        <v>3.82</v>
      </c>
      <c r="D27" s="77">
        <v>0.06</v>
      </c>
      <c r="E27" s="79">
        <v>0.14000000000000001</v>
      </c>
      <c r="F27" s="79">
        <v>0</v>
      </c>
      <c r="G27" s="79">
        <v>0</v>
      </c>
      <c r="H27" s="79">
        <v>196</v>
      </c>
      <c r="I27" s="57">
        <v>21283.51</v>
      </c>
      <c r="J27" s="68">
        <v>13.9</v>
      </c>
      <c r="K27" s="145"/>
      <c r="L27" s="145"/>
    </row>
    <row r="28" spans="1:13" ht="13.5" customHeight="1">
      <c r="A28" s="60"/>
      <c r="B28" s="80"/>
      <c r="C28" s="80"/>
      <c r="D28" s="77"/>
      <c r="E28" s="79"/>
      <c r="F28" s="79"/>
      <c r="G28" s="79"/>
      <c r="H28" s="79"/>
      <c r="I28" s="57"/>
      <c r="J28" s="68"/>
      <c r="K28" s="145"/>
      <c r="L28" s="145"/>
    </row>
    <row r="29" spans="1:13" ht="13.5" customHeight="1">
      <c r="A29" s="60">
        <v>4</v>
      </c>
      <c r="B29" s="80">
        <v>12692.02</v>
      </c>
      <c r="C29" s="80">
        <v>8.2100000000000009</v>
      </c>
      <c r="D29" s="77">
        <v>0.06</v>
      </c>
      <c r="E29" s="79">
        <v>0</v>
      </c>
      <c r="F29" s="79">
        <v>0</v>
      </c>
      <c r="G29" s="79">
        <v>0</v>
      </c>
      <c r="H29" s="79">
        <v>193</v>
      </c>
      <c r="I29" s="57">
        <v>21885.39</v>
      </c>
      <c r="J29" s="68">
        <v>14</v>
      </c>
      <c r="K29" s="145"/>
      <c r="L29" s="145"/>
    </row>
    <row r="30" spans="1:13" ht="13.5" customHeight="1">
      <c r="A30" s="60">
        <v>5</v>
      </c>
      <c r="B30" s="80">
        <v>11945.81</v>
      </c>
      <c r="C30" s="80">
        <v>1.1399999999999999</v>
      </c>
      <c r="D30" s="77">
        <v>0.01</v>
      </c>
      <c r="E30" s="79">
        <v>0</v>
      </c>
      <c r="F30" s="79">
        <v>0</v>
      </c>
      <c r="G30" s="79">
        <v>0</v>
      </c>
      <c r="H30" s="79">
        <v>163</v>
      </c>
      <c r="I30" s="57">
        <v>22602</v>
      </c>
      <c r="J30" s="68">
        <v>14.8</v>
      </c>
      <c r="K30" s="145"/>
      <c r="L30" s="145"/>
    </row>
    <row r="31" spans="1:13" ht="13.5" customHeight="1">
      <c r="A31" s="60">
        <v>6</v>
      </c>
      <c r="B31" s="80">
        <v>5162.7299999999996</v>
      </c>
      <c r="C31" s="80">
        <v>0.53</v>
      </c>
      <c r="D31" s="77">
        <v>0.01</v>
      </c>
      <c r="E31" s="79">
        <v>0</v>
      </c>
      <c r="F31" s="79">
        <v>0</v>
      </c>
      <c r="G31" s="79">
        <v>0</v>
      </c>
      <c r="H31" s="79">
        <v>144</v>
      </c>
      <c r="I31" s="57">
        <v>22741.200000000001</v>
      </c>
      <c r="J31" s="68">
        <v>13</v>
      </c>
      <c r="K31" s="145"/>
      <c r="L31" s="145"/>
    </row>
    <row r="32" spans="1:13" ht="13.5" customHeight="1">
      <c r="A32" s="60"/>
      <c r="B32" s="80"/>
      <c r="C32" s="80"/>
      <c r="D32" s="77"/>
      <c r="E32" s="79"/>
      <c r="F32" s="79"/>
      <c r="G32" s="79"/>
      <c r="H32" s="79"/>
      <c r="I32" s="57"/>
      <c r="J32" s="68"/>
      <c r="K32" s="145"/>
      <c r="L32" s="145"/>
    </row>
    <row r="33" spans="1:12" ht="13.5" customHeight="1">
      <c r="A33" s="60">
        <v>7</v>
      </c>
      <c r="B33" s="80">
        <v>11349.28</v>
      </c>
      <c r="C33" s="80">
        <v>0.97</v>
      </c>
      <c r="D33" s="77">
        <v>0.01</v>
      </c>
      <c r="E33" s="79">
        <v>0</v>
      </c>
      <c r="F33" s="79">
        <v>0</v>
      </c>
      <c r="G33" s="79">
        <v>0</v>
      </c>
      <c r="H33" s="79">
        <v>182</v>
      </c>
      <c r="I33" s="57">
        <v>22618.89</v>
      </c>
      <c r="J33" s="68">
        <v>14.2</v>
      </c>
      <c r="K33" s="145"/>
      <c r="L33" s="145"/>
    </row>
    <row r="34" spans="1:12" ht="13.5" customHeight="1">
      <c r="A34" s="60">
        <v>8</v>
      </c>
      <c r="B34" s="80">
        <v>11247.26</v>
      </c>
      <c r="C34" s="80">
        <v>0.64</v>
      </c>
      <c r="D34" s="77">
        <v>0.01</v>
      </c>
      <c r="E34" s="79">
        <v>0</v>
      </c>
      <c r="F34" s="79">
        <v>0</v>
      </c>
      <c r="G34" s="79">
        <v>0</v>
      </c>
      <c r="H34" s="79">
        <v>154</v>
      </c>
      <c r="I34" s="57">
        <v>22613</v>
      </c>
      <c r="J34" s="68">
        <v>14.1</v>
      </c>
      <c r="K34" s="145"/>
      <c r="L34" s="145"/>
    </row>
    <row r="35" spans="1:12" ht="13.5" customHeight="1">
      <c r="A35" s="60">
        <v>9</v>
      </c>
      <c r="B35" s="80">
        <v>6241.9</v>
      </c>
      <c r="C35" s="80">
        <v>0.45</v>
      </c>
      <c r="D35" s="77">
        <v>0.01</v>
      </c>
      <c r="E35" s="79">
        <v>0</v>
      </c>
      <c r="F35" s="79">
        <v>0</v>
      </c>
      <c r="G35" s="79">
        <v>0</v>
      </c>
      <c r="H35" s="79">
        <v>142</v>
      </c>
      <c r="I35" s="57">
        <v>22960.880000000001</v>
      </c>
      <c r="J35" s="68">
        <v>14.3</v>
      </c>
      <c r="K35" s="145"/>
      <c r="L35" s="145"/>
    </row>
    <row r="36" spans="1:12" ht="13.5" customHeight="1">
      <c r="A36" s="60"/>
      <c r="B36" s="80"/>
      <c r="C36" s="80"/>
      <c r="D36" s="77"/>
      <c r="E36" s="79"/>
      <c r="F36" s="79"/>
      <c r="G36" s="79"/>
      <c r="H36" s="79"/>
      <c r="I36" s="57"/>
      <c r="J36" s="68"/>
      <c r="K36" s="145"/>
      <c r="L36" s="145"/>
    </row>
    <row r="37" spans="1:12" ht="13.5" customHeight="1">
      <c r="A37" s="60">
        <v>10</v>
      </c>
      <c r="B37" s="80">
        <v>10357.1</v>
      </c>
      <c r="C37" s="80">
        <v>0.38</v>
      </c>
      <c r="D37" s="77">
        <v>0</v>
      </c>
      <c r="E37" s="79">
        <v>0</v>
      </c>
      <c r="F37" s="79">
        <v>0</v>
      </c>
      <c r="G37" s="79">
        <v>0</v>
      </c>
      <c r="H37" s="79">
        <v>148</v>
      </c>
      <c r="I37" s="57">
        <v>23104.84</v>
      </c>
      <c r="J37" s="68">
        <v>14.3</v>
      </c>
      <c r="K37" s="145"/>
      <c r="L37" s="145"/>
    </row>
    <row r="38" spans="1:12" ht="13.5" customHeight="1">
      <c r="A38" s="60">
        <v>11</v>
      </c>
      <c r="B38" s="80">
        <v>11655.74</v>
      </c>
      <c r="C38" s="80">
        <v>0.15</v>
      </c>
      <c r="D38" s="77">
        <v>0</v>
      </c>
      <c r="E38" s="79">
        <v>0</v>
      </c>
      <c r="F38" s="79">
        <v>0</v>
      </c>
      <c r="G38" s="79">
        <v>0</v>
      </c>
      <c r="H38" s="79">
        <v>198</v>
      </c>
      <c r="I38" s="57">
        <v>23262.69</v>
      </c>
      <c r="J38" s="68">
        <v>13.6</v>
      </c>
      <c r="K38" s="145"/>
      <c r="L38" s="145"/>
    </row>
    <row r="39" spans="1:12" ht="13.5" customHeight="1">
      <c r="A39" s="60">
        <v>12</v>
      </c>
      <c r="B39" s="80">
        <v>8399.18</v>
      </c>
      <c r="C39" s="80">
        <v>0</v>
      </c>
      <c r="D39" s="77">
        <v>0</v>
      </c>
      <c r="E39" s="79">
        <v>0</v>
      </c>
      <c r="F39" s="79">
        <v>0</v>
      </c>
      <c r="G39" s="79">
        <v>0</v>
      </c>
      <c r="H39" s="79">
        <v>160</v>
      </c>
      <c r="I39" s="57">
        <v>23194.87</v>
      </c>
      <c r="J39" s="68">
        <v>14.4</v>
      </c>
      <c r="K39" s="145"/>
      <c r="L39" s="145"/>
    </row>
    <row r="40" spans="1:12" ht="13.5" customHeight="1">
      <c r="A40" s="60"/>
      <c r="B40" s="80"/>
      <c r="C40" s="80"/>
      <c r="D40" s="77"/>
      <c r="E40" s="79"/>
      <c r="F40" s="79"/>
      <c r="G40" s="79"/>
      <c r="H40" s="79"/>
      <c r="I40" s="57"/>
      <c r="J40" s="68"/>
      <c r="K40" s="13"/>
    </row>
    <row r="41" spans="1:12" ht="13.5" customHeight="1">
      <c r="A41" s="60">
        <v>2020.1</v>
      </c>
      <c r="B41" s="80">
        <v>10525.04</v>
      </c>
      <c r="C41" s="80">
        <v>1.1000000000000001</v>
      </c>
      <c r="D41" s="77">
        <v>0.01</v>
      </c>
      <c r="E41" s="79">
        <v>0</v>
      </c>
      <c r="F41" s="79">
        <v>0</v>
      </c>
      <c r="G41" s="79">
        <v>0</v>
      </c>
      <c r="H41" s="79">
        <v>263</v>
      </c>
      <c r="I41" s="57">
        <v>23120.21</v>
      </c>
      <c r="J41" s="68">
        <v>14.1</v>
      </c>
      <c r="K41" s="13"/>
    </row>
    <row r="42" spans="1:12" ht="13.5" customHeight="1">
      <c r="A42" s="60">
        <v>2</v>
      </c>
      <c r="B42" s="80">
        <v>10224.32</v>
      </c>
      <c r="C42" s="80">
        <v>0.26</v>
      </c>
      <c r="D42" s="77">
        <v>0</v>
      </c>
      <c r="E42" s="79">
        <v>0.02</v>
      </c>
      <c r="F42" s="79">
        <v>0</v>
      </c>
      <c r="G42" s="79">
        <v>0</v>
      </c>
      <c r="H42" s="79">
        <v>219</v>
      </c>
      <c r="I42" s="57">
        <v>23266.29</v>
      </c>
      <c r="J42" s="68">
        <v>12.1</v>
      </c>
      <c r="K42" s="13"/>
    </row>
    <row r="43" spans="1:12" ht="13.5" customHeight="1">
      <c r="A43" s="60">
        <v>3</v>
      </c>
      <c r="B43" s="80">
        <v>7962.04</v>
      </c>
      <c r="C43" s="80">
        <v>3.37</v>
      </c>
      <c r="D43" s="77">
        <v>0.04</v>
      </c>
      <c r="E43" s="79">
        <v>0.08</v>
      </c>
      <c r="F43" s="79">
        <v>0</v>
      </c>
      <c r="G43" s="79">
        <v>0</v>
      </c>
      <c r="H43" s="79">
        <v>244</v>
      </c>
      <c r="I43" s="57">
        <v>24648.53</v>
      </c>
      <c r="J43" s="68">
        <v>11.4</v>
      </c>
      <c r="K43" s="13"/>
    </row>
    <row r="44" spans="1:12" ht="13.5" customHeight="1">
      <c r="A44" s="60"/>
      <c r="B44" s="80"/>
      <c r="C44" s="80"/>
      <c r="D44" s="77"/>
      <c r="E44" s="79"/>
      <c r="F44" s="79"/>
      <c r="G44" s="79"/>
      <c r="H44" s="79"/>
      <c r="I44" s="57"/>
      <c r="J44" s="68"/>
      <c r="K44" s="13"/>
    </row>
    <row r="45" spans="1:12" ht="13.5" customHeight="1">
      <c r="A45" s="60">
        <v>4</v>
      </c>
      <c r="B45" s="80">
        <v>10559.13</v>
      </c>
      <c r="C45" s="80">
        <v>0.4</v>
      </c>
      <c r="D45" s="77">
        <v>0</v>
      </c>
      <c r="E45" s="79">
        <v>0</v>
      </c>
      <c r="F45" s="79">
        <v>0</v>
      </c>
      <c r="G45" s="79">
        <v>0</v>
      </c>
      <c r="H45" s="79">
        <v>224</v>
      </c>
      <c r="I45" s="57">
        <v>27157.52</v>
      </c>
      <c r="J45" s="68">
        <v>10.3</v>
      </c>
      <c r="K45" s="13"/>
    </row>
    <row r="46" spans="1:12" ht="13.5" customHeight="1">
      <c r="A46" s="60">
        <v>5</v>
      </c>
      <c r="B46" s="80">
        <v>9614.77</v>
      </c>
      <c r="C46" s="80">
        <v>0.3</v>
      </c>
      <c r="D46" s="77">
        <v>0</v>
      </c>
      <c r="E46" s="79">
        <v>0</v>
      </c>
      <c r="F46" s="79">
        <v>0</v>
      </c>
      <c r="G46" s="79">
        <v>0</v>
      </c>
      <c r="H46" s="79">
        <v>184</v>
      </c>
      <c r="I46" s="57">
        <v>29198.831156430002</v>
      </c>
      <c r="J46" s="68">
        <v>11</v>
      </c>
      <c r="K46" s="13"/>
    </row>
    <row r="47" spans="1:12" ht="13.5" customHeight="1">
      <c r="A47" s="60">
        <v>6</v>
      </c>
      <c r="B47" s="80">
        <v>8475.6299999999992</v>
      </c>
      <c r="C47" s="80">
        <v>0.2</v>
      </c>
      <c r="D47" s="77">
        <v>0</v>
      </c>
      <c r="E47" s="79">
        <v>0</v>
      </c>
      <c r="F47" s="79">
        <v>0</v>
      </c>
      <c r="G47" s="79">
        <v>0</v>
      </c>
      <c r="H47" s="79">
        <v>211</v>
      </c>
      <c r="I47" s="57">
        <v>29672.48</v>
      </c>
      <c r="J47" s="68">
        <v>10.5</v>
      </c>
      <c r="K47" s="13"/>
    </row>
    <row r="48" spans="1:12" ht="13.5" customHeight="1">
      <c r="A48" s="60"/>
      <c r="B48" s="80"/>
      <c r="C48" s="80"/>
      <c r="D48" s="77"/>
      <c r="E48" s="79"/>
      <c r="F48" s="79"/>
      <c r="G48" s="79"/>
      <c r="H48" s="79"/>
      <c r="I48" s="57"/>
      <c r="J48" s="68"/>
      <c r="K48" s="13"/>
    </row>
    <row r="49" spans="1:12" ht="13.5" customHeight="1">
      <c r="A49" s="60">
        <v>7</v>
      </c>
      <c r="B49" s="80">
        <v>10778.9</v>
      </c>
      <c r="C49" s="80">
        <v>0.1</v>
      </c>
      <c r="D49" s="77">
        <v>0</v>
      </c>
      <c r="E49" s="79">
        <v>0</v>
      </c>
      <c r="F49" s="79">
        <v>0</v>
      </c>
      <c r="G49" s="79">
        <v>0</v>
      </c>
      <c r="H49" s="79">
        <v>197</v>
      </c>
      <c r="I49" s="57">
        <v>29664.68</v>
      </c>
      <c r="J49" s="68">
        <v>10.3</v>
      </c>
      <c r="K49" s="13"/>
    </row>
    <row r="50" spans="1:12" ht="13.5" customHeight="1">
      <c r="A50" s="60">
        <v>8</v>
      </c>
      <c r="B50" s="80">
        <v>9962.81</v>
      </c>
      <c r="C50" s="80">
        <v>0.21</v>
      </c>
      <c r="D50" s="77">
        <v>0</v>
      </c>
      <c r="E50" s="79">
        <v>0</v>
      </c>
      <c r="F50" s="79">
        <v>0</v>
      </c>
      <c r="G50" s="79">
        <v>0</v>
      </c>
      <c r="H50" s="79">
        <v>181</v>
      </c>
      <c r="I50" s="57">
        <v>30026.36</v>
      </c>
      <c r="J50" s="68">
        <v>10.4</v>
      </c>
      <c r="K50" s="13"/>
    </row>
    <row r="51" spans="1:12" ht="13.5" customHeight="1">
      <c r="A51" s="60">
        <v>9</v>
      </c>
      <c r="B51" s="80">
        <v>8948.1299999999992</v>
      </c>
      <c r="C51" s="80">
        <v>0.19</v>
      </c>
      <c r="D51" s="77">
        <v>0</v>
      </c>
      <c r="E51" s="79">
        <v>0</v>
      </c>
      <c r="F51" s="79">
        <v>0</v>
      </c>
      <c r="G51" s="79">
        <v>0</v>
      </c>
      <c r="H51" s="79">
        <v>199</v>
      </c>
      <c r="I51" s="57">
        <v>30405.1</v>
      </c>
      <c r="J51" s="68">
        <v>11.4</v>
      </c>
      <c r="K51" s="13"/>
    </row>
    <row r="52" spans="1:12" ht="13.5" customHeight="1">
      <c r="A52" s="60"/>
      <c r="B52" s="80"/>
      <c r="C52" s="80"/>
      <c r="D52" s="77"/>
      <c r="E52" s="79"/>
      <c r="F52" s="79"/>
      <c r="G52" s="79"/>
      <c r="H52" s="79"/>
      <c r="I52" s="57"/>
      <c r="J52" s="68"/>
      <c r="K52" s="13"/>
    </row>
    <row r="53" spans="1:12" ht="13.5" customHeight="1">
      <c r="A53" s="60">
        <v>10</v>
      </c>
      <c r="B53" s="80">
        <v>11351.72</v>
      </c>
      <c r="C53" s="80">
        <v>8.98</v>
      </c>
      <c r="D53" s="77">
        <v>0.08</v>
      </c>
      <c r="E53" s="79">
        <v>3</v>
      </c>
      <c r="F53" s="79">
        <v>1</v>
      </c>
      <c r="G53" s="79">
        <v>2</v>
      </c>
      <c r="H53" s="79">
        <v>168</v>
      </c>
      <c r="I53" s="57">
        <v>30692.28</v>
      </c>
      <c r="J53" s="68">
        <v>10.8</v>
      </c>
      <c r="K53" s="70"/>
      <c r="L53" s="146"/>
    </row>
    <row r="54" spans="1:12" ht="13.5" customHeight="1">
      <c r="A54" s="60">
        <v>11</v>
      </c>
      <c r="B54" s="80">
        <v>9432.18</v>
      </c>
      <c r="C54" s="80">
        <v>3.44</v>
      </c>
      <c r="D54" s="77">
        <v>0.04</v>
      </c>
      <c r="E54" s="79">
        <v>0</v>
      </c>
      <c r="F54" s="79">
        <v>0</v>
      </c>
      <c r="G54" s="79">
        <v>0</v>
      </c>
      <c r="H54" s="79">
        <v>169</v>
      </c>
      <c r="I54" s="57">
        <v>30924</v>
      </c>
      <c r="J54" s="68">
        <v>10.5</v>
      </c>
      <c r="K54" s="70"/>
      <c r="L54" s="146"/>
    </row>
    <row r="55" spans="1:12" ht="13.5" customHeight="1">
      <c r="A55" s="60">
        <v>12</v>
      </c>
      <c r="B55" s="80">
        <v>13720.48</v>
      </c>
      <c r="C55" s="80">
        <v>39</v>
      </c>
      <c r="D55" s="77">
        <v>0.28000000000000003</v>
      </c>
      <c r="E55" s="79">
        <v>0</v>
      </c>
      <c r="F55" s="79">
        <v>0</v>
      </c>
      <c r="G55" s="79">
        <v>0</v>
      </c>
      <c r="H55" s="79">
        <v>201</v>
      </c>
      <c r="I55" s="57">
        <v>30969.942225610001</v>
      </c>
      <c r="J55" s="68">
        <v>12.7</v>
      </c>
      <c r="K55" s="70"/>
      <c r="L55" s="146"/>
    </row>
    <row r="56" spans="1:12" ht="13.5" customHeight="1">
      <c r="A56" s="60"/>
      <c r="B56" s="80"/>
      <c r="C56" s="80"/>
      <c r="D56" s="77"/>
      <c r="E56" s="79"/>
      <c r="F56" s="79"/>
      <c r="G56" s="79"/>
      <c r="H56" s="79"/>
      <c r="I56" s="57"/>
      <c r="J56" s="68"/>
      <c r="K56" s="70"/>
      <c r="L56" s="146"/>
    </row>
    <row r="57" spans="1:12" ht="13.5" customHeight="1">
      <c r="A57" s="60">
        <v>2021.1</v>
      </c>
      <c r="B57" s="80">
        <v>9046.4500000000007</v>
      </c>
      <c r="C57" s="80">
        <v>3.73</v>
      </c>
      <c r="D57" s="77">
        <v>0.04</v>
      </c>
      <c r="E57" s="79">
        <v>1</v>
      </c>
      <c r="F57" s="79">
        <v>1</v>
      </c>
      <c r="G57" s="79">
        <v>0</v>
      </c>
      <c r="H57" s="79">
        <v>234</v>
      </c>
      <c r="I57" s="57">
        <v>30945.59</v>
      </c>
      <c r="J57" s="68">
        <v>12.1</v>
      </c>
      <c r="K57" s="70"/>
      <c r="L57" s="146"/>
    </row>
    <row r="58" spans="1:12" ht="13.5" customHeight="1">
      <c r="A58" s="60">
        <v>2</v>
      </c>
      <c r="B58" s="80">
        <v>9387.7000000000007</v>
      </c>
      <c r="C58" s="80">
        <v>1.66</v>
      </c>
      <c r="D58" s="77">
        <v>0.02</v>
      </c>
      <c r="E58" s="79">
        <v>0</v>
      </c>
      <c r="F58" s="79">
        <v>0</v>
      </c>
      <c r="G58" s="79">
        <v>0</v>
      </c>
      <c r="H58" s="79">
        <v>201</v>
      </c>
      <c r="I58" s="57">
        <v>31261.86</v>
      </c>
      <c r="J58" s="68">
        <v>9.6999999999999993</v>
      </c>
      <c r="K58" s="70"/>
      <c r="L58" s="146"/>
    </row>
    <row r="59" spans="1:12" ht="13.5" customHeight="1">
      <c r="A59" s="60">
        <v>3</v>
      </c>
      <c r="B59" s="80">
        <v>9697.7099999999991</v>
      </c>
      <c r="C59" s="80">
        <v>2.5</v>
      </c>
      <c r="D59" s="77">
        <v>0.03</v>
      </c>
      <c r="E59" s="79">
        <v>0</v>
      </c>
      <c r="F59" s="79">
        <v>0</v>
      </c>
      <c r="G59" s="79">
        <v>0</v>
      </c>
      <c r="H59" s="79">
        <v>214</v>
      </c>
      <c r="I59" s="57">
        <v>31845.63</v>
      </c>
      <c r="J59" s="68">
        <v>10.9</v>
      </c>
      <c r="K59" s="70"/>
      <c r="L59" s="146"/>
    </row>
    <row r="60" spans="1:12" ht="13.5" customHeight="1">
      <c r="A60" s="60"/>
      <c r="B60" s="80"/>
      <c r="C60" s="80"/>
      <c r="D60" s="77"/>
      <c r="E60" s="79"/>
      <c r="F60" s="79"/>
      <c r="G60" s="79"/>
      <c r="H60" s="79"/>
      <c r="I60" s="57"/>
      <c r="J60" s="68"/>
      <c r="K60" s="70"/>
      <c r="L60" s="146"/>
    </row>
    <row r="61" spans="1:12" ht="13.5" customHeight="1">
      <c r="A61" s="60">
        <v>4</v>
      </c>
      <c r="B61" s="80">
        <v>10203.35</v>
      </c>
      <c r="C61" s="80">
        <v>0.42</v>
      </c>
      <c r="D61" s="77">
        <v>1.2137380583346787E-3</v>
      </c>
      <c r="E61" s="79">
        <v>0</v>
      </c>
      <c r="F61" s="79">
        <v>0</v>
      </c>
      <c r="G61" s="79">
        <v>0</v>
      </c>
      <c r="H61" s="79">
        <v>225</v>
      </c>
      <c r="I61" s="57">
        <v>31903.84</v>
      </c>
      <c r="J61" s="68">
        <v>10.199999999999999</v>
      </c>
      <c r="K61" s="70"/>
      <c r="L61" s="146"/>
    </row>
    <row r="62" spans="1:12" ht="13.5" customHeight="1">
      <c r="A62" s="60">
        <v>5</v>
      </c>
      <c r="B62" s="80">
        <v>9725.17</v>
      </c>
      <c r="C62" s="80">
        <v>1.19</v>
      </c>
      <c r="D62" s="77">
        <v>0.01</v>
      </c>
      <c r="E62" s="79">
        <v>0</v>
      </c>
      <c r="F62" s="79">
        <v>0</v>
      </c>
      <c r="G62" s="79">
        <v>0</v>
      </c>
      <c r="H62" s="79">
        <v>189</v>
      </c>
      <c r="I62" s="57">
        <v>31848.49</v>
      </c>
      <c r="J62" s="68">
        <v>10.4</v>
      </c>
      <c r="K62" s="70"/>
      <c r="L62" s="146"/>
    </row>
    <row r="63" spans="1:12" ht="13.5" customHeight="1">
      <c r="A63" s="60">
        <v>6</v>
      </c>
      <c r="B63" s="80">
        <v>7488.21</v>
      </c>
      <c r="C63" s="80">
        <v>5.92</v>
      </c>
      <c r="D63" s="77">
        <v>0.08</v>
      </c>
      <c r="E63" s="79">
        <v>1</v>
      </c>
      <c r="F63" s="79">
        <v>1</v>
      </c>
      <c r="G63" s="79">
        <v>0</v>
      </c>
      <c r="H63" s="79">
        <v>216</v>
      </c>
      <c r="I63" s="57">
        <v>31801.279999999999</v>
      </c>
      <c r="J63" s="68">
        <v>9.6999999999999993</v>
      </c>
      <c r="K63" s="70"/>
      <c r="L63" s="146"/>
    </row>
    <row r="64" spans="1:12" ht="13.5" customHeight="1">
      <c r="A64" s="60"/>
      <c r="B64" s="80"/>
      <c r="C64" s="80"/>
      <c r="D64" s="77"/>
      <c r="E64" s="79"/>
      <c r="F64" s="79"/>
      <c r="G64" s="79"/>
      <c r="H64" s="79"/>
      <c r="I64" s="57"/>
      <c r="J64" s="68"/>
      <c r="K64" s="70"/>
      <c r="L64" s="146"/>
    </row>
    <row r="65" spans="1:12" ht="13.5" customHeight="1">
      <c r="A65" s="60">
        <v>7</v>
      </c>
      <c r="B65" s="80">
        <v>8239.01</v>
      </c>
      <c r="C65" s="80">
        <v>0.1</v>
      </c>
      <c r="D65" s="77">
        <v>1.2137380583346787E-3</v>
      </c>
      <c r="E65" s="79">
        <v>0</v>
      </c>
      <c r="F65" s="79">
        <v>0</v>
      </c>
      <c r="G65" s="79">
        <v>0</v>
      </c>
      <c r="H65" s="79">
        <v>209</v>
      </c>
      <c r="I65" s="57">
        <v>31882.65</v>
      </c>
      <c r="J65" s="68">
        <v>9.9</v>
      </c>
      <c r="K65" s="70"/>
      <c r="L65" s="146"/>
    </row>
    <row r="66" spans="1:12" ht="13.5" customHeight="1">
      <c r="A66" s="60">
        <v>8</v>
      </c>
      <c r="B66" s="80">
        <v>9683.75</v>
      </c>
      <c r="C66" s="80">
        <v>1.47</v>
      </c>
      <c r="D66" s="77">
        <v>0.02</v>
      </c>
      <c r="E66" s="79">
        <v>0</v>
      </c>
      <c r="F66" s="79">
        <v>0</v>
      </c>
      <c r="G66" s="79">
        <v>0</v>
      </c>
      <c r="H66" s="79">
        <v>197</v>
      </c>
      <c r="I66" s="57">
        <v>32136.573918939997</v>
      </c>
      <c r="J66" s="68">
        <v>10.5</v>
      </c>
      <c r="K66" s="70"/>
      <c r="L66" s="146"/>
    </row>
    <row r="67" spans="1:12" ht="13.5" customHeight="1">
      <c r="A67" s="60">
        <v>9</v>
      </c>
      <c r="B67" s="80">
        <v>7403.8732341300001</v>
      </c>
      <c r="C67" s="80">
        <v>0.06</v>
      </c>
      <c r="D67" s="77">
        <v>8.1038664632202288E-4</v>
      </c>
      <c r="E67" s="79">
        <v>0</v>
      </c>
      <c r="F67" s="79">
        <v>0</v>
      </c>
      <c r="G67" s="79">
        <v>0</v>
      </c>
      <c r="H67" s="79">
        <v>182</v>
      </c>
      <c r="I67" s="57">
        <v>32287</v>
      </c>
      <c r="J67" s="68">
        <v>9.64</v>
      </c>
      <c r="K67" s="70"/>
      <c r="L67" s="146"/>
    </row>
    <row r="68" spans="1:12" ht="13.5" customHeight="1">
      <c r="A68" s="60"/>
      <c r="B68" s="80"/>
      <c r="C68" s="80"/>
      <c r="D68" s="77"/>
      <c r="E68" s="79"/>
      <c r="F68" s="79"/>
      <c r="G68" s="79"/>
      <c r="H68" s="79"/>
      <c r="I68" s="57"/>
      <c r="J68" s="68"/>
      <c r="K68" s="70"/>
      <c r="L68" s="146"/>
    </row>
    <row r="69" spans="1:12" ht="13.5" customHeight="1">
      <c r="A69" s="60">
        <v>10</v>
      </c>
      <c r="B69" s="80">
        <v>6488.76</v>
      </c>
      <c r="C69" s="80">
        <v>3.94</v>
      </c>
      <c r="D69" s="77">
        <v>0.06</v>
      </c>
      <c r="E69" s="79">
        <v>0</v>
      </c>
      <c r="F69" s="79">
        <v>0</v>
      </c>
      <c r="G69" s="79">
        <v>0</v>
      </c>
      <c r="H69" s="79">
        <v>221</v>
      </c>
      <c r="I69" s="57">
        <v>32605.119999999999</v>
      </c>
      <c r="J69" s="68">
        <v>9.5</v>
      </c>
      <c r="K69" s="70"/>
      <c r="L69" s="146"/>
    </row>
    <row r="70" spans="1:12" ht="13.5" customHeight="1">
      <c r="A70" s="60">
        <v>11</v>
      </c>
      <c r="B70" s="80">
        <v>9538.9500000000007</v>
      </c>
      <c r="C70" s="80">
        <v>8.26</v>
      </c>
      <c r="D70" s="77">
        <v>0.09</v>
      </c>
      <c r="E70" s="79">
        <v>1</v>
      </c>
      <c r="F70" s="79">
        <v>0</v>
      </c>
      <c r="G70" s="79">
        <v>1</v>
      </c>
      <c r="H70" s="79">
        <v>192</v>
      </c>
      <c r="I70" s="57">
        <v>32767.73</v>
      </c>
      <c r="J70" s="68">
        <v>10.1</v>
      </c>
      <c r="K70" s="70"/>
      <c r="L70" s="146"/>
    </row>
    <row r="71" spans="1:12" ht="13.5" customHeight="1">
      <c r="A71" s="60">
        <v>12</v>
      </c>
      <c r="B71" s="80">
        <v>6310.86</v>
      </c>
      <c r="C71" s="80">
        <v>1.97</v>
      </c>
      <c r="D71" s="77">
        <v>0.03</v>
      </c>
      <c r="E71" s="79">
        <v>0</v>
      </c>
      <c r="F71" s="79">
        <v>0</v>
      </c>
      <c r="G71" s="79">
        <v>0</v>
      </c>
      <c r="H71" s="79">
        <v>198</v>
      </c>
      <c r="I71" s="57">
        <v>32814.36</v>
      </c>
      <c r="J71" s="68">
        <v>12</v>
      </c>
      <c r="K71" s="70"/>
      <c r="L71" s="146"/>
    </row>
    <row r="72" spans="1:12" ht="13.5" customHeight="1">
      <c r="A72" s="60"/>
      <c r="B72" s="80"/>
      <c r="C72" s="80"/>
      <c r="D72" s="77"/>
      <c r="E72" s="79"/>
      <c r="F72" s="79"/>
      <c r="G72" s="79"/>
      <c r="H72" s="79"/>
      <c r="I72" s="57"/>
      <c r="J72" s="68"/>
      <c r="K72" s="70"/>
      <c r="L72" s="146"/>
    </row>
    <row r="73" spans="1:12" ht="13.5" customHeight="1">
      <c r="A73" s="60">
        <v>2022.1</v>
      </c>
      <c r="B73" s="80">
        <v>7079.37</v>
      </c>
      <c r="C73" s="80">
        <v>0</v>
      </c>
      <c r="D73" s="77">
        <v>0</v>
      </c>
      <c r="E73" s="79">
        <v>0</v>
      </c>
      <c r="F73" s="79">
        <v>0</v>
      </c>
      <c r="G73" s="79">
        <v>0</v>
      </c>
      <c r="H73" s="79">
        <v>244</v>
      </c>
      <c r="I73" s="57">
        <v>32885.379999999997</v>
      </c>
      <c r="J73" s="68">
        <v>11.5</v>
      </c>
      <c r="K73" s="70"/>
      <c r="L73" s="146"/>
    </row>
    <row r="74" spans="1:12" ht="13.5" customHeight="1">
      <c r="A74" s="60">
        <v>2</v>
      </c>
      <c r="B74" s="80">
        <v>9132.7999999999993</v>
      </c>
      <c r="C74" s="80">
        <v>0.4</v>
      </c>
      <c r="D74" s="77">
        <v>0</v>
      </c>
      <c r="E74" s="79">
        <v>0</v>
      </c>
      <c r="F74" s="79">
        <v>0</v>
      </c>
      <c r="G74" s="79">
        <v>0</v>
      </c>
      <c r="H74" s="79">
        <v>199</v>
      </c>
      <c r="I74" s="57">
        <v>33144.639999999999</v>
      </c>
      <c r="J74" s="68">
        <v>9.9</v>
      </c>
      <c r="K74" s="70"/>
      <c r="L74" s="146"/>
    </row>
    <row r="75" spans="1:12" ht="13.5" customHeight="1">
      <c r="A75" s="60">
        <v>3</v>
      </c>
      <c r="B75" s="80">
        <v>7058.84</v>
      </c>
      <c r="C75" s="80">
        <v>6.47</v>
      </c>
      <c r="D75" s="77">
        <v>0.09</v>
      </c>
      <c r="E75" s="79">
        <v>0</v>
      </c>
      <c r="F75" s="79">
        <v>0</v>
      </c>
      <c r="G75" s="79">
        <v>0</v>
      </c>
      <c r="H75" s="79">
        <v>241</v>
      </c>
      <c r="I75" s="57">
        <v>33974.699999999997</v>
      </c>
      <c r="J75" s="68">
        <v>9.6</v>
      </c>
      <c r="K75" s="70"/>
      <c r="L75" s="146"/>
    </row>
    <row r="76" spans="1:12" ht="13.5" customHeight="1">
      <c r="A76" s="60"/>
      <c r="B76" s="80"/>
      <c r="C76" s="80"/>
      <c r="D76" s="77"/>
      <c r="E76" s="79"/>
      <c r="F76" s="79"/>
      <c r="G76" s="79"/>
      <c r="H76" s="79"/>
      <c r="I76" s="57"/>
      <c r="J76" s="68"/>
      <c r="K76" s="70"/>
      <c r="L76" s="146"/>
    </row>
    <row r="77" spans="1:12" ht="13.5" customHeight="1">
      <c r="A77" s="60">
        <v>4</v>
      </c>
      <c r="B77" s="80">
        <v>8684.85</v>
      </c>
      <c r="C77" s="80">
        <v>4.6500000000000004</v>
      </c>
      <c r="D77" s="77">
        <v>0.05</v>
      </c>
      <c r="E77" s="79">
        <v>0</v>
      </c>
      <c r="F77" s="79">
        <v>0</v>
      </c>
      <c r="G77" s="79">
        <v>0</v>
      </c>
      <c r="H77" s="79">
        <v>217</v>
      </c>
      <c r="I77" s="57">
        <v>34598.46</v>
      </c>
      <c r="J77" s="68">
        <v>8.6999999999999993</v>
      </c>
      <c r="K77" s="70"/>
      <c r="L77" s="146"/>
    </row>
    <row r="78" spans="1:12" ht="13.5" customHeight="1">
      <c r="A78" s="60">
        <v>5</v>
      </c>
      <c r="B78" s="80">
        <v>9016.2999999999993</v>
      </c>
      <c r="C78" s="80">
        <v>4.16</v>
      </c>
      <c r="D78" s="77">
        <v>0.05</v>
      </c>
      <c r="E78" s="79">
        <v>1</v>
      </c>
      <c r="F78" s="79">
        <v>1</v>
      </c>
      <c r="G78" s="79">
        <v>0</v>
      </c>
      <c r="H78" s="79">
        <v>231</v>
      </c>
      <c r="I78" s="57">
        <v>35034.089999999997</v>
      </c>
      <c r="J78" s="68">
        <v>10.1</v>
      </c>
      <c r="K78" s="70"/>
      <c r="L78" s="146"/>
    </row>
    <row r="79" spans="1:12" ht="13.5" customHeight="1">
      <c r="A79" s="60">
        <v>6</v>
      </c>
      <c r="B79" s="80">
        <v>4840.2</v>
      </c>
      <c r="C79" s="80">
        <v>0.03</v>
      </c>
      <c r="D79" s="77">
        <v>0</v>
      </c>
      <c r="E79" s="79">
        <v>0</v>
      </c>
      <c r="F79" s="79">
        <v>0</v>
      </c>
      <c r="G79" s="79">
        <v>0</v>
      </c>
      <c r="H79" s="79">
        <v>184</v>
      </c>
      <c r="I79" s="57">
        <v>35036</v>
      </c>
      <c r="J79" s="68">
        <v>9.3000000000000007</v>
      </c>
      <c r="K79" s="70"/>
      <c r="L79" s="146"/>
    </row>
    <row r="80" spans="1:12" ht="13.5" customHeight="1">
      <c r="A80" s="60"/>
      <c r="B80" s="80"/>
      <c r="C80" s="80"/>
      <c r="D80" s="77"/>
      <c r="E80" s="79"/>
      <c r="F80" s="79"/>
      <c r="G80" s="79"/>
      <c r="H80" s="79"/>
      <c r="I80" s="57"/>
      <c r="J80" s="68"/>
      <c r="K80" s="70"/>
      <c r="L80" s="146"/>
    </row>
    <row r="81" spans="1:12" ht="13.5" customHeight="1">
      <c r="A81" s="194" t="s">
        <v>206</v>
      </c>
      <c r="B81" s="80">
        <v>8544.66</v>
      </c>
      <c r="C81" s="80">
        <v>0</v>
      </c>
      <c r="D81" s="77">
        <v>0</v>
      </c>
      <c r="E81" s="79">
        <v>0</v>
      </c>
      <c r="F81" s="79">
        <v>0</v>
      </c>
      <c r="G81" s="79">
        <v>0</v>
      </c>
      <c r="H81" s="79">
        <v>185</v>
      </c>
      <c r="I81" s="57">
        <v>35335.550000000003</v>
      </c>
      <c r="J81" s="68">
        <v>9.8000000000000007</v>
      </c>
      <c r="K81" s="70"/>
      <c r="L81" s="146"/>
    </row>
    <row r="82" spans="1:12" ht="13.5" customHeight="1">
      <c r="A82" s="194" t="s">
        <v>207</v>
      </c>
      <c r="B82" s="80">
        <v>8554.98</v>
      </c>
      <c r="C82" s="80">
        <v>0</v>
      </c>
      <c r="D82" s="77">
        <v>0</v>
      </c>
      <c r="E82" s="79">
        <v>0</v>
      </c>
      <c r="F82" s="79">
        <v>0</v>
      </c>
      <c r="G82" s="79">
        <v>0</v>
      </c>
      <c r="H82" s="79">
        <v>188</v>
      </c>
      <c r="I82" s="57">
        <v>35566.199999999997</v>
      </c>
      <c r="J82" s="68">
        <v>10.9</v>
      </c>
      <c r="K82" s="70"/>
      <c r="L82" s="146"/>
    </row>
    <row r="83" spans="1:12" ht="13.5" customHeight="1">
      <c r="A83" s="194" t="s">
        <v>208</v>
      </c>
      <c r="B83" s="80">
        <v>4614.53</v>
      </c>
      <c r="C83" s="80">
        <v>0</v>
      </c>
      <c r="D83" s="77">
        <v>0</v>
      </c>
      <c r="E83" s="79">
        <v>0</v>
      </c>
      <c r="F83" s="79">
        <v>0</v>
      </c>
      <c r="G83" s="79">
        <v>0</v>
      </c>
      <c r="H83" s="79">
        <v>167</v>
      </c>
      <c r="I83" s="57">
        <v>35682.94</v>
      </c>
      <c r="J83" s="68">
        <v>10</v>
      </c>
      <c r="K83" s="70"/>
      <c r="L83" s="146"/>
    </row>
    <row r="84" spans="1:12" ht="13.5" customHeight="1">
      <c r="A84" s="194"/>
      <c r="B84" s="80"/>
      <c r="C84" s="80"/>
      <c r="D84" s="77"/>
      <c r="E84" s="79"/>
      <c r="F84" s="79"/>
      <c r="G84" s="79"/>
      <c r="H84" s="79"/>
      <c r="I84" s="57"/>
      <c r="J84" s="68"/>
      <c r="K84" s="70"/>
      <c r="L84" s="146"/>
    </row>
    <row r="85" spans="1:12" ht="13.5" customHeight="1">
      <c r="A85" s="194" t="s">
        <v>209</v>
      </c>
      <c r="B85" s="80">
        <v>12138.03</v>
      </c>
      <c r="C85" s="80">
        <v>0</v>
      </c>
      <c r="D85" s="77">
        <v>0</v>
      </c>
      <c r="E85" s="79">
        <v>0</v>
      </c>
      <c r="F85" s="79">
        <v>0</v>
      </c>
      <c r="G85" s="79">
        <v>0</v>
      </c>
      <c r="H85" s="79">
        <v>196</v>
      </c>
      <c r="I85" s="57">
        <v>35771.89</v>
      </c>
      <c r="J85" s="68">
        <v>10.4</v>
      </c>
      <c r="K85" s="70"/>
      <c r="L85" s="146"/>
    </row>
    <row r="86" spans="1:12" ht="13.5" customHeight="1">
      <c r="A86" s="194" t="s">
        <v>212</v>
      </c>
      <c r="B86" s="80">
        <v>15126.61</v>
      </c>
      <c r="C86" s="80">
        <v>8.93</v>
      </c>
      <c r="D86" s="77">
        <v>0.03</v>
      </c>
      <c r="E86" s="79">
        <v>0</v>
      </c>
      <c r="F86" s="79">
        <v>0</v>
      </c>
      <c r="G86" s="79">
        <v>0</v>
      </c>
      <c r="H86" s="79">
        <v>203</v>
      </c>
      <c r="I86" s="57">
        <v>35671.72</v>
      </c>
      <c r="J86" s="68">
        <v>12</v>
      </c>
      <c r="K86" s="70"/>
      <c r="L86" s="146"/>
    </row>
    <row r="87" spans="1:12" ht="13.5" customHeight="1">
      <c r="A87" s="194" t="s">
        <v>213</v>
      </c>
      <c r="B87" s="80">
        <v>8302.5499999999993</v>
      </c>
      <c r="C87" s="80">
        <v>0.5</v>
      </c>
      <c r="D87" s="77">
        <v>0.01</v>
      </c>
      <c r="E87" s="79">
        <v>1</v>
      </c>
      <c r="F87" s="79">
        <v>1</v>
      </c>
      <c r="G87" s="79">
        <v>0</v>
      </c>
      <c r="H87" s="79">
        <v>183</v>
      </c>
      <c r="I87" s="57">
        <v>35583.839999999997</v>
      </c>
      <c r="J87" s="68">
        <v>13.7</v>
      </c>
      <c r="K87" s="70"/>
      <c r="L87" s="146"/>
    </row>
    <row r="88" spans="1:12" ht="13.5" customHeight="1">
      <c r="A88" s="194"/>
      <c r="B88" s="80"/>
      <c r="C88" s="80"/>
      <c r="D88" s="77"/>
      <c r="E88" s="79"/>
      <c r="F88" s="79"/>
      <c r="G88" s="79"/>
      <c r="H88" s="79"/>
      <c r="I88" s="57"/>
      <c r="J88" s="68"/>
      <c r="K88" s="70"/>
      <c r="L88" s="146"/>
    </row>
    <row r="89" spans="1:12" ht="13.5" customHeight="1">
      <c r="A89" s="194" t="s">
        <v>214</v>
      </c>
      <c r="B89" s="80">
        <v>10022.700000000001</v>
      </c>
      <c r="C89" s="80">
        <v>0.93</v>
      </c>
      <c r="D89" s="77">
        <v>0.01</v>
      </c>
      <c r="E89" s="79">
        <v>0</v>
      </c>
      <c r="F89" s="79">
        <v>0</v>
      </c>
      <c r="G89" s="79">
        <v>0</v>
      </c>
      <c r="H89" s="79">
        <v>212</v>
      </c>
      <c r="I89" s="57">
        <v>35329.71</v>
      </c>
      <c r="J89" s="68">
        <v>12.4</v>
      </c>
      <c r="K89" s="70"/>
      <c r="L89" s="146"/>
    </row>
    <row r="90" spans="1:12" ht="13.5" customHeight="1">
      <c r="A90" s="194" t="s">
        <v>215</v>
      </c>
      <c r="B90" s="80">
        <v>11522.08</v>
      </c>
      <c r="C90" s="80">
        <v>3.93</v>
      </c>
      <c r="D90" s="77">
        <v>0.03</v>
      </c>
      <c r="E90" s="79">
        <v>1</v>
      </c>
      <c r="F90" s="79">
        <v>0</v>
      </c>
      <c r="G90" s="79">
        <v>1</v>
      </c>
      <c r="H90" s="79">
        <v>190</v>
      </c>
      <c r="I90" s="57">
        <v>35651.129999999997</v>
      </c>
      <c r="J90" s="68">
        <v>11</v>
      </c>
      <c r="K90" s="70"/>
      <c r="L90" s="146"/>
    </row>
    <row r="91" spans="1:12" ht="13.5" customHeight="1">
      <c r="A91" s="194" t="s">
        <v>217</v>
      </c>
      <c r="B91" s="80">
        <v>8417.57</v>
      </c>
      <c r="C91" s="80">
        <v>15.71</v>
      </c>
      <c r="D91" s="77">
        <v>0.19</v>
      </c>
      <c r="E91" s="79">
        <v>0</v>
      </c>
      <c r="F91" s="79">
        <v>0</v>
      </c>
      <c r="G91" s="79">
        <v>0</v>
      </c>
      <c r="H91" s="79">
        <v>183</v>
      </c>
      <c r="I91" s="57">
        <v>36046.959999999999</v>
      </c>
      <c r="J91" s="68">
        <v>10.5</v>
      </c>
      <c r="K91" s="70"/>
      <c r="L91" s="146"/>
    </row>
    <row r="92" spans="1:12" ht="13.5" customHeight="1">
      <c r="A92" s="194"/>
      <c r="B92" s="80"/>
      <c r="C92" s="80"/>
      <c r="D92" s="77"/>
      <c r="E92" s="79"/>
      <c r="F92" s="79"/>
      <c r="G92" s="79"/>
      <c r="H92" s="79"/>
      <c r="I92" s="57"/>
      <c r="J92" s="68"/>
      <c r="K92" s="70"/>
      <c r="L92" s="146"/>
    </row>
    <row r="93" spans="1:12" ht="13.5" customHeight="1">
      <c r="A93" s="194" t="s">
        <v>218</v>
      </c>
      <c r="B93" s="80">
        <v>8890.42</v>
      </c>
      <c r="C93" s="80">
        <v>0.05</v>
      </c>
      <c r="D93" s="77">
        <v>0</v>
      </c>
      <c r="E93" s="79">
        <v>0</v>
      </c>
      <c r="F93" s="79">
        <v>0</v>
      </c>
      <c r="G93" s="79">
        <v>0</v>
      </c>
      <c r="H93" s="79">
        <v>145</v>
      </c>
      <c r="I93" s="57">
        <v>36265.129999999997</v>
      </c>
      <c r="J93" s="68">
        <v>9.6999999999999993</v>
      </c>
      <c r="K93" s="70"/>
      <c r="L93" s="146"/>
    </row>
    <row r="94" spans="1:12" ht="13.5" customHeight="1">
      <c r="A94" s="194" t="s">
        <v>220</v>
      </c>
      <c r="B94" s="80">
        <v>9221.0400000000009</v>
      </c>
      <c r="C94" s="80">
        <v>1</v>
      </c>
      <c r="D94" s="77">
        <v>0.01</v>
      </c>
      <c r="E94" s="79">
        <v>1</v>
      </c>
      <c r="F94" s="79">
        <v>1</v>
      </c>
      <c r="G94" s="79">
        <v>0</v>
      </c>
      <c r="H94" s="79">
        <v>159</v>
      </c>
      <c r="I94" s="57">
        <v>36363.519999999997</v>
      </c>
      <c r="J94" s="68">
        <v>12.6</v>
      </c>
      <c r="K94" s="70"/>
      <c r="L94" s="146"/>
    </row>
    <row r="95" spans="1:12" ht="13.5" customHeight="1">
      <c r="A95" s="194" t="s">
        <v>221</v>
      </c>
      <c r="B95" s="80">
        <v>6671.59</v>
      </c>
      <c r="C95" s="80">
        <v>28.74</v>
      </c>
      <c r="D95" s="77">
        <v>0.43</v>
      </c>
      <c r="E95" s="79">
        <v>2</v>
      </c>
      <c r="F95" s="79">
        <v>2</v>
      </c>
      <c r="G95" s="79">
        <v>0</v>
      </c>
      <c r="H95" s="79">
        <v>187</v>
      </c>
      <c r="I95" s="57">
        <v>36371.57</v>
      </c>
      <c r="J95" s="68">
        <v>11.1</v>
      </c>
      <c r="K95" s="70"/>
      <c r="L95" s="146"/>
    </row>
    <row r="96" spans="1:12" ht="13.5" customHeight="1">
      <c r="A96" s="194"/>
      <c r="B96" s="80"/>
      <c r="C96" s="80"/>
      <c r="D96" s="77"/>
      <c r="E96" s="79"/>
      <c r="F96" s="79"/>
      <c r="G96" s="79"/>
      <c r="H96" s="79"/>
      <c r="I96" s="57"/>
      <c r="J96" s="68"/>
      <c r="K96" s="70"/>
      <c r="L96" s="146"/>
    </row>
    <row r="97" spans="1:12" ht="13.5" customHeight="1">
      <c r="A97" s="194" t="s">
        <v>222</v>
      </c>
      <c r="B97" s="80">
        <v>10022.48</v>
      </c>
      <c r="C97" s="80">
        <v>156.4</v>
      </c>
      <c r="D97" s="77">
        <v>1.56</v>
      </c>
      <c r="E97" s="79">
        <v>2</v>
      </c>
      <c r="F97" s="79">
        <v>1</v>
      </c>
      <c r="G97" s="79">
        <v>1</v>
      </c>
      <c r="H97" s="79">
        <v>183</v>
      </c>
      <c r="I97" s="57">
        <v>36709.69</v>
      </c>
      <c r="J97" s="68">
        <v>9.9</v>
      </c>
      <c r="K97" s="70"/>
      <c r="L97" s="146"/>
    </row>
    <row r="98" spans="1:12" ht="13.5" customHeight="1">
      <c r="A98" s="194" t="s">
        <v>224</v>
      </c>
      <c r="B98" s="80">
        <v>8510.69</v>
      </c>
      <c r="C98" s="80">
        <v>1.36</v>
      </c>
      <c r="D98" s="77">
        <v>0.02</v>
      </c>
      <c r="E98" s="79">
        <v>0</v>
      </c>
      <c r="F98" s="79">
        <v>0</v>
      </c>
      <c r="G98" s="79">
        <v>0</v>
      </c>
      <c r="H98" s="79">
        <v>146</v>
      </c>
      <c r="I98" s="57">
        <v>36521</v>
      </c>
      <c r="J98" s="68">
        <v>10.7</v>
      </c>
      <c r="K98" s="70"/>
      <c r="L98" s="146"/>
    </row>
    <row r="99" spans="1:12" ht="13.5" customHeight="1">
      <c r="A99" s="194" t="s">
        <v>225</v>
      </c>
      <c r="B99" s="80">
        <v>6299.88</v>
      </c>
      <c r="C99" s="80">
        <v>15.42</v>
      </c>
      <c r="D99" s="77">
        <v>0.24</v>
      </c>
      <c r="E99" s="79">
        <v>0</v>
      </c>
      <c r="F99" s="79">
        <v>0</v>
      </c>
      <c r="G99" s="79">
        <v>0</v>
      </c>
      <c r="H99" s="79">
        <v>147</v>
      </c>
      <c r="I99" s="57">
        <v>36686.26</v>
      </c>
      <c r="J99" s="68">
        <v>11.3</v>
      </c>
      <c r="K99" s="70"/>
      <c r="L99" s="146"/>
    </row>
    <row r="100" spans="1:12" ht="13.5" customHeight="1">
      <c r="A100" s="194"/>
      <c r="B100" s="80"/>
      <c r="C100" s="80"/>
      <c r="D100" s="77"/>
      <c r="E100" s="79"/>
      <c r="F100" s="79"/>
      <c r="G100" s="79"/>
      <c r="H100" s="79"/>
      <c r="I100" s="57"/>
      <c r="J100" s="68"/>
      <c r="K100" s="70"/>
      <c r="L100" s="146"/>
    </row>
    <row r="101" spans="1:12" ht="13.5" customHeight="1">
      <c r="A101" s="194" t="s">
        <v>209</v>
      </c>
      <c r="B101" s="80">
        <v>11008.81</v>
      </c>
      <c r="C101" s="80">
        <v>0.12</v>
      </c>
      <c r="D101" s="77">
        <v>0</v>
      </c>
      <c r="E101" s="79">
        <v>0</v>
      </c>
      <c r="F101" s="79">
        <v>0</v>
      </c>
      <c r="G101" s="79">
        <v>0</v>
      </c>
      <c r="H101" s="79">
        <v>165</v>
      </c>
      <c r="I101" s="57">
        <v>36710</v>
      </c>
      <c r="J101" s="68">
        <v>12.3</v>
      </c>
      <c r="K101" s="70"/>
      <c r="L101" s="146"/>
    </row>
    <row r="102" spans="1:12" ht="13.5" customHeight="1">
      <c r="A102" s="194" t="s">
        <v>227</v>
      </c>
      <c r="B102" s="80">
        <v>10452.06</v>
      </c>
      <c r="C102" s="80">
        <v>6.94</v>
      </c>
      <c r="D102" s="77">
        <v>7.0000000000000007E-2</v>
      </c>
      <c r="E102" s="79">
        <v>0</v>
      </c>
      <c r="F102" s="79">
        <v>0</v>
      </c>
      <c r="G102" s="79">
        <v>0</v>
      </c>
      <c r="H102" s="79">
        <v>180</v>
      </c>
      <c r="I102" s="57">
        <v>36798.89</v>
      </c>
      <c r="J102" s="68">
        <v>12.9</v>
      </c>
      <c r="K102" s="70"/>
      <c r="L102" s="146"/>
    </row>
    <row r="103" spans="1:12" ht="13.5" customHeight="1">
      <c r="A103" s="194" t="s">
        <v>228</v>
      </c>
      <c r="B103" s="80">
        <v>7946.26</v>
      </c>
      <c r="C103" s="80">
        <v>0.09</v>
      </c>
      <c r="D103" s="77">
        <v>0</v>
      </c>
      <c r="E103" s="79">
        <v>0</v>
      </c>
      <c r="F103" s="79">
        <v>0</v>
      </c>
      <c r="G103" s="79">
        <v>0</v>
      </c>
      <c r="H103" s="79">
        <v>188</v>
      </c>
      <c r="I103" s="57">
        <v>36767.51</v>
      </c>
      <c r="J103" s="68">
        <v>13.5</v>
      </c>
      <c r="K103" s="70"/>
      <c r="L103" s="146"/>
    </row>
    <row r="104" spans="1:12" ht="13.5" customHeight="1">
      <c r="A104" s="240"/>
      <c r="B104" s="80"/>
      <c r="C104" s="80"/>
      <c r="D104" s="77"/>
      <c r="E104" s="79"/>
      <c r="F104" s="79"/>
      <c r="G104" s="79"/>
      <c r="H104" s="79"/>
      <c r="I104" s="57"/>
      <c r="J104" s="68"/>
      <c r="K104" s="70"/>
      <c r="L104" s="146"/>
    </row>
    <row r="105" spans="1:12" ht="13.5" customHeight="1">
      <c r="A105" s="194" t="s">
        <v>229</v>
      </c>
      <c r="B105" s="80">
        <v>13048.54</v>
      </c>
      <c r="C105" s="80">
        <v>2.77</v>
      </c>
      <c r="D105" s="77">
        <v>0.02</v>
      </c>
      <c r="E105" s="79">
        <v>7.0000000000000007E-2</v>
      </c>
      <c r="F105" s="79">
        <v>0</v>
      </c>
      <c r="G105" s="79">
        <v>0</v>
      </c>
      <c r="H105" s="79">
        <v>213</v>
      </c>
      <c r="I105" s="57">
        <v>36430</v>
      </c>
      <c r="J105" s="68">
        <v>12.7</v>
      </c>
      <c r="K105" s="70"/>
      <c r="L105" s="146"/>
    </row>
    <row r="106" spans="1:12" ht="13.5" customHeight="1">
      <c r="A106" s="194" t="s">
        <v>230</v>
      </c>
      <c r="B106" s="80">
        <v>12815.53</v>
      </c>
      <c r="C106" s="80">
        <v>0.03</v>
      </c>
      <c r="D106" s="77">
        <v>0</v>
      </c>
      <c r="E106" s="79">
        <v>0.06</v>
      </c>
      <c r="F106" s="79">
        <v>0</v>
      </c>
      <c r="G106" s="79">
        <v>0</v>
      </c>
      <c r="H106" s="79">
        <v>142</v>
      </c>
      <c r="I106" s="57">
        <v>36339.360000000001</v>
      </c>
      <c r="J106" s="68">
        <v>11.6</v>
      </c>
      <c r="K106" s="70"/>
      <c r="L106" s="146"/>
    </row>
    <row r="107" spans="1:12" ht="13.5" customHeight="1">
      <c r="A107" s="194" t="s">
        <v>233</v>
      </c>
      <c r="B107" s="80">
        <v>7473.06</v>
      </c>
      <c r="C107" s="80">
        <v>4.41</v>
      </c>
      <c r="D107" s="77">
        <v>0.06</v>
      </c>
      <c r="E107" s="79">
        <v>0.06</v>
      </c>
      <c r="F107" s="79">
        <v>0</v>
      </c>
      <c r="G107" s="79">
        <v>0</v>
      </c>
      <c r="H107" s="79">
        <v>189</v>
      </c>
      <c r="I107" s="57">
        <v>36890.199999999997</v>
      </c>
      <c r="J107" s="68">
        <v>10.1</v>
      </c>
      <c r="K107" s="70"/>
      <c r="L107" s="146"/>
    </row>
    <row r="108" spans="1:12" ht="13.5" customHeight="1">
      <c r="A108" s="194"/>
      <c r="B108" s="80"/>
      <c r="C108" s="80"/>
      <c r="D108" s="77"/>
      <c r="E108" s="79"/>
      <c r="F108" s="79"/>
      <c r="G108" s="79"/>
      <c r="H108" s="79"/>
      <c r="I108" s="57"/>
      <c r="J108" s="68"/>
      <c r="K108" s="70"/>
      <c r="L108" s="146"/>
    </row>
    <row r="109" spans="1:12" ht="13.5" customHeight="1">
      <c r="A109" s="194" t="s">
        <v>234</v>
      </c>
      <c r="B109" s="80">
        <v>11318.383188709999</v>
      </c>
      <c r="C109" s="80">
        <v>21.42014</v>
      </c>
      <c r="D109" s="77">
        <v>0.1892508818871447</v>
      </c>
      <c r="E109" s="79">
        <v>1</v>
      </c>
      <c r="F109" s="79">
        <v>1</v>
      </c>
      <c r="G109" s="79">
        <v>0</v>
      </c>
      <c r="H109" s="79">
        <v>137</v>
      </c>
      <c r="I109" s="57">
        <v>36939.360000000001</v>
      </c>
      <c r="J109" s="68">
        <v>8.1999999999999993</v>
      </c>
      <c r="K109" s="70"/>
      <c r="L109" s="146"/>
    </row>
    <row r="110" spans="1:12" ht="13.5" customHeight="1">
      <c r="A110" s="194" t="s">
        <v>235</v>
      </c>
      <c r="B110" s="80">
        <v>11385.69</v>
      </c>
      <c r="C110" s="80">
        <v>51.82</v>
      </c>
      <c r="D110" s="77">
        <v>0.46</v>
      </c>
      <c r="E110" s="79">
        <v>0</v>
      </c>
      <c r="F110" s="79">
        <v>0</v>
      </c>
      <c r="G110" s="79">
        <v>0</v>
      </c>
      <c r="H110" s="79">
        <v>144</v>
      </c>
      <c r="I110" s="57">
        <v>37058.26</v>
      </c>
      <c r="J110" s="68">
        <v>9.6</v>
      </c>
      <c r="K110" s="70"/>
      <c r="L110" s="146"/>
    </row>
    <row r="111" spans="1:12" ht="13.5" customHeight="1">
      <c r="A111" s="194" t="s">
        <v>237</v>
      </c>
      <c r="B111" s="80">
        <v>6904.65</v>
      </c>
      <c r="C111" s="80">
        <v>23.29</v>
      </c>
      <c r="D111" s="77">
        <v>0.34</v>
      </c>
      <c r="E111" s="79">
        <v>0</v>
      </c>
      <c r="F111" s="79">
        <v>0</v>
      </c>
      <c r="G111" s="79">
        <v>0</v>
      </c>
      <c r="H111" s="79">
        <v>138</v>
      </c>
      <c r="I111" s="57">
        <v>36951</v>
      </c>
      <c r="J111" s="68">
        <v>8.5</v>
      </c>
      <c r="K111" s="70"/>
      <c r="L111" s="146"/>
    </row>
    <row r="112" spans="1:12" ht="13.5" customHeight="1">
      <c r="A112" s="194"/>
      <c r="B112" s="80"/>
      <c r="C112" s="80"/>
      <c r="D112" s="77"/>
      <c r="E112" s="79"/>
      <c r="F112" s="79"/>
      <c r="G112" s="79"/>
      <c r="H112" s="79"/>
      <c r="I112" s="57"/>
      <c r="J112" s="68"/>
      <c r="K112" s="70"/>
      <c r="L112" s="146"/>
    </row>
    <row r="113" spans="1:12" ht="13.5" customHeight="1">
      <c r="A113" s="194" t="s">
        <v>206</v>
      </c>
      <c r="B113" s="80">
        <v>12032.69</v>
      </c>
      <c r="C113" s="80">
        <v>13.96</v>
      </c>
      <c r="D113" s="77">
        <v>0.12</v>
      </c>
      <c r="E113" s="79">
        <v>1</v>
      </c>
      <c r="F113" s="79">
        <v>1</v>
      </c>
      <c r="G113" s="79">
        <v>0</v>
      </c>
      <c r="H113" s="79">
        <v>181</v>
      </c>
      <c r="I113" s="57">
        <v>36998.949999999997</v>
      </c>
      <c r="J113" s="68">
        <v>8.4</v>
      </c>
      <c r="K113" s="70"/>
      <c r="L113" s="146"/>
    </row>
    <row r="114" spans="1:12" ht="13.5" customHeight="1">
      <c r="A114" s="194" t="s">
        <v>239</v>
      </c>
      <c r="B114" s="80">
        <v>9408.68</v>
      </c>
      <c r="C114" s="80">
        <v>0.21</v>
      </c>
      <c r="D114" s="77">
        <v>0</v>
      </c>
      <c r="E114" s="79">
        <v>0.16</v>
      </c>
      <c r="F114" s="79">
        <v>0</v>
      </c>
      <c r="G114" s="79">
        <v>0</v>
      </c>
      <c r="H114" s="79">
        <v>182</v>
      </c>
      <c r="I114" s="57">
        <v>37196.26</v>
      </c>
      <c r="J114" s="68">
        <v>9.3000000000000007</v>
      </c>
      <c r="K114" s="70"/>
      <c r="L114" s="146"/>
    </row>
    <row r="115" spans="1:12" ht="13.5" customHeight="1">
      <c r="A115" s="194" t="s">
        <v>242</v>
      </c>
      <c r="B115" s="80">
        <v>6503.44</v>
      </c>
      <c r="C115" s="80">
        <v>197.1</v>
      </c>
      <c r="D115" s="77">
        <v>3.03</v>
      </c>
      <c r="E115" s="79">
        <v>0.16</v>
      </c>
      <c r="F115" s="79">
        <v>0</v>
      </c>
      <c r="G115" s="79">
        <v>0</v>
      </c>
      <c r="H115" s="79">
        <v>141</v>
      </c>
      <c r="I115" s="57">
        <v>37164.826000000001</v>
      </c>
      <c r="J115" s="68">
        <v>9.9</v>
      </c>
      <c r="K115" s="70"/>
      <c r="L115" s="146"/>
    </row>
    <row r="116" spans="1:12" ht="13.5" customHeight="1">
      <c r="A116" s="194"/>
      <c r="B116" s="80"/>
      <c r="C116" s="80"/>
      <c r="D116" s="77"/>
      <c r="E116" s="79"/>
      <c r="F116" s="79"/>
      <c r="G116" s="79"/>
      <c r="H116" s="79"/>
      <c r="I116" s="57"/>
      <c r="J116" s="68"/>
      <c r="K116" s="70"/>
      <c r="L116" s="146"/>
    </row>
    <row r="117" spans="1:12" ht="13.5" customHeight="1">
      <c r="A117" s="194" t="s">
        <v>244</v>
      </c>
      <c r="B117" s="80">
        <v>9171.99</v>
      </c>
      <c r="C117" s="80">
        <v>0.42</v>
      </c>
      <c r="D117" s="77">
        <v>0</v>
      </c>
      <c r="E117" s="79">
        <v>0.16</v>
      </c>
      <c r="F117" s="79">
        <v>0</v>
      </c>
      <c r="G117" s="79">
        <v>0</v>
      </c>
      <c r="H117" s="79">
        <v>141</v>
      </c>
      <c r="I117" s="57">
        <v>37031.81</v>
      </c>
      <c r="J117" s="68">
        <v>9.9</v>
      </c>
      <c r="K117" s="70"/>
      <c r="L117" s="146"/>
    </row>
    <row r="118" spans="1:12" ht="13.5" customHeight="1">
      <c r="A118" s="194" t="s">
        <v>246</v>
      </c>
      <c r="B118" s="80">
        <v>8862.27</v>
      </c>
      <c r="C118" s="80">
        <v>3.87</v>
      </c>
      <c r="D118" s="77">
        <v>0.04</v>
      </c>
      <c r="E118" s="79">
        <v>1</v>
      </c>
      <c r="F118" s="79">
        <v>1</v>
      </c>
      <c r="G118" s="79">
        <v>0</v>
      </c>
      <c r="H118" s="79">
        <v>172</v>
      </c>
      <c r="I118" s="57">
        <v>37126.620000000003</v>
      </c>
      <c r="J118" s="68">
        <v>10.8</v>
      </c>
      <c r="K118" s="70"/>
      <c r="L118" s="146"/>
    </row>
    <row r="119" spans="1:12" ht="13.5" customHeight="1">
      <c r="A119" s="194" t="s">
        <v>248</v>
      </c>
      <c r="B119" s="80">
        <v>7936.66</v>
      </c>
      <c r="C119" s="80">
        <v>7.32</v>
      </c>
      <c r="D119" s="77">
        <v>0.09</v>
      </c>
      <c r="E119" s="79">
        <v>0.34</v>
      </c>
      <c r="F119" s="79">
        <v>0</v>
      </c>
      <c r="G119" s="79">
        <v>0</v>
      </c>
      <c r="H119" s="79">
        <v>174</v>
      </c>
      <c r="I119" s="57">
        <v>36999.379999999997</v>
      </c>
      <c r="J119" s="68">
        <v>13.2</v>
      </c>
      <c r="K119" s="70"/>
      <c r="L119" s="146"/>
    </row>
    <row r="120" spans="1:12" ht="13.5" customHeight="1">
      <c r="A120" s="194"/>
      <c r="B120" s="80"/>
      <c r="C120" s="80"/>
      <c r="D120" s="77"/>
      <c r="E120" s="79"/>
      <c r="F120" s="79"/>
      <c r="G120" s="79"/>
      <c r="H120" s="79"/>
      <c r="I120" s="57"/>
      <c r="J120" s="68"/>
      <c r="K120" s="70"/>
      <c r="L120" s="146"/>
    </row>
    <row r="121" spans="1:12" ht="13.5" customHeight="1">
      <c r="A121" s="194" t="s">
        <v>250</v>
      </c>
      <c r="B121" s="80">
        <v>10407.61</v>
      </c>
      <c r="C121" s="80">
        <v>115.39</v>
      </c>
      <c r="D121" s="77">
        <v>1.1100000000000001</v>
      </c>
      <c r="E121" s="79">
        <v>0.34</v>
      </c>
      <c r="F121" s="79">
        <v>0</v>
      </c>
      <c r="G121" s="79">
        <v>0</v>
      </c>
      <c r="H121" s="79">
        <v>166</v>
      </c>
      <c r="I121" s="57">
        <v>36667.56</v>
      </c>
      <c r="J121" s="68">
        <v>12</v>
      </c>
      <c r="K121" s="70"/>
      <c r="L121" s="146"/>
    </row>
    <row r="122" spans="1:12" ht="13.5" customHeight="1">
      <c r="A122" s="194" t="s">
        <v>251</v>
      </c>
      <c r="B122" s="80">
        <v>8849.49</v>
      </c>
      <c r="C122" s="80">
        <v>2.85</v>
      </c>
      <c r="D122" s="77">
        <v>0.03</v>
      </c>
      <c r="E122" s="79">
        <v>1</v>
      </c>
      <c r="F122" s="79">
        <v>1</v>
      </c>
      <c r="G122" s="79">
        <v>0</v>
      </c>
      <c r="H122" s="79">
        <v>189</v>
      </c>
      <c r="I122" s="57">
        <v>36869.94</v>
      </c>
      <c r="J122" s="68">
        <v>11.3</v>
      </c>
      <c r="K122" s="70"/>
      <c r="L122" s="146"/>
    </row>
    <row r="123" spans="1:12" ht="13.5" customHeight="1">
      <c r="A123" s="194" t="s">
        <v>252</v>
      </c>
      <c r="B123" s="80">
        <v>7081.98</v>
      </c>
      <c r="C123" s="80">
        <v>32.549999999999997</v>
      </c>
      <c r="D123" s="77">
        <v>0.46</v>
      </c>
      <c r="E123" s="79">
        <v>0</v>
      </c>
      <c r="F123" s="79">
        <v>0</v>
      </c>
      <c r="G123" s="79">
        <v>0</v>
      </c>
      <c r="H123" s="79">
        <v>153</v>
      </c>
      <c r="I123" s="57">
        <v>37160.550000000003</v>
      </c>
      <c r="J123" s="68">
        <v>9.9</v>
      </c>
      <c r="K123" s="70"/>
      <c r="L123" s="146"/>
    </row>
    <row r="124" spans="1:12" ht="13.5" customHeight="1">
      <c r="A124" s="194"/>
      <c r="B124" s="80"/>
      <c r="C124" s="80"/>
      <c r="D124" s="77"/>
      <c r="E124" s="79"/>
      <c r="F124" s="79"/>
      <c r="G124" s="79"/>
      <c r="H124" s="79"/>
      <c r="I124" s="57"/>
      <c r="J124" s="68"/>
      <c r="K124" s="70"/>
      <c r="L124" s="146"/>
    </row>
    <row r="125" spans="1:12" ht="13.5" customHeight="1">
      <c r="A125" s="194" t="s">
        <v>253</v>
      </c>
      <c r="B125" s="80">
        <v>10792.66</v>
      </c>
      <c r="C125" s="80">
        <v>8.15</v>
      </c>
      <c r="D125" s="77">
        <v>0.08</v>
      </c>
      <c r="E125" s="79">
        <v>0</v>
      </c>
      <c r="F125" s="79">
        <v>0</v>
      </c>
      <c r="G125" s="79">
        <v>0</v>
      </c>
      <c r="H125" s="79">
        <v>172</v>
      </c>
      <c r="I125" s="57">
        <v>37627.06</v>
      </c>
      <c r="J125" s="68">
        <v>8.6999999999999993</v>
      </c>
      <c r="K125" s="70"/>
      <c r="L125" s="146"/>
    </row>
    <row r="126" spans="1:12" ht="13.5" customHeight="1">
      <c r="A126" s="194" t="s">
        <v>255</v>
      </c>
      <c r="B126" s="80">
        <v>10338.07</v>
      </c>
      <c r="C126" s="80">
        <v>24.84</v>
      </c>
      <c r="D126" s="77">
        <v>0.24</v>
      </c>
      <c r="E126" s="79">
        <v>1</v>
      </c>
      <c r="F126" s="79">
        <v>1</v>
      </c>
      <c r="G126" s="79">
        <v>0</v>
      </c>
      <c r="H126" s="79">
        <v>175</v>
      </c>
      <c r="I126" s="57">
        <v>37747.17</v>
      </c>
      <c r="J126" s="68">
        <v>9.9</v>
      </c>
      <c r="K126" s="70"/>
      <c r="L126" s="146"/>
    </row>
    <row r="127" spans="1:12" ht="13.5" customHeight="1">
      <c r="A127" s="194" t="s">
        <v>256</v>
      </c>
      <c r="B127" s="80">
        <v>8372.49</v>
      </c>
      <c r="C127" s="80">
        <v>11.45</v>
      </c>
      <c r="D127" s="77">
        <v>0.14000000000000001</v>
      </c>
      <c r="E127" s="79">
        <v>0</v>
      </c>
      <c r="F127" s="79">
        <v>0</v>
      </c>
      <c r="G127" s="79">
        <v>0</v>
      </c>
      <c r="H127" s="79">
        <v>131</v>
      </c>
      <c r="I127" s="57">
        <v>37595.99</v>
      </c>
      <c r="J127" s="68">
        <v>9.3000000000000007</v>
      </c>
      <c r="K127" s="70"/>
      <c r="L127" s="146"/>
    </row>
    <row r="128" spans="1:12" ht="13.5" customHeight="1">
      <c r="A128" s="194"/>
      <c r="B128" s="80"/>
      <c r="C128" s="80"/>
      <c r="D128" s="77"/>
      <c r="E128" s="79"/>
      <c r="F128" s="79"/>
      <c r="G128" s="79"/>
      <c r="H128" s="79"/>
      <c r="I128" s="57"/>
      <c r="J128" s="68"/>
      <c r="K128" s="70"/>
      <c r="L128" s="146"/>
    </row>
    <row r="129" spans="1:14" ht="13.5" customHeight="1">
      <c r="A129" s="194" t="s">
        <v>257</v>
      </c>
      <c r="B129" s="80">
        <v>10409.700000000001</v>
      </c>
      <c r="C129" s="80">
        <v>4.66</v>
      </c>
      <c r="D129" s="77">
        <v>0.04</v>
      </c>
      <c r="E129" s="79">
        <v>0</v>
      </c>
      <c r="F129" s="79">
        <v>0</v>
      </c>
      <c r="G129" s="79">
        <v>0</v>
      </c>
      <c r="H129" s="79">
        <v>186</v>
      </c>
      <c r="I129" s="57">
        <v>37938.65</v>
      </c>
      <c r="J129" s="68">
        <v>9.4</v>
      </c>
      <c r="K129" s="70"/>
      <c r="L129" s="146"/>
    </row>
    <row r="130" spans="1:14" ht="13.5" customHeight="1">
      <c r="A130" s="194" t="s">
        <v>258</v>
      </c>
      <c r="B130" s="80">
        <v>8373.35</v>
      </c>
      <c r="C130" s="80">
        <v>2.68</v>
      </c>
      <c r="D130" s="77">
        <v>0.03</v>
      </c>
      <c r="E130" s="79">
        <v>0</v>
      </c>
      <c r="F130" s="79">
        <v>0</v>
      </c>
      <c r="G130" s="79">
        <v>0</v>
      </c>
      <c r="H130" s="79">
        <v>135</v>
      </c>
      <c r="I130" s="57">
        <v>37989.86</v>
      </c>
      <c r="J130" s="68">
        <v>9.6999999999999993</v>
      </c>
      <c r="K130" s="70"/>
      <c r="L130" s="146"/>
    </row>
    <row r="131" spans="1:14" ht="13.5" customHeight="1">
      <c r="A131" s="194" t="s">
        <v>259</v>
      </c>
      <c r="B131" s="80">
        <v>6481.62</v>
      </c>
      <c r="C131" s="80">
        <v>13.53</v>
      </c>
      <c r="D131" s="77">
        <v>0.21</v>
      </c>
      <c r="E131" s="79">
        <v>0</v>
      </c>
      <c r="F131" s="79">
        <v>0</v>
      </c>
      <c r="G131" s="79">
        <v>0</v>
      </c>
      <c r="H131" s="79">
        <v>127</v>
      </c>
      <c r="I131" s="57">
        <v>37883.14</v>
      </c>
      <c r="J131" s="68">
        <v>11</v>
      </c>
      <c r="K131" s="70"/>
      <c r="L131" s="146"/>
    </row>
    <row r="132" spans="1:14" ht="13.5" customHeight="1">
      <c r="A132" s="194"/>
      <c r="B132" s="80"/>
      <c r="C132" s="80"/>
      <c r="D132" s="77"/>
      <c r="E132" s="79"/>
      <c r="F132" s="79"/>
      <c r="G132" s="79"/>
      <c r="H132" s="79"/>
      <c r="I132" s="57"/>
      <c r="J132" s="68"/>
      <c r="K132" s="70"/>
      <c r="L132" s="146"/>
    </row>
    <row r="133" spans="1:14" ht="13.5" customHeight="1">
      <c r="A133" s="194" t="s">
        <v>262</v>
      </c>
      <c r="B133" s="80">
        <v>11820.45</v>
      </c>
      <c r="C133" s="80">
        <v>0.41</v>
      </c>
      <c r="D133" s="77">
        <v>0</v>
      </c>
      <c r="E133" s="79">
        <v>0</v>
      </c>
      <c r="F133" s="79">
        <v>0</v>
      </c>
      <c r="G133" s="79">
        <v>0</v>
      </c>
      <c r="H133" s="79">
        <v>117</v>
      </c>
      <c r="I133" s="57">
        <v>37905.94</v>
      </c>
      <c r="J133" s="68">
        <v>10.386336</v>
      </c>
      <c r="K133" s="70"/>
      <c r="L133" s="146"/>
    </row>
    <row r="134" spans="1:14" ht="13.5" customHeight="1">
      <c r="A134" s="194">
        <v>11</v>
      </c>
      <c r="B134" s="80">
        <v>8789.56</v>
      </c>
      <c r="C134" s="80">
        <v>26.15</v>
      </c>
      <c r="D134" s="77">
        <v>0.3</v>
      </c>
      <c r="E134" s="79">
        <v>0</v>
      </c>
      <c r="F134" s="79">
        <v>0</v>
      </c>
      <c r="G134" s="79">
        <v>0</v>
      </c>
      <c r="H134" s="79">
        <v>151</v>
      </c>
      <c r="I134" s="57">
        <v>37933.550000000003</v>
      </c>
      <c r="J134" s="68">
        <v>11.2</v>
      </c>
      <c r="K134" s="70"/>
      <c r="L134" s="146"/>
    </row>
    <row r="135" spans="1:14" ht="13.5" customHeight="1">
      <c r="A135" s="194" t="s">
        <v>213</v>
      </c>
      <c r="B135" s="80">
        <v>6065.81</v>
      </c>
      <c r="C135" s="80">
        <v>2.83</v>
      </c>
      <c r="D135" s="77">
        <v>0.25</v>
      </c>
      <c r="E135" s="79">
        <v>0</v>
      </c>
      <c r="F135" s="79">
        <v>0</v>
      </c>
      <c r="G135" s="79">
        <v>0</v>
      </c>
      <c r="H135" s="79">
        <v>162</v>
      </c>
      <c r="I135" s="57">
        <v>37710</v>
      </c>
      <c r="J135" s="68">
        <v>14.6</v>
      </c>
      <c r="K135" s="13"/>
    </row>
    <row r="136" spans="1:14" ht="13.5" customHeight="1">
      <c r="A136" s="194"/>
      <c r="B136" s="80"/>
      <c r="C136" s="80"/>
      <c r="D136" s="77"/>
      <c r="E136" s="79"/>
      <c r="F136" s="79"/>
      <c r="G136" s="79"/>
      <c r="H136" s="79"/>
      <c r="I136" s="57"/>
      <c r="J136" s="68"/>
      <c r="K136" s="70"/>
      <c r="L136" s="146"/>
    </row>
    <row r="137" spans="1:14" ht="13.5" customHeight="1">
      <c r="A137" s="194" t="s">
        <v>266</v>
      </c>
      <c r="B137" s="80">
        <v>12106</v>
      </c>
      <c r="C137" s="80">
        <v>0</v>
      </c>
      <c r="D137" s="77">
        <v>0</v>
      </c>
      <c r="E137" s="79">
        <v>0</v>
      </c>
      <c r="F137" s="79">
        <v>0</v>
      </c>
      <c r="G137" s="79">
        <v>0</v>
      </c>
      <c r="H137" s="79">
        <v>179</v>
      </c>
      <c r="I137" s="57">
        <v>37430</v>
      </c>
      <c r="J137" s="68">
        <v>12.3</v>
      </c>
      <c r="K137" s="13"/>
    </row>
    <row r="138" spans="1:14">
      <c r="A138" s="194" t="s">
        <v>215</v>
      </c>
      <c r="B138" s="80">
        <v>8718</v>
      </c>
      <c r="C138" s="80">
        <v>0</v>
      </c>
      <c r="D138" s="77">
        <v>0.01</v>
      </c>
      <c r="E138" s="79">
        <v>0</v>
      </c>
      <c r="F138" s="79">
        <v>0</v>
      </c>
      <c r="G138" s="79">
        <v>0</v>
      </c>
      <c r="H138" s="79">
        <v>156</v>
      </c>
      <c r="I138" s="57">
        <v>37693</v>
      </c>
      <c r="J138" s="68">
        <v>11.1</v>
      </c>
      <c r="K138" s="13"/>
    </row>
    <row r="139" spans="1:14">
      <c r="A139" s="195" t="s">
        <v>265</v>
      </c>
      <c r="B139" s="242">
        <v>7410.19</v>
      </c>
      <c r="C139" s="242">
        <v>18.05</v>
      </c>
      <c r="D139" s="243">
        <v>0.24</v>
      </c>
      <c r="E139" s="253">
        <v>0</v>
      </c>
      <c r="F139" s="253">
        <v>0</v>
      </c>
      <c r="G139" s="253">
        <v>0</v>
      </c>
      <c r="H139" s="253">
        <v>185</v>
      </c>
      <c r="I139" s="196">
        <v>38222</v>
      </c>
      <c r="J139" s="233">
        <v>10.6</v>
      </c>
      <c r="K139" s="13"/>
    </row>
    <row r="140" spans="1:14">
      <c r="A140" s="192"/>
      <c r="B140" s="268"/>
      <c r="C140" s="268"/>
      <c r="D140" s="268"/>
      <c r="E140" s="268"/>
      <c r="F140" s="268"/>
      <c r="G140" s="268"/>
      <c r="H140" s="268"/>
      <c r="I140" s="268"/>
      <c r="J140" s="268"/>
      <c r="K140" s="13"/>
    </row>
    <row r="141" spans="1:14">
      <c r="A141" s="19" t="s">
        <v>240</v>
      </c>
      <c r="B141" s="2"/>
      <c r="C141" s="2"/>
      <c r="D141" s="2"/>
      <c r="E141" s="90"/>
      <c r="F141" s="2"/>
      <c r="G141" s="2"/>
      <c r="H141" s="2"/>
      <c r="I141" s="2"/>
      <c r="J141" s="2"/>
      <c r="K141" s="13"/>
    </row>
    <row r="142" spans="1:14" ht="16.5">
      <c r="A142" s="23" t="s">
        <v>241</v>
      </c>
      <c r="B142" s="90"/>
      <c r="C142" s="90"/>
      <c r="D142" s="90"/>
      <c r="E142" s="90"/>
      <c r="F142" s="127"/>
      <c r="I142" s="70"/>
      <c r="J142" s="126"/>
      <c r="K142" s="158"/>
      <c r="L142" s="155"/>
      <c r="M142" s="155"/>
      <c r="N142" s="105"/>
    </row>
    <row r="143" spans="1:14">
      <c r="K143" s="158"/>
      <c r="L143" s="155"/>
      <c r="M143" s="155"/>
      <c r="N143" s="105"/>
    </row>
    <row r="145" spans="3:10">
      <c r="C145" s="156"/>
      <c r="D145" s="156"/>
      <c r="E145" s="157"/>
      <c r="F145" s="157"/>
      <c r="G145" s="158"/>
      <c r="H145" s="158"/>
      <c r="I145" s="158"/>
      <c r="J145" s="156"/>
    </row>
    <row r="146" spans="3:10">
      <c r="C146" s="156"/>
      <c r="D146" s="156"/>
      <c r="E146" s="157"/>
      <c r="F146" s="157"/>
      <c r="G146" s="158"/>
      <c r="H146" s="158"/>
      <c r="I146" s="158"/>
      <c r="J146" s="156"/>
    </row>
    <row r="147" spans="3:10">
      <c r="C147" s="156"/>
      <c r="D147" s="156"/>
      <c r="E147" s="157"/>
      <c r="F147" s="157"/>
      <c r="G147" s="158"/>
      <c r="H147" s="158"/>
      <c r="I147" s="159"/>
      <c r="J147" s="156"/>
    </row>
  </sheetData>
  <mergeCells count="9">
    <mergeCell ref="A6:A7"/>
    <mergeCell ref="F6:G6"/>
    <mergeCell ref="H6:H7"/>
    <mergeCell ref="I6:I7"/>
    <mergeCell ref="J6:J7"/>
    <mergeCell ref="B6:B7"/>
    <mergeCell ref="C6:C7"/>
    <mergeCell ref="D6:D7"/>
    <mergeCell ref="E6:E7"/>
  </mergeCells>
  <phoneticPr fontId="9" type="noConversion"/>
  <printOptions horizontalCentered="1"/>
  <pageMargins left="0.55118110236220474" right="0.55118110236220474" top="0.78740157480314965" bottom="0.78740157480314965" header="0.51181102362204722" footer="0.31496062992125984"/>
  <pageSetup paperSize="9" scale="3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15</vt:i4>
      </vt:variant>
    </vt:vector>
  </HeadingPairs>
  <TitlesOfParts>
    <vt:vector size="31" baseType="lpstr">
      <vt:lpstr>1.한국은행 계정</vt:lpstr>
      <vt:lpstr>2.1 예금은행 수신</vt:lpstr>
      <vt:lpstr>2.1 예금은행 요구불예금</vt:lpstr>
      <vt:lpstr>2.1 예금은행 저축성예금</vt:lpstr>
      <vt:lpstr>2.1.1 지역별 예금은행 수신</vt:lpstr>
      <vt:lpstr>2.2.1 예금은행 대출금</vt:lpstr>
      <vt:lpstr>2.2.2 주체별 및 용도별 대출금</vt:lpstr>
      <vt:lpstr>2.2.3 기업자금대출금</vt:lpstr>
      <vt:lpstr>2.2.4 산업별대출금(1)</vt:lpstr>
      <vt:lpstr>2.2.4 산업별대출금(2)</vt:lpstr>
      <vt:lpstr>2.2.4 산업별대출금</vt:lpstr>
      <vt:lpstr>2.2.5 지역별대출금</vt:lpstr>
      <vt:lpstr>3.1 비은행기관수신</vt:lpstr>
      <vt:lpstr>3.2.1 비은행기관 기관별 여신</vt:lpstr>
      <vt:lpstr>3.2.2 비은행기관 차입주체별 여신</vt:lpstr>
      <vt:lpstr>4. 어음부도율 및 신설법인수</vt:lpstr>
      <vt:lpstr>'1.한국은행 계정'!Print_Area</vt:lpstr>
      <vt:lpstr>'2.1 예금은행 수신'!Print_Area</vt:lpstr>
      <vt:lpstr>'2.1 예금은행 요구불예금'!Print_Area</vt:lpstr>
      <vt:lpstr>'2.1 예금은행 저축성예금'!Print_Area</vt:lpstr>
      <vt:lpstr>'2.1.1 지역별 예금은행 수신'!Print_Area</vt:lpstr>
      <vt:lpstr>'2.2.1 예금은행 대출금'!Print_Area</vt:lpstr>
      <vt:lpstr>'2.2.2 주체별 및 용도별 대출금'!Print_Area</vt:lpstr>
      <vt:lpstr>'2.2.3 기업자금대출금'!Print_Area</vt:lpstr>
      <vt:lpstr>'2.2.4 산업별대출금'!Print_Area</vt:lpstr>
      <vt:lpstr>'2.2.4 산업별대출금(1)'!Print_Area</vt:lpstr>
      <vt:lpstr>'2.2.4 산업별대출금(2)'!Print_Area</vt:lpstr>
      <vt:lpstr>'2.2.5 지역별대출금'!Print_Area</vt:lpstr>
      <vt:lpstr>'3.1 비은행기관수신'!Print_Area</vt:lpstr>
      <vt:lpstr>'3.2.1 비은행기관 기관별 여신'!Print_Area</vt:lpstr>
      <vt:lpstr>'3.2.2 비은행기관 차입주체별 여신'!Print_Area</vt:lpstr>
    </vt:vector>
  </TitlesOfParts>
  <Company>한국은행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윤석규</cp:lastModifiedBy>
  <cp:lastPrinted>2023-03-07T07:53:05Z</cp:lastPrinted>
  <dcterms:created xsi:type="dcterms:W3CDTF">2000-07-07T05:25:35Z</dcterms:created>
  <dcterms:modified xsi:type="dcterms:W3CDTF">2026-05-29T06:18:21Z</dcterms:modified>
</cp:coreProperties>
</file>