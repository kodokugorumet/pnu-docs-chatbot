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SS_NT551XED\Desktop\업무용\할인율\할인율 산출\26.01\공시파일\"/>
    </mc:Choice>
  </mc:AlternateContent>
  <xr:revisionPtr revIDLastSave="0" documentId="13_ncr:1_{821B0E71-489B-4AEA-9650-A6D378309FB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개요" sheetId="2" r:id="rId1"/>
    <sheet name="IFRS17 및 K-ICS 할인율 산출기준" sheetId="9" r:id="rId2"/>
  </sheets>
  <definedNames>
    <definedName name="_xlnm.Print_Area" localSheetId="1">'IFRS17 및 K-ICS 할인율 산출기준'!$B$1:$AJ$122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3" i="9" l="1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3" i="2" l="1"/>
</calcChain>
</file>

<file path=xl/sharedStrings.xml><?xml version="1.0" encoding="utf-8"?>
<sst xmlns="http://schemas.openxmlformats.org/spreadsheetml/2006/main" count="971" uniqueCount="515">
  <si>
    <t>-</t>
  </si>
  <si>
    <t>최종관찰만기</t>
    <phoneticPr fontId="2" type="noConversion"/>
  </si>
  <si>
    <t>최초수렴시점</t>
    <phoneticPr fontId="2" type="noConversion"/>
  </si>
  <si>
    <t>장기선도금리</t>
    <phoneticPr fontId="2" type="noConversion"/>
  </si>
  <si>
    <t>이자지급횟수(년)</t>
    <phoneticPr fontId="2" type="noConversion"/>
  </si>
  <si>
    <t>Tenor(년)</t>
    <phoneticPr fontId="2" type="noConversion"/>
  </si>
  <si>
    <t>통화명</t>
    <phoneticPr fontId="2" type="noConversion"/>
  </si>
  <si>
    <t>BRL</t>
  </si>
  <si>
    <t>CHF</t>
  </si>
  <si>
    <t>CNY</t>
  </si>
  <si>
    <t>CZK</t>
  </si>
  <si>
    <t>EUR</t>
  </si>
  <si>
    <t>HKD</t>
  </si>
  <si>
    <t>IDR</t>
  </si>
  <si>
    <t>INR</t>
  </si>
  <si>
    <t>MXN</t>
  </si>
  <si>
    <t>NOK</t>
  </si>
  <si>
    <t>PEN</t>
  </si>
  <si>
    <t>PLN</t>
  </si>
  <si>
    <t>RUB</t>
  </si>
  <si>
    <t>SEK</t>
  </si>
  <si>
    <t>THB</t>
  </si>
  <si>
    <t>TWD</t>
  </si>
  <si>
    <t>ZAR</t>
  </si>
  <si>
    <t>AUD</t>
    <phoneticPr fontId="2" type="noConversion"/>
  </si>
  <si>
    <t>CAD</t>
    <phoneticPr fontId="2" type="noConversion"/>
  </si>
  <si>
    <t>CLP</t>
    <phoneticPr fontId="2" type="noConversion"/>
  </si>
  <si>
    <t>COP</t>
    <phoneticPr fontId="2" type="noConversion"/>
  </si>
  <si>
    <t>DKK</t>
    <phoneticPr fontId="2" type="noConversion"/>
  </si>
  <si>
    <t>GBP</t>
    <phoneticPr fontId="2" type="noConversion"/>
  </si>
  <si>
    <t>HUF</t>
    <phoneticPr fontId="2" type="noConversion"/>
  </si>
  <si>
    <t>ILS</t>
    <phoneticPr fontId="2" type="noConversion"/>
  </si>
  <si>
    <t>JPY</t>
    <phoneticPr fontId="2" type="noConversion"/>
  </si>
  <si>
    <t>MYR</t>
    <phoneticPr fontId="2" type="noConversion"/>
  </si>
  <si>
    <t>NZD</t>
    <phoneticPr fontId="2" type="noConversion"/>
  </si>
  <si>
    <t>PHP</t>
    <phoneticPr fontId="2" type="noConversion"/>
  </si>
  <si>
    <t>RON</t>
    <phoneticPr fontId="2" type="noConversion"/>
  </si>
  <si>
    <t>SAR</t>
    <phoneticPr fontId="2" type="noConversion"/>
  </si>
  <si>
    <t>SGD</t>
    <phoneticPr fontId="2" type="noConversion"/>
  </si>
  <si>
    <t>TRY</t>
    <phoneticPr fontId="2" type="noConversion"/>
  </si>
  <si>
    <t>USD</t>
    <phoneticPr fontId="2" type="noConversion"/>
  </si>
  <si>
    <t>CHSWP1 Curncy</t>
  </si>
  <si>
    <t>CNTBI1 INDEX</t>
  </si>
  <si>
    <t>CKSW1 Curncy</t>
  </si>
  <si>
    <t>DKSW1 Curncy</t>
  </si>
  <si>
    <t>EUSA1 Curncy</t>
  </si>
  <si>
    <t>HDSW1 Curncy</t>
  </si>
  <si>
    <t>NKSW1 Curncy</t>
  </si>
  <si>
    <t>NDSW1 Curncy</t>
  </si>
  <si>
    <t>SKSW1 Curncy</t>
  </si>
  <si>
    <t>CHSWP2 Curncy</t>
  </si>
  <si>
    <t>CKSW2 Curncy</t>
  </si>
  <si>
    <t>DKSW2 Curncy</t>
  </si>
  <si>
    <t>EUSA2 Curncy</t>
  </si>
  <si>
    <t>HDSW2 Curncy</t>
  </si>
  <si>
    <t>NKSW2 Curncy</t>
  </si>
  <si>
    <t>NDSW2 Curncy</t>
  </si>
  <si>
    <t>SKSW2 Curncy</t>
  </si>
  <si>
    <t>CNTBI3 INDEX</t>
  </si>
  <si>
    <t>CKSW3 Curncy</t>
  </si>
  <si>
    <t>DKSW3 Curncy</t>
  </si>
  <si>
    <t>EUSA3 Curncy</t>
  </si>
  <si>
    <t>HDSW3 Curncy</t>
  </si>
  <si>
    <t>NKSW3 Curncy</t>
  </si>
  <si>
    <t>NDSW3 Curncy</t>
  </si>
  <si>
    <t>SKSW3 Curncy</t>
  </si>
  <si>
    <t>CHSWP4 Curncy</t>
  </si>
  <si>
    <t>CKSW4 Curncy</t>
  </si>
  <si>
    <t>DKSW4 Curncy</t>
  </si>
  <si>
    <t>EUSA4 Curncy</t>
  </si>
  <si>
    <t>HDSW4 Curncy</t>
  </si>
  <si>
    <t>NKSW4 Curncy</t>
  </si>
  <si>
    <t>NDSW4 Curncy</t>
  </si>
  <si>
    <t>SKSW4 Curncy</t>
  </si>
  <si>
    <t>CHSWP5 Curncy</t>
  </si>
  <si>
    <t>CNTBI5 INDEX</t>
  </si>
  <si>
    <t>CKSW5 Curncy</t>
  </si>
  <si>
    <t>DKSW5 Curncy</t>
  </si>
  <si>
    <t>EUSA5 Curncy</t>
  </si>
  <si>
    <t>HDSW5 Curncy</t>
  </si>
  <si>
    <t>NKSW5 Curncy</t>
  </si>
  <si>
    <t>NDSW5 Curncy</t>
  </si>
  <si>
    <t>SKSW5 Curncy</t>
  </si>
  <si>
    <t>CKSW6 Curncy</t>
  </si>
  <si>
    <t>DKSW6 Curncy</t>
  </si>
  <si>
    <t>EUSA6 Curncy</t>
  </si>
  <si>
    <t>NKSW6 Curncy</t>
  </si>
  <si>
    <t>NDSW6 Curncy</t>
  </si>
  <si>
    <t>SKSW6 Curncy</t>
  </si>
  <si>
    <t>CHSWP7 Curncy</t>
  </si>
  <si>
    <t>CNTBI7 INDEX</t>
  </si>
  <si>
    <t>CKSW7 Curncy</t>
  </si>
  <si>
    <t>DKSW7 Curncy</t>
  </si>
  <si>
    <t>EUSA7 Curncy</t>
  </si>
  <si>
    <t>HDSW7 Curncy</t>
  </si>
  <si>
    <t>NKSW7 Curncy</t>
  </si>
  <si>
    <t>NDSW7 Curncy</t>
  </si>
  <si>
    <t>SKSW7 Curncy</t>
  </si>
  <si>
    <t>CKSW8 Curncy</t>
  </si>
  <si>
    <t>DKSW8 Curncy</t>
  </si>
  <si>
    <t>EUSA8 Curncy</t>
  </si>
  <si>
    <t>NKSW8 Curncy</t>
  </si>
  <si>
    <t>NDSW8 Curncy</t>
  </si>
  <si>
    <t>SKSW8 Curncy</t>
  </si>
  <si>
    <t>CKSW9 Curncy</t>
  </si>
  <si>
    <t>DKSW9 Curncy</t>
  </si>
  <si>
    <t>EUSA9 Curncy</t>
  </si>
  <si>
    <t>NKSW9 Curncy</t>
  </si>
  <si>
    <t>NDSW9 Curncy</t>
  </si>
  <si>
    <t>SKSW9 Curncy</t>
  </si>
  <si>
    <t>CHSWP10 Curncy</t>
  </si>
  <si>
    <t>CNTBI10 INDEX</t>
  </si>
  <si>
    <t>CKSW10 Curncy</t>
  </si>
  <si>
    <t>DKSW10 Curncy</t>
  </si>
  <si>
    <t>EUSA10 Curncy</t>
  </si>
  <si>
    <t>HDSW10 Curncy</t>
  </si>
  <si>
    <t>NKSW10 Curncy</t>
  </si>
  <si>
    <t>NDSW10 Curncy</t>
  </si>
  <si>
    <t>SKSW10 Curncy</t>
  </si>
  <si>
    <t>CKSW12 Curncy</t>
  </si>
  <si>
    <t>DKSW12 Curncy</t>
  </si>
  <si>
    <t>EUSA12 Curncy</t>
  </si>
  <si>
    <t>HDSW12 Curncy</t>
  </si>
  <si>
    <t>NDSW12 Curncy</t>
  </si>
  <si>
    <t>CKSW15 Curncy</t>
  </si>
  <si>
    <t>DKSW15 Curncy</t>
  </si>
  <si>
    <t>EUSA15 Curncy</t>
  </si>
  <si>
    <t>HDSW15 Curncy</t>
  </si>
  <si>
    <t>NDSW15 Curncy</t>
  </si>
  <si>
    <t>DKSW20 Curncy</t>
  </si>
  <si>
    <t>EUSA20 Curncy</t>
  </si>
  <si>
    <t>NDSW20 Curncy</t>
  </si>
  <si>
    <t>※ 참고사항</t>
    <phoneticPr fontId="2" type="noConversion"/>
  </si>
  <si>
    <t>Taiwan New Dollars</t>
    <phoneticPr fontId="2" type="noConversion"/>
  </si>
  <si>
    <t>Australia Dollars</t>
    <phoneticPr fontId="2" type="noConversion"/>
  </si>
  <si>
    <t>Brazil Reals</t>
    <phoneticPr fontId="2" type="noConversion"/>
  </si>
  <si>
    <t>Canada Dollars</t>
    <phoneticPr fontId="2" type="noConversion"/>
  </si>
  <si>
    <t>Switzerland Francs</t>
    <phoneticPr fontId="2" type="noConversion"/>
  </si>
  <si>
    <t>Chile Pesos</t>
    <phoneticPr fontId="2" type="noConversion"/>
  </si>
  <si>
    <t>China Yuan Renminbi</t>
    <phoneticPr fontId="2" type="noConversion"/>
  </si>
  <si>
    <t>Colombia Pesos</t>
    <phoneticPr fontId="2" type="noConversion"/>
  </si>
  <si>
    <t>Czech Republic Koruny</t>
    <phoneticPr fontId="2" type="noConversion"/>
  </si>
  <si>
    <t>Denmark Kroner</t>
    <phoneticPr fontId="2" type="noConversion"/>
  </si>
  <si>
    <t>Euro</t>
    <phoneticPr fontId="2" type="noConversion"/>
  </si>
  <si>
    <t>United Kingdom Pounds</t>
    <phoneticPr fontId="2" type="noConversion"/>
  </si>
  <si>
    <t>Hong Kong Dollars</t>
    <phoneticPr fontId="2" type="noConversion"/>
  </si>
  <si>
    <t>Hungary Forint</t>
    <phoneticPr fontId="2" type="noConversion"/>
  </si>
  <si>
    <t>Indonesian Rupiah</t>
    <phoneticPr fontId="2" type="noConversion"/>
  </si>
  <si>
    <t>Israeli new shekel</t>
    <phoneticPr fontId="2" type="noConversion"/>
  </si>
  <si>
    <t>India Rupees</t>
    <phoneticPr fontId="2" type="noConversion"/>
  </si>
  <si>
    <t>Japan Yen</t>
    <phoneticPr fontId="2" type="noConversion"/>
  </si>
  <si>
    <t>Mexico Pesos</t>
    <phoneticPr fontId="2" type="noConversion"/>
  </si>
  <si>
    <t>Malaysia Ringgits</t>
    <phoneticPr fontId="2" type="noConversion"/>
  </si>
  <si>
    <t>Norway Kroner</t>
    <phoneticPr fontId="2" type="noConversion"/>
  </si>
  <si>
    <t>New Zealand Dollars</t>
    <phoneticPr fontId="2" type="noConversion"/>
  </si>
  <si>
    <t>Peruvian Nuevo Sol</t>
    <phoneticPr fontId="2" type="noConversion"/>
  </si>
  <si>
    <t>Philipine Peso</t>
    <phoneticPr fontId="2" type="noConversion"/>
  </si>
  <si>
    <t>Poland Zlotych</t>
    <phoneticPr fontId="2" type="noConversion"/>
  </si>
  <si>
    <t>Romania New Lei</t>
    <phoneticPr fontId="2" type="noConversion"/>
  </si>
  <si>
    <t>Russia Rubles</t>
    <phoneticPr fontId="2" type="noConversion"/>
  </si>
  <si>
    <t>Saudi Arabian Riyal</t>
    <phoneticPr fontId="2" type="noConversion"/>
  </si>
  <si>
    <t>Sweden Kronor</t>
    <phoneticPr fontId="2" type="noConversion"/>
  </si>
  <si>
    <t>Singapore Dollars</t>
    <phoneticPr fontId="2" type="noConversion"/>
  </si>
  <si>
    <t>Thailand Baht</t>
    <phoneticPr fontId="2" type="noConversion"/>
  </si>
  <si>
    <t>Turkey Lira</t>
    <phoneticPr fontId="2" type="noConversion"/>
  </si>
  <si>
    <t>United States Dollars</t>
    <phoneticPr fontId="2" type="noConversion"/>
  </si>
  <si>
    <t>South Africa Rand</t>
    <phoneticPr fontId="2" type="noConversion"/>
  </si>
  <si>
    <r>
      <t xml:space="preserve">3. 최근 120개월 월별 평균값을 사용하되, </t>
    </r>
    <r>
      <rPr>
        <b/>
        <i/>
        <sz val="11"/>
        <color rgb="FFFF0000"/>
        <rFont val="맑은 고딕"/>
        <family val="3"/>
        <charset val="129"/>
        <scheme val="minor"/>
      </rPr>
      <t>2010년 이후의 모수 값만을 활용</t>
    </r>
    <r>
      <rPr>
        <b/>
        <i/>
        <sz val="11"/>
        <color theme="1"/>
        <rFont val="맑은 고딕"/>
        <family val="3"/>
        <charset val="129"/>
        <scheme val="minor"/>
      </rPr>
      <t>하여 산출</t>
    </r>
    <phoneticPr fontId="2" type="noConversion"/>
  </si>
  <si>
    <t>3. 확률론적 시나리오</t>
    <phoneticPr fontId="2" type="noConversion"/>
  </si>
  <si>
    <r>
      <t>1. 20년 이후의 수렴속도모수 산출기준 : 10~20년 수렴속도모수의</t>
    </r>
    <r>
      <rPr>
        <b/>
        <i/>
        <sz val="11"/>
        <color rgb="FFFF0000"/>
        <rFont val="맑은 고딕"/>
        <family val="3"/>
        <charset val="129"/>
        <scheme val="minor"/>
      </rPr>
      <t xml:space="preserve"> 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2" type="noConversion"/>
  </si>
  <si>
    <r>
      <t xml:space="preserve">2. 10년 이후의 변동성모수 산출기준 : 7~10년 변동성모수의 </t>
    </r>
    <r>
      <rPr>
        <b/>
        <i/>
        <sz val="11"/>
        <color rgb="FFFF0000"/>
        <rFont val="맑은 고딕"/>
        <family val="3"/>
        <charset val="129"/>
        <scheme val="minor"/>
      </rPr>
      <t>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2" type="noConversion"/>
  </si>
  <si>
    <r>
      <t xml:space="preserve">2. 최초수렴시점(CP) : </t>
    </r>
    <r>
      <rPr>
        <b/>
        <i/>
        <sz val="11"/>
        <color rgb="FFFF0000"/>
        <rFont val="맑은 고딕"/>
        <family val="3"/>
        <charset val="129"/>
        <scheme val="minor"/>
      </rPr>
      <t>60년</t>
    </r>
    <phoneticPr fontId="2" type="noConversion"/>
  </si>
  <si>
    <t xml:space="preserve">  - 시장금리 제공원천(Bloomberg Ticker)을 통해, 회사가 해외 금리를 직접 조회하여 사용</t>
    <phoneticPr fontId="2" type="noConversion"/>
  </si>
  <si>
    <t xml:space="preserve">  - 해외통화 무위험 금리기간구조는 Smith-Wilson 보간법을 통해 회사가 직접 산출하며 LLP, CP, LTFR, 이자지급횟수 등은 주어진 기준을 준용</t>
    <phoneticPr fontId="2" type="noConversion"/>
  </si>
  <si>
    <t xml:space="preserve">  - 제시되지 않은 만기의 금리 사용 불가 (예: 특정 통화의 3개월 금리가 존재하더라도 사용하지 않음)</t>
    <phoneticPr fontId="2" type="noConversion"/>
  </si>
  <si>
    <t xml:space="preserve">  - Hull-White 1 Factor Model의 모수는 자산평가용 할인율을 사용하여 산출</t>
    <phoneticPr fontId="2" type="noConversion"/>
  </si>
  <si>
    <t xml:space="preserve">  시장금리 제공원천(Bloomberg Ticker)</t>
    <phoneticPr fontId="2" type="noConversion"/>
  </si>
  <si>
    <t xml:space="preserve">     * 예를 들어, 조회되지 않는 Tenor가 10년, 20년 등 주요 만기가 아닌 경우(예.11년)에는 이를 건너뛰고 Smith-Wilson 방식으로 보간한다.</t>
    <phoneticPr fontId="2" type="noConversion"/>
  </si>
  <si>
    <t xml:space="preserve">     * 평가시점 말에 조회되지 않는 Tenor가 있는 경우 직전 일자 금리 정보를 활용한다. (예. 12월 31일 데이터가 조회되지 않는 경우 12월 30일 정보를 활용)</t>
    <phoneticPr fontId="2" type="noConversion"/>
  </si>
  <si>
    <t xml:space="preserve">  - 시장금리 제공원천 중 일부 Tenor가 특정 시점에 조회가 되지 않는 경우에는 회사가 합리적으로 판단하여 결정론적 시나리오를 생성한다.*</t>
    <phoneticPr fontId="2" type="noConversion"/>
  </si>
  <si>
    <t>G0082Z 1Y BLC2 Curncy</t>
  </si>
  <si>
    <t>G0082Z 2Y BLC2 Curncy</t>
  </si>
  <si>
    <t>G0082Z 3Y BLC2 Curncy</t>
  </si>
  <si>
    <t>G0082Z 4Y BLC2 Curncy</t>
  </si>
  <si>
    <t>G0082Z 6Y BLC2 Curncy</t>
  </si>
  <si>
    <t>G0082Z 7Y BLC2 Curncy</t>
  </si>
  <si>
    <t>G0082Z 9Y BLC2 Curncy</t>
  </si>
  <si>
    <t>G0082Z 10Y BLC2 Curncy</t>
  </si>
  <si>
    <t>G0082Z 15Y BLC2 Curncy</t>
  </si>
  <si>
    <t>G0082Z 20Y BLC2 Curncy</t>
  </si>
  <si>
    <t>G0082Z 30Y BLC2 Curncy</t>
  </si>
  <si>
    <t>BPSWS1 Curncy</t>
  </si>
  <si>
    <t>BPSWS2 Curncy</t>
  </si>
  <si>
    <t>BPSWS3 Curncy</t>
  </si>
  <si>
    <t>BPSWS4 Curncy</t>
  </si>
  <si>
    <t>BPSWS5 Curncy</t>
  </si>
  <si>
    <t>BPSWS6 Curncy</t>
  </si>
  <si>
    <t>BPSWS7 Curncy</t>
  </si>
  <si>
    <t>BPSWS8 Curncy</t>
  </si>
  <si>
    <t>BPSWS9 Curncy</t>
  </si>
  <si>
    <t>BPSWS10 Curncy</t>
  </si>
  <si>
    <t>BPSWS11 Curncy</t>
  </si>
  <si>
    <t>BPSWS12 Curncy</t>
  </si>
  <si>
    <t>BPSWS13 Curncy</t>
  </si>
  <si>
    <t>BPSWS15 Curncy</t>
  </si>
  <si>
    <t>BPSWS20 Curncy</t>
  </si>
  <si>
    <t>BPSWS25 Curncy</t>
  </si>
  <si>
    <t>BPSWS30 Curncy</t>
  </si>
  <si>
    <t>순번</t>
    <phoneticPr fontId="2" type="noConversion"/>
  </si>
  <si>
    <t>구분</t>
    <phoneticPr fontId="2" type="noConversion"/>
  </si>
  <si>
    <t>세부 제공요소</t>
    <phoneticPr fontId="2" type="noConversion"/>
  </si>
  <si>
    <t>제공주기</t>
    <phoneticPr fontId="2" type="noConversion"/>
  </si>
  <si>
    <t>□ 최종관찰만기(LLP)</t>
    <phoneticPr fontId="2" type="noConversion"/>
  </si>
  <si>
    <t>1년</t>
    <phoneticPr fontId="2" type="noConversion"/>
  </si>
  <si>
    <t>□ 최초수렴시점(CP)</t>
    <phoneticPr fontId="2" type="noConversion"/>
  </si>
  <si>
    <t>□ 장기선도금리(LTFR)</t>
    <phoneticPr fontId="2" type="noConversion"/>
  </si>
  <si>
    <t>□ 시장금리 제공원천(Ticker)</t>
    <phoneticPr fontId="2" type="noConversion"/>
  </si>
  <si>
    <t>□ 유동성프리미엄(LP) 및 변동성조정(VA)</t>
    <phoneticPr fontId="2" type="noConversion"/>
  </si>
  <si>
    <t>확률론적 시나리오</t>
    <phoneticPr fontId="2" type="noConversion"/>
  </si>
  <si>
    <t>□ 스왑션 데이터가 관찰되지 않는 기간의 수렴속도모수 및 변동성모수 산출기준</t>
    <phoneticPr fontId="2" type="noConversion"/>
  </si>
  <si>
    <t xml:space="preserve">BI0570Z 1Y BVLI Curncy </t>
  </si>
  <si>
    <t>BI0609Z 1Y BVLI Curncy</t>
  </si>
  <si>
    <t xml:space="preserve">BI0570Z 2Y BVLI Curncy </t>
  </si>
  <si>
    <t>BI0594Z 2Y BVLI Curncy</t>
  </si>
  <si>
    <t>BI0609Z 2Y BVLI Curncy</t>
  </si>
  <si>
    <t xml:space="preserve">BI0570Z 3Y BVLI Curncy </t>
  </si>
  <si>
    <t>BI0594Z 3Y BVLI Curncy</t>
  </si>
  <si>
    <t>BI0609Z 3Y BVLI Curncy</t>
  </si>
  <si>
    <t xml:space="preserve">BI0570Z 4Y BVLI Curncy </t>
  </si>
  <si>
    <t>BI0594Z 4Y BVLI Curncy</t>
  </si>
  <si>
    <t>BI0609Z 4Y BVLI Curncy</t>
  </si>
  <si>
    <t xml:space="preserve">BI0570Z 5Y BVLI Curncy </t>
  </si>
  <si>
    <t>BI0594Z 5Y BVLI Curncy</t>
  </si>
  <si>
    <t>BI0609Z 5Y BVLI Curncy</t>
  </si>
  <si>
    <t xml:space="preserve">BI0570Z 6Y BVLI Curncy </t>
  </si>
  <si>
    <t xml:space="preserve">BI0570Z 7Y BVLI Curncy </t>
  </si>
  <si>
    <t>BI0594Z 7Y BVLI Curncy</t>
  </si>
  <si>
    <t>BI0609Z 7Y BVLI Curncy</t>
  </si>
  <si>
    <t xml:space="preserve">BI0570Z 8Y BVLI Curncy </t>
  </si>
  <si>
    <t>BI0594Z 8Y BVLI Curncy</t>
  </si>
  <si>
    <t>BI0609Z 8Y BVLI Curncy</t>
  </si>
  <si>
    <t xml:space="preserve">BI0570Z 9Y BVLI Curncy </t>
  </si>
  <si>
    <t>BI0594Z 9Y BVLI Curncy</t>
  </si>
  <si>
    <t>BI0609Z 9Y BVLI Curncy</t>
  </si>
  <si>
    <t xml:space="preserve">BI0570Z 10Y BVLI Curncy </t>
  </si>
  <si>
    <t>BI0594Z 10Y BVLI Curncy</t>
  </si>
  <si>
    <t>BI0609Z 10Y BVLI Curncy</t>
  </si>
  <si>
    <t xml:space="preserve">BI0570Z 12Y BVLI Curncy </t>
  </si>
  <si>
    <t xml:space="preserve">BI0570Z 15Y BVLI Curncy </t>
  </si>
  <si>
    <t>BI0594Z 15Y BVLI Curncy</t>
  </si>
  <si>
    <t>BI0609Z 15Y BVLI Curncy</t>
  </si>
  <si>
    <t xml:space="preserve">BI0570Z 20Y BVLI Curncy </t>
  </si>
  <si>
    <t>BI0609Z 20Y BVLI Curncy</t>
  </si>
  <si>
    <t xml:space="preserve">BI0570Z 25Y BVLI Curncy </t>
  </si>
  <si>
    <t>BI0594Z 25Y BVLI Curncy</t>
  </si>
  <si>
    <t>BI0609Z 25Y BVLI Curncy</t>
  </si>
  <si>
    <t>BI0594Z 30Y BVLI Curncy</t>
  </si>
  <si>
    <t>1년
(수시)</t>
    <phoneticPr fontId="2" type="noConversion"/>
  </si>
  <si>
    <t>IDRSSS1 CMPN Curncy</t>
  </si>
  <si>
    <t>IRSWMM1 BGN Curncy</t>
  </si>
  <si>
    <t>PHPSQQ1 BGN Curncy</t>
  </si>
  <si>
    <t>SRSW1 BGN Curncy</t>
  </si>
  <si>
    <t>BI0594Z 1Y BVLI Curncy</t>
  </si>
  <si>
    <t>IDRSSS2 CMPN Curncy</t>
  </si>
  <si>
    <t>IRSWMM2 BGN Curncy</t>
  </si>
  <si>
    <t>PHPSQQ2 BGN Curncy</t>
  </si>
  <si>
    <t>SRSW2 BGN Curncy</t>
  </si>
  <si>
    <t>IDRSSS3 CMPN Curncy</t>
  </si>
  <si>
    <t>IRSWMM3 BGN Curncy</t>
  </si>
  <si>
    <t>PHPSQQ3 BGN Curncy</t>
  </si>
  <si>
    <t>SRSW3 BGN Curncy</t>
  </si>
  <si>
    <t>IDRSSS4 CMPN Curncy</t>
  </si>
  <si>
    <t>IRSWMM4 BGN Curncy</t>
  </si>
  <si>
    <t>PHPSQQ4 BGN Curncy</t>
  </si>
  <si>
    <t>SRSW4 BGN Curncy</t>
  </si>
  <si>
    <t>G0082Z 5Y BLC2 Curncy</t>
  </si>
  <si>
    <t>IDRSSS5 CMPN Curncy</t>
  </si>
  <si>
    <t>IRSWMM5 BGN Curncy</t>
  </si>
  <si>
    <t>PHPSQQ5 BGN Curncy</t>
  </si>
  <si>
    <t>SRSW5 BGN Curncy</t>
  </si>
  <si>
    <t>SRSW6 BGN Curncy</t>
  </si>
  <si>
    <t>IDRSSS7 CMPN Curncy</t>
  </si>
  <si>
    <t>IRSWMM7 BGN Curncy</t>
  </si>
  <si>
    <t>PHPSQQ7 BGN Curncy</t>
  </si>
  <si>
    <t>SRSW7 BGN Curncy</t>
  </si>
  <si>
    <t>G0082Z 8Y BLC2 Curncy</t>
  </si>
  <si>
    <t>IDRSSS10 CMPN Curncy</t>
  </si>
  <si>
    <t>IRSWMM10 BGN Curncy</t>
  </si>
  <si>
    <t>PHPSQQ10 BGN Curncy</t>
  </si>
  <si>
    <t>SRSW10 BGN Curncy</t>
  </si>
  <si>
    <t>SRSW15 BGN Curncy</t>
  </si>
  <si>
    <t>HDSW20 Curncy</t>
  </si>
  <si>
    <t>BI0594Z 20Y BVLI Curncy</t>
  </si>
  <si>
    <t>NDSW25 Curncy</t>
  </si>
  <si>
    <t>CHSWP30 Curncy</t>
  </si>
  <si>
    <t>CKSW30 Curncy</t>
  </si>
  <si>
    <t>DKSW30 Curncy</t>
  </si>
  <si>
    <t>NKSW30 Curncy</t>
  </si>
  <si>
    <t>SKSW30 Curncy</t>
  </si>
  <si>
    <t xml:space="preserve">BI0570Z 30Y BVLI Curncy </t>
  </si>
  <si>
    <t>BI0609Z 30Y BVLI Curncy</t>
  </si>
  <si>
    <t>CNTBI50 INDEX</t>
  </si>
  <si>
    <t>EUSA50 Curncy</t>
  </si>
  <si>
    <t>CLSWU1 JPMQ Curncy</t>
  </si>
  <si>
    <t>CLSWU2 JPMQ Curncy</t>
  </si>
  <si>
    <t>CLSWU3 JPMQ Curncy</t>
  </si>
  <si>
    <t>CLSWU4 JPMQ Curncy</t>
  </si>
  <si>
    <t>CLSWU5 JPMQ Curncy</t>
  </si>
  <si>
    <t>CLSWU6 JPMQ Curncy</t>
  </si>
  <si>
    <t>CLSWU7 JPMQ Curncy</t>
  </si>
  <si>
    <t>CLSWU8 JPMQ Curncy</t>
  </si>
  <si>
    <t>CLSWU9 JPMQ Curncy</t>
  </si>
  <si>
    <t>CLSWU10 JPMQ Curncy</t>
  </si>
  <si>
    <t>CLSWU20 JPMQ Curncy</t>
  </si>
  <si>
    <t>원화 결정론적 시나리오</t>
    <phoneticPr fontId="2" type="noConversion"/>
  </si>
  <si>
    <t>해외통화 결정론적 시나리오</t>
    <phoneticPr fontId="2" type="noConversion"/>
  </si>
  <si>
    <t xml:space="preserve">  - 원화 자산평가용 할인율은 'FSS_ IFRS17 및 K-ICS 결정론적 시나리오' 산출파일 참고</t>
    <phoneticPr fontId="2" type="noConversion"/>
  </si>
  <si>
    <t xml:space="preserve">  - 해외통화 자산평가용 할인율은 '2. 해외통화 결정론적 시나리오'를 참고하여 회사가 직접 산출</t>
    <phoneticPr fontId="2" type="noConversion"/>
  </si>
  <si>
    <t>1. 원화 결정론적 시나리오</t>
    <phoneticPr fontId="2" type="noConversion"/>
  </si>
  <si>
    <t>2. 해외통화 결정론적 시나리오</t>
    <phoneticPr fontId="2" type="noConversion"/>
  </si>
  <si>
    <t>PENSSS1 BGNT Curncy</t>
  </si>
  <si>
    <t>RRSO1 BLC3 Curncy</t>
  </si>
  <si>
    <t>PENSSS2 BGNT Curncy</t>
  </si>
  <si>
    <t>RRSO2 BLC3 Curncy</t>
  </si>
  <si>
    <t>PENSSS3 BGNT Curncy</t>
  </si>
  <si>
    <t>RRSO3 BLC3 Curncy</t>
  </si>
  <si>
    <t>PENSSS4 BGNT Curncy</t>
  </si>
  <si>
    <t>RRSO4 BLC3 Curncy</t>
  </si>
  <si>
    <t>PENSSS5 BGNT Curncy</t>
  </si>
  <si>
    <t>RRSO5 BLC3 Curncy</t>
  </si>
  <si>
    <t>PENSSS6 BGNT Curncy</t>
  </si>
  <si>
    <t>RRSO6 BLC3 Curncy</t>
  </si>
  <si>
    <t>PENSSS7 BGNT Curncy</t>
  </si>
  <si>
    <t>RRSO7 BLC3 Curncy</t>
  </si>
  <si>
    <t>PENSSS8 BGNT Curncy</t>
  </si>
  <si>
    <t>RRSO8 BLC3 Curncy</t>
  </si>
  <si>
    <t>PENSSS9 BGNT Curncy</t>
  </si>
  <si>
    <t>RRSO9 BLC3 Curncy</t>
  </si>
  <si>
    <t>PENSSS10 BGNT Curncy</t>
  </si>
  <si>
    <t>RRSO10 BLC3 Curncy</t>
  </si>
  <si>
    <t>PENSSS12 BGNT Curncy</t>
  </si>
  <si>
    <t>PENSSS15 BGNT Curncy</t>
  </si>
  <si>
    <t>PENSSS20 BGNT Curncy</t>
  </si>
  <si>
    <t>RRSO20 BLC3 Curncy</t>
  </si>
  <si>
    <t>※ 변경사항</t>
    <phoneticPr fontId="2" type="noConversion"/>
  </si>
  <si>
    <t>BI0631Z 2Y BVLI Curncy</t>
  </si>
  <si>
    <t>BI0631Z 3Y BVLI Curncy</t>
  </si>
  <si>
    <t>BI0631Z 4Y BVLI Curncy</t>
  </si>
  <si>
    <t>BI0631Z 5Y BVLI Curncy</t>
  </si>
  <si>
    <t>BI0631Z 8Y BVLI Curncy</t>
  </si>
  <si>
    <t>BI0631Z 9Y BVLI Curncy</t>
  </si>
  <si>
    <t>CDSO1 BGN Curncy</t>
  </si>
  <si>
    <t>CDSO2 BGN Curncy</t>
  </si>
  <si>
    <t>CDSO3 BGN Curncy</t>
  </si>
  <si>
    <t>CDSO4 BGN Curncy</t>
  </si>
  <si>
    <t>CDSO5 BGN Curncy</t>
  </si>
  <si>
    <t>CDSO6 BGN Curncy</t>
  </si>
  <si>
    <t>CDSO7 BGN Curncy</t>
  </si>
  <si>
    <t>CDSO8 BGN Curncy</t>
  </si>
  <si>
    <t>CDSO9 BGN Curncy</t>
  </si>
  <si>
    <t>CDSO10 BGN Curncy</t>
  </si>
  <si>
    <t>CDSO12 BGN Curncy</t>
  </si>
  <si>
    <t>CDSO15 BGN Curncy</t>
  </si>
  <si>
    <t>CDSO20 BGN Curncy</t>
  </si>
  <si>
    <t>CDSO30 BGN Curncy</t>
  </si>
  <si>
    <t>G0001Z 1Y BLC2 Curncy</t>
  </si>
  <si>
    <t>G0393Z 1Y BLC2 Curncy</t>
  </si>
  <si>
    <t>G0165Z 1Y BLC2 Curncy</t>
  </si>
  <si>
    <t>G0018Z 1Y BLC2 Curncy</t>
  </si>
  <si>
    <t>G0251Z 1Y BLC2 Curncy</t>
  </si>
  <si>
    <t>G0196Z 1Y BLC2 Curncy</t>
  </si>
  <si>
    <t>G0177Z 1Y BLC2 Curncy</t>
  </si>
  <si>
    <t>BI0631Z 1Y BVLI Curncy</t>
  </si>
  <si>
    <t>G0107Z 1Y BLC2 Curncy</t>
  </si>
  <si>
    <t xml:space="preserve">BI0658Z 1Y BVLI Curncy </t>
  </si>
  <si>
    <t>G0111Z 1Y BLC2 Curncy</t>
  </si>
  <si>
    <t>G0001Z 2Y BLC2 Curncy</t>
  </si>
  <si>
    <t>G0393Z 2Y BLC2 Curncy</t>
  </si>
  <si>
    <t>G0165Z 2Y BLC2 Curncy</t>
  </si>
  <si>
    <t>G0018Z 2Y BLC2 Curncy</t>
  </si>
  <si>
    <t>G0251Z 2Y BLC2 Curncy</t>
  </si>
  <si>
    <t>G0196Z 2Y BLC2 Curncy</t>
  </si>
  <si>
    <t>G0177Z 2Y BLC2 Curncy</t>
  </si>
  <si>
    <t>G0107Z 2Y BLC2 Curncy</t>
  </si>
  <si>
    <t xml:space="preserve">BI0658Z 2Y BVLI Curncy </t>
  </si>
  <si>
    <t>G0111Z 2Y BLC2 Curncy</t>
  </si>
  <si>
    <t>G0001Z 3Y BLC2 Curncy</t>
  </si>
  <si>
    <t>G0393Z 3Y BLC2 Curncy</t>
  </si>
  <si>
    <t>CHSWP3 Curncy</t>
  </si>
  <si>
    <t>G0165Z 3Y BLC2 Curncy</t>
  </si>
  <si>
    <t>G0018Z 3Y BLC2 Curncy</t>
  </si>
  <si>
    <t>G0251Z 3Y BLC2 Curncy</t>
  </si>
  <si>
    <t>G0196Z 3Y BLC2 Curncy</t>
  </si>
  <si>
    <t>G0177Z 3Y BLC2 Curncy</t>
  </si>
  <si>
    <t>G0107Z 3Y BLC2 Curncy</t>
  </si>
  <si>
    <t xml:space="preserve">BI0658Z 3Y BVLI Curncy </t>
  </si>
  <si>
    <t>G0111Z 3Y BLC2 Curncy</t>
  </si>
  <si>
    <t>G0001Z 4Y BLC2 Curncy</t>
  </si>
  <si>
    <t>G0393Z 4Y BLC2 Curncy</t>
  </si>
  <si>
    <t>G0165Z 4Y BLC2 Curncy</t>
  </si>
  <si>
    <t>G0018Z 4Y BLC2 Curncy</t>
  </si>
  <si>
    <t>G0251Z 4Y BLC2 Curncy</t>
  </si>
  <si>
    <t>G0196Z 4Y BLC2 Curncy</t>
  </si>
  <si>
    <t>G0177Z 4Y BLC2 Curncy</t>
  </si>
  <si>
    <t>G0107Z 4Y BLC2 Curncy</t>
  </si>
  <si>
    <t xml:space="preserve">BI0658Z 4Y BVLI Curncy </t>
  </si>
  <si>
    <t>G0111Z 4Y BLC2 Curncy</t>
  </si>
  <si>
    <t>G0001Z 5Y BLC2 Curncy</t>
  </si>
  <si>
    <t>G0393Z 5Y BLC2 Curncy</t>
  </si>
  <si>
    <t>G0165Z 5Y BLC2 Curncy</t>
  </si>
  <si>
    <t>G0018Z 5Y BLC2 Curncy</t>
  </si>
  <si>
    <t>G0251Z 5Y BLC2 Curncy</t>
  </si>
  <si>
    <t>G0196Z 5Y BLC2 Curncy</t>
  </si>
  <si>
    <t>G0177Z 5Y BLC2 Curncy</t>
  </si>
  <si>
    <t>G0107Z 5Y BLC2 Curncy</t>
  </si>
  <si>
    <t xml:space="preserve">BI0658Z 5Y BVLI Curncy </t>
  </si>
  <si>
    <t>G0111Z 5Y BLC2 Curncy</t>
  </si>
  <si>
    <t>G0001Z 6Y BLC2 Curncy</t>
  </si>
  <si>
    <t>G0393Z 6Y BLC2 Curncy</t>
  </si>
  <si>
    <t>G0165Z 6Y BLC2 Curncy</t>
  </si>
  <si>
    <t>G0018Z 6Y BLC2 Curncy</t>
  </si>
  <si>
    <t>G0251Z 6Y BLC2 Curncy</t>
  </si>
  <si>
    <t>G0196Z 6Y BLC2 Curncy</t>
  </si>
  <si>
    <t>G0177Z 6Y BLC2 Curncy</t>
  </si>
  <si>
    <t>G0107Z 6Y BLC2 Curncy</t>
  </si>
  <si>
    <t>G0111Z 6Y BLC2 Curncy</t>
  </si>
  <si>
    <t>G0001Z 7Y BLC2 Curncy</t>
  </si>
  <si>
    <t>G0393Z 7Y BLC2 Curncy</t>
  </si>
  <si>
    <t>G0165Z 7Y BLC2 Curncy</t>
  </si>
  <si>
    <t>G0018Z 7Y BLC2 Curncy</t>
  </si>
  <si>
    <t>G0251Z 7Y BLC2 Curncy</t>
  </si>
  <si>
    <t>G0196Z 7Y BLC2 Curncy</t>
  </si>
  <si>
    <t>G0177Z 7Y BLC2 Curncy</t>
  </si>
  <si>
    <t>BI0631Z 7Y BVLI Curncy</t>
  </si>
  <si>
    <t>G0107Z 7Y BLC2 Curncy</t>
  </si>
  <si>
    <t xml:space="preserve">BI0658Z 7Y BVLI Curncy </t>
  </si>
  <si>
    <t>G0111Z 7Y BLC2 Curncy</t>
  </si>
  <si>
    <t>G0001Z 8Y BLC2 Curncy</t>
  </si>
  <si>
    <t>G0393Z 8Y BLC2 Curncy</t>
  </si>
  <si>
    <t>G0165Z 8Y BLC2 Curncy</t>
  </si>
  <si>
    <t>G0018Z 8Y BLC2 Curncy</t>
  </si>
  <si>
    <t>G0251Z 8Y BLC2 Curncy</t>
  </si>
  <si>
    <t>G0196Z 8Y BLC2 Curncy</t>
  </si>
  <si>
    <t>G0177Z 8Y BLC2 Curncy</t>
  </si>
  <si>
    <t>G0107Z 8Y BLC2 Curncy</t>
  </si>
  <si>
    <t xml:space="preserve">BI0658Z 8Y BVLI Curncy </t>
  </si>
  <si>
    <t>G0111Z 8Y BLC2 Curncy</t>
  </si>
  <si>
    <t>G0001Z 9Y BLC2 Curncy</t>
  </si>
  <si>
    <t>G0393Z 9Y BLC2 Curncy</t>
  </si>
  <si>
    <t>G0165Z 9Y BLC2 Curncy</t>
  </si>
  <si>
    <t>G0018Z 9Y BLC2 Curncy</t>
  </si>
  <si>
    <t>G0251Z 9Y BLC2 Curncy</t>
  </si>
  <si>
    <t>G0196Z 9Y BLC2 Curncy</t>
  </si>
  <si>
    <t>G0177Z 9Y BLC2 Curncy</t>
  </si>
  <si>
    <t>G0107Z 9Y BLC2 Curncy</t>
  </si>
  <si>
    <t xml:space="preserve">BI0658Z 9Y BVLI Curncy </t>
  </si>
  <si>
    <t>G0111Z 9Y BLC2 Curncy</t>
  </si>
  <si>
    <t>G0001Z 10Y BLC2 Curncy</t>
  </si>
  <si>
    <t>G0393Z 10Y BLC2 Curncy</t>
  </si>
  <si>
    <t>G0165Z 10Y BLC2 Curncy</t>
  </si>
  <si>
    <t>G0018Z 10Y BLC2 Curncy</t>
  </si>
  <si>
    <t>G0251Z 10Y BLC2 Curncy</t>
  </si>
  <si>
    <t>G0196Z 10Y BLC2 Curncy</t>
  </si>
  <si>
    <t>G0177Z 10Y BLC2 Curncy</t>
  </si>
  <si>
    <t>BI0631Z 10Y BVLI Curncy</t>
  </si>
  <si>
    <t>G0107Z 10Y BLC2 Curncy</t>
  </si>
  <si>
    <t xml:space="preserve">BI0658Z 10Y BVLI Curncy </t>
  </si>
  <si>
    <t>G0111Z 10Y BLC2 Curncy</t>
  </si>
  <si>
    <t>G0001Z 15Y BLC2 Curncy</t>
  </si>
  <si>
    <t>G0165Z 15Y BLC2 Curncy</t>
  </si>
  <si>
    <t>G0018Z 15Y BLC2 Curncy</t>
  </si>
  <si>
    <t>G0251Z 15Y BLC2 Curncy</t>
  </si>
  <si>
    <t>G0196Z 15Y BLC2 Curncy</t>
  </si>
  <si>
    <t>BI0631Z 15Y BVLI Curncy</t>
  </si>
  <si>
    <t>G0107Z 15Y BLC2 Curncy</t>
  </si>
  <si>
    <t>G0111Z 15Y BLC2 Curncy</t>
  </si>
  <si>
    <t>G0001Z 20Y BLC2 Curncy</t>
  </si>
  <si>
    <t>G0018Z 20Y BLC2 Curncy</t>
  </si>
  <si>
    <t>G0251Z 20Y BLC2 Curncy</t>
  </si>
  <si>
    <t>G0196Z 20Y BLC2 Curncy</t>
  </si>
  <si>
    <t>BI0631Z 20Y BVLI Curncy</t>
  </si>
  <si>
    <t>G0107Z 20Y BLC2 Curncy</t>
  </si>
  <si>
    <t>G0111Z 20Y BLC2 Curncy</t>
  </si>
  <si>
    <t>BI0631Z 25Y BVLI Curncy</t>
  </si>
  <si>
    <t>G0001Z 30Y BLC2 Curncy</t>
  </si>
  <si>
    <t>G0393Z 30Y BLC2 Curncy</t>
  </si>
  <si>
    <t>G0165Z 30Y BLC2 Curncy</t>
  </si>
  <si>
    <t>G0018Z 30Y BLC2 Curncy</t>
  </si>
  <si>
    <t>G0251Z 30Y BLC2 Curncy</t>
  </si>
  <si>
    <t>G0196Z 30Y BLC2 Curncy</t>
  </si>
  <si>
    <t>G0177Z 30Y BLC2 Curncy</t>
  </si>
  <si>
    <t>BI0631Z 30Y BVLI Curncy</t>
  </si>
  <si>
    <t>G0107Z 30Y BLC2 Curncy</t>
  </si>
  <si>
    <t>G0111Z 30Y BLC2 Curncy</t>
  </si>
  <si>
    <t>BPSWS50 Curncy</t>
  </si>
  <si>
    <r>
      <t xml:space="preserve">3. 장기선도금리(LTFR) : </t>
    </r>
    <r>
      <rPr>
        <b/>
        <i/>
        <sz val="11"/>
        <color rgb="FFFF0000"/>
        <rFont val="맑은 고딕"/>
        <family val="3"/>
        <charset val="129"/>
        <scheme val="minor"/>
      </rPr>
      <t>4.30%</t>
    </r>
    <phoneticPr fontId="2" type="noConversion"/>
  </si>
  <si>
    <t xml:space="preserve">   변동성조정(VA)</t>
    <phoneticPr fontId="2" type="noConversion"/>
  </si>
  <si>
    <r>
      <t xml:space="preserve">  - 해외통화 변동성 조정이 Tener별로 제공, </t>
    </r>
    <r>
      <rPr>
        <sz val="11"/>
        <color rgb="FFFF0000"/>
        <rFont val="맑은 고딕"/>
        <family val="3"/>
        <charset val="129"/>
        <scheme val="minor"/>
      </rPr>
      <t>시장금리가 관찰되는 티커 Tener에 해당하는 VA를 가산하여 적용</t>
    </r>
    <phoneticPr fontId="2" type="noConversion"/>
  </si>
  <si>
    <t xml:space="preserve">  - 유동성프리미엄은 1.25배하여 사용 </t>
    <phoneticPr fontId="2" type="noConversion"/>
  </si>
  <si>
    <t xml:space="preserve">     예시) CLP통화(LOT 10년 / 관찰되는 시장금리 1Y,2Y,3Y4Y,5Y,7Y,10Y,30Y) → 1,2,3,4,5,7,10에 해당하는 VA 값을 해당하는 spot rate 테너에 가산</t>
    <phoneticPr fontId="2" type="noConversion"/>
  </si>
  <si>
    <t>ISOIS1 BGN Curncy</t>
  </si>
  <si>
    <t>ISOIS2 BGN Curncy</t>
  </si>
  <si>
    <t>ISOIS3 BGN Curncy</t>
  </si>
  <si>
    <t>ISOIS4 BGN Curncy</t>
  </si>
  <si>
    <t>ISOIS5 BGN Curncy</t>
  </si>
  <si>
    <t>ISOIS6 BGN Curncy</t>
  </si>
  <si>
    <t>ISOIS7 BGN Curncy</t>
  </si>
  <si>
    <t>ISOIS8 BGN Curncy</t>
  </si>
  <si>
    <t>ISOIS9 BGN Curncy</t>
  </si>
  <si>
    <t>ISOIS10 BGN Curncy</t>
  </si>
  <si>
    <t>ISOIS12 BGN Curncy</t>
  </si>
  <si>
    <t>ISOIS15 BGN Curncy</t>
  </si>
  <si>
    <t>ISOIS20 BGN Curncy</t>
  </si>
  <si>
    <t>ISOIS30 BGN Curncy</t>
    <phoneticPr fontId="2" type="noConversion"/>
  </si>
  <si>
    <r>
      <t xml:space="preserve">1. 최종관찰만기(LOT) : </t>
    </r>
    <r>
      <rPr>
        <b/>
        <i/>
        <sz val="11"/>
        <color rgb="FFFF0000"/>
        <rFont val="맑은 고딕"/>
        <family val="3"/>
        <charset val="129"/>
        <scheme val="minor"/>
      </rPr>
      <t>30년</t>
    </r>
    <r>
      <rPr>
        <b/>
        <i/>
        <sz val="11"/>
        <color theme="1"/>
        <rFont val="맑은 고딕"/>
        <family val="3"/>
        <charset val="129"/>
        <scheme val="minor"/>
      </rPr>
      <t xml:space="preserve"> (단계적 적용, '26년은 23년 지점부터 장기선도금리에 수렴하도록 산출 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</si>
</sst>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[0\]"/>
    <numFmt numFmtId="177" formatCode="0.000%"/>
    <numFmt numFmtId="178" formatCode="0&quot;년&quot;"/>
  </numFmts>
  <fonts count="25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Verdana"/>
      <family val="2"/>
    </font>
    <font>
      <sz val="8"/>
      <color theme="1"/>
      <name val="Arial Narrow"/>
      <family val="2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5FA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3" fillId="0" borderId="0"/>
    <xf numFmtId="176" fontId="5" fillId="5" borderId="0" applyBorder="0">
      <alignment horizontal="center" vertical="center"/>
    </xf>
    <xf numFmtId="0" fontId="8" fillId="8" borderId="10" applyFont="0" applyBorder="0" applyAlignment="0">
      <alignment horizontal="left" indent="1"/>
    </xf>
    <xf numFmtId="9" fontId="22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Alignment="1">
      <alignment vertical="center" wrapText="1"/>
    </xf>
    <xf numFmtId="0" fontId="13" fillId="0" borderId="0" xfId="0" applyFont="1">
      <alignment vertical="center"/>
    </xf>
    <xf numFmtId="0" fontId="10" fillId="11" borderId="2" xfId="0" applyFont="1" applyFill="1" applyBorder="1" applyAlignment="1">
      <alignment horizontal="center" vertical="center"/>
    </xf>
    <xf numFmtId="178" fontId="9" fillId="10" borderId="11" xfId="0" applyNumberFormat="1" applyFont="1" applyFill="1" applyBorder="1" applyAlignment="1">
      <alignment horizontal="center" vertical="center"/>
    </xf>
    <xf numFmtId="178" fontId="9" fillId="10" borderId="2" xfId="0" applyNumberFormat="1" applyFont="1" applyFill="1" applyBorder="1" applyAlignment="1">
      <alignment horizontal="center" vertical="center"/>
    </xf>
    <xf numFmtId="0" fontId="9" fillId="10" borderId="11" xfId="0" applyNumberFormat="1" applyFont="1" applyFill="1" applyBorder="1" applyAlignment="1">
      <alignment horizontal="center" vertical="center"/>
    </xf>
    <xf numFmtId="0" fontId="9" fillId="10" borderId="2" xfId="0" applyNumberFormat="1" applyFont="1" applyFill="1" applyBorder="1" applyAlignment="1">
      <alignment horizontal="center" vertical="center"/>
    </xf>
    <xf numFmtId="0" fontId="9" fillId="11" borderId="2" xfId="4" applyFont="1" applyFill="1" applyBorder="1" applyAlignment="1">
      <alignment horizontal="center" vertical="center"/>
    </xf>
    <xf numFmtId="0" fontId="10" fillId="11" borderId="2" xfId="4" applyFont="1" applyFill="1" applyBorder="1" applyAlignment="1">
      <alignment horizontal="center"/>
    </xf>
    <xf numFmtId="0" fontId="14" fillId="0" borderId="0" xfId="0" applyFo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2" fillId="11" borderId="18" xfId="1" applyFont="1" applyFill="1" applyBorder="1" applyAlignment="1">
      <alignment horizontal="center" vertical="center"/>
    </xf>
    <xf numFmtId="0" fontId="16" fillId="3" borderId="0" xfId="2" applyFont="1" applyFill="1" applyAlignment="1">
      <alignment vertical="center" wrapText="1"/>
    </xf>
    <xf numFmtId="0" fontId="6" fillId="5" borderId="2" xfId="3" applyNumberFormat="1" applyFont="1" applyBorder="1" applyAlignment="1">
      <alignment horizontal="center" vertical="center"/>
    </xf>
    <xf numFmtId="0" fontId="6" fillId="6" borderId="20" xfId="0" applyNumberFormat="1" applyFont="1" applyFill="1" applyBorder="1" applyAlignment="1">
      <alignment horizontal="left" vertical="center" wrapText="1"/>
    </xf>
    <xf numFmtId="0" fontId="6" fillId="6" borderId="21" xfId="0" applyNumberFormat="1" applyFont="1" applyFill="1" applyBorder="1" applyAlignment="1">
      <alignment horizontal="left" vertical="center" wrapText="1"/>
    </xf>
    <xf numFmtId="0" fontId="6" fillId="6" borderId="22" xfId="0" applyNumberFormat="1" applyFont="1" applyFill="1" applyBorder="1" applyAlignment="1">
      <alignment horizontal="left" vertical="center" wrapText="1"/>
    </xf>
    <xf numFmtId="0" fontId="6" fillId="6" borderId="2" xfId="0" applyNumberFormat="1" applyFont="1" applyFill="1" applyBorder="1" applyAlignment="1">
      <alignment horizontal="left" vertical="center" wrapText="1"/>
    </xf>
    <xf numFmtId="0" fontId="10" fillId="11" borderId="11" xfId="4" applyFont="1" applyFill="1" applyBorder="1" applyAlignment="1">
      <alignment vertical="center"/>
    </xf>
    <xf numFmtId="0" fontId="10" fillId="11" borderId="15" xfId="4" applyFont="1" applyFill="1" applyBorder="1" applyAlignment="1">
      <alignment vertical="center"/>
    </xf>
    <xf numFmtId="0" fontId="16" fillId="0" borderId="0" xfId="0" applyFont="1">
      <alignment vertical="center"/>
    </xf>
    <xf numFmtId="0" fontId="10" fillId="0" borderId="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9" fillId="11" borderId="15" xfId="4" applyFont="1" applyFill="1" applyBorder="1" applyAlignment="1">
      <alignment vertical="center"/>
    </xf>
    <xf numFmtId="0" fontId="13" fillId="11" borderId="2" xfId="4" applyFont="1" applyFill="1" applyBorder="1" applyAlignment="1">
      <alignment horizontal="center"/>
    </xf>
    <xf numFmtId="10" fontId="10" fillId="10" borderId="11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 wrapText="1"/>
    </xf>
    <xf numFmtId="0" fontId="19" fillId="3" borderId="0" xfId="2" applyFont="1" applyFill="1" applyAlignment="1">
      <alignment vertical="center"/>
    </xf>
    <xf numFmtId="0" fontId="10" fillId="11" borderId="8" xfId="4" applyFont="1" applyFill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9" fillId="10" borderId="15" xfId="0" applyNumberFormat="1" applyFont="1" applyFill="1" applyBorder="1" applyAlignment="1">
      <alignment horizontal="center" vertical="center"/>
    </xf>
    <xf numFmtId="0" fontId="10" fillId="11" borderId="14" xfId="4" applyFont="1" applyFill="1" applyBorder="1" applyAlignment="1">
      <alignment vertical="center"/>
    </xf>
    <xf numFmtId="0" fontId="10" fillId="11" borderId="0" xfId="4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0" fillId="11" borderId="5" xfId="4" applyFont="1" applyFill="1" applyBorder="1" applyAlignment="1">
      <alignment vertical="center"/>
    </xf>
    <xf numFmtId="0" fontId="18" fillId="0" borderId="11" xfId="0" applyFont="1" applyFill="1" applyBorder="1" applyAlignment="1">
      <alignment horizontal="center" vertical="center"/>
    </xf>
    <xf numFmtId="0" fontId="10" fillId="11" borderId="12" xfId="4" applyFont="1" applyFill="1" applyBorder="1" applyAlignment="1">
      <alignment vertical="center"/>
    </xf>
    <xf numFmtId="0" fontId="11" fillId="12" borderId="2" xfId="0" applyFont="1" applyFill="1" applyBorder="1" applyAlignment="1">
      <alignment horizontal="center" vertical="center"/>
    </xf>
    <xf numFmtId="177" fontId="16" fillId="0" borderId="0" xfId="5" applyNumberFormat="1" applyFont="1">
      <alignment vertical="center"/>
    </xf>
    <xf numFmtId="177" fontId="16" fillId="0" borderId="2" xfId="5" applyNumberFormat="1" applyFont="1" applyBorder="1" applyAlignment="1">
      <alignment horizontal="center" vertical="center"/>
    </xf>
    <xf numFmtId="177" fontId="16" fillId="13" borderId="2" xfId="5" applyNumberFormat="1" applyFont="1" applyFill="1" applyBorder="1" applyAlignment="1">
      <alignment horizontal="center" vertical="center"/>
    </xf>
    <xf numFmtId="177" fontId="16" fillId="12" borderId="2" xfId="5" quotePrefix="1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quotePrefix="1" applyFont="1">
      <alignment vertical="center"/>
    </xf>
    <xf numFmtId="0" fontId="7" fillId="7" borderId="4" xfId="2" applyFont="1" applyFill="1" applyBorder="1" applyAlignment="1">
      <alignment horizontal="center" vertical="center" wrapText="1"/>
    </xf>
    <xf numFmtId="0" fontId="7" fillId="7" borderId="8" xfId="2" applyFont="1" applyFill="1" applyBorder="1" applyAlignment="1">
      <alignment horizontal="center" vertical="center" wrapText="1"/>
    </xf>
    <xf numFmtId="0" fontId="7" fillId="7" borderId="5" xfId="2" applyFont="1" applyFill="1" applyBorder="1" applyAlignment="1">
      <alignment horizontal="center" vertical="center" wrapText="1"/>
    </xf>
    <xf numFmtId="0" fontId="7" fillId="7" borderId="6" xfId="2" applyFont="1" applyFill="1" applyBorder="1" applyAlignment="1">
      <alignment horizontal="center" vertical="center" wrapText="1"/>
    </xf>
    <xf numFmtId="0" fontId="7" fillId="7" borderId="14" xfId="2" applyFont="1" applyFill="1" applyBorder="1" applyAlignment="1">
      <alignment horizontal="center" vertical="center" wrapText="1"/>
    </xf>
    <xf numFmtId="0" fontId="7" fillId="7" borderId="7" xfId="2" applyFont="1" applyFill="1" applyBorder="1" applyAlignment="1">
      <alignment horizontal="center" vertical="center" wrapText="1"/>
    </xf>
    <xf numFmtId="49" fontId="10" fillId="3" borderId="0" xfId="2" applyNumberFormat="1" applyFont="1" applyFill="1" applyAlignment="1">
      <alignment horizontal="center" vertical="center" wrapText="1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6" fillId="0" borderId="8" xfId="2" applyNumberFormat="1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>
      <alignment horizontal="center" vertical="center" wrapText="1"/>
    </xf>
    <xf numFmtId="0" fontId="6" fillId="0" borderId="0" xfId="2" applyNumberFormat="1" applyFont="1" applyFill="1" applyBorder="1" applyAlignment="1">
      <alignment horizontal="center" vertical="center" wrapText="1"/>
    </xf>
    <xf numFmtId="0" fontId="6" fillId="0" borderId="16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Fill="1" applyBorder="1" applyAlignment="1">
      <alignment horizontal="center" vertical="center" wrapText="1"/>
    </xf>
    <xf numFmtId="0" fontId="6" fillId="0" borderId="7" xfId="2" applyNumberFormat="1" applyFont="1" applyFill="1" applyBorder="1" applyAlignment="1">
      <alignment horizontal="center" vertical="center" wrapText="1"/>
    </xf>
    <xf numFmtId="0" fontId="6" fillId="5" borderId="9" xfId="3" applyNumberFormat="1" applyFont="1" applyBorder="1" applyAlignment="1">
      <alignment horizontal="center" vertical="center"/>
    </xf>
    <xf numFmtId="0" fontId="6" fillId="5" borderId="10" xfId="3" applyNumberFormat="1" applyFont="1" applyBorder="1" applyAlignment="1">
      <alignment horizontal="center" vertical="center"/>
    </xf>
    <xf numFmtId="0" fontId="6" fillId="5" borderId="3" xfId="3" applyNumberFormat="1" applyFont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0" borderId="19" xfId="2" applyFont="1" applyFill="1" applyBorder="1" applyAlignment="1">
      <alignment horizontal="center" vertical="center" wrapText="1"/>
    </xf>
    <xf numFmtId="0" fontId="6" fillId="0" borderId="13" xfId="2" applyFont="1" applyFill="1" applyBorder="1" applyAlignment="1">
      <alignment horizontal="center" vertical="center" wrapText="1"/>
    </xf>
    <xf numFmtId="0" fontId="20" fillId="0" borderId="8" xfId="2" applyFont="1" applyFill="1" applyBorder="1" applyAlignment="1">
      <alignment horizontal="center" vertical="center" wrapText="1"/>
    </xf>
    <xf numFmtId="0" fontId="20" fillId="0" borderId="5" xfId="2" applyFont="1" applyFill="1" applyBorder="1" applyAlignment="1">
      <alignment horizontal="center" vertical="center" wrapText="1"/>
    </xf>
    <xf numFmtId="0" fontId="20" fillId="0" borderId="0" xfId="2" applyFont="1" applyFill="1" applyBorder="1" applyAlignment="1">
      <alignment horizontal="center" vertical="center" wrapText="1"/>
    </xf>
    <xf numFmtId="0" fontId="20" fillId="0" borderId="16" xfId="2" applyFont="1" applyFill="1" applyBorder="1" applyAlignment="1">
      <alignment horizontal="center" vertical="center" wrapText="1"/>
    </xf>
    <xf numFmtId="0" fontId="20" fillId="0" borderId="14" xfId="2" applyFont="1" applyFill="1" applyBorder="1" applyAlignment="1">
      <alignment horizontal="center" vertical="center" wrapText="1"/>
    </xf>
    <xf numFmtId="0" fontId="20" fillId="0" borderId="7" xfId="2" applyFont="1" applyFill="1" applyBorder="1" applyAlignment="1">
      <alignment horizontal="center" vertical="center" wrapText="1"/>
    </xf>
    <xf numFmtId="0" fontId="6" fillId="6" borderId="4" xfId="0" applyNumberFormat="1" applyFont="1" applyFill="1" applyBorder="1" applyAlignment="1">
      <alignment horizontal="center" vertical="center"/>
    </xf>
    <xf numFmtId="0" fontId="6" fillId="6" borderId="8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0" fontId="6" fillId="6" borderId="17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Border="1" applyAlignment="1">
      <alignment horizontal="center" vertical="center"/>
    </xf>
    <xf numFmtId="0" fontId="6" fillId="6" borderId="16" xfId="0" applyNumberFormat="1" applyFont="1" applyFill="1" applyBorder="1" applyAlignment="1">
      <alignment horizontal="center" vertical="center"/>
    </xf>
    <xf numFmtId="0" fontId="6" fillId="6" borderId="6" xfId="0" applyNumberFormat="1" applyFont="1" applyFill="1" applyBorder="1" applyAlignment="1">
      <alignment horizontal="center" vertical="center"/>
    </xf>
    <xf numFmtId="0" fontId="6" fillId="6" borderId="14" xfId="0" applyNumberFormat="1" applyFont="1" applyFill="1" applyBorder="1" applyAlignment="1">
      <alignment horizontal="center" vertical="center"/>
    </xf>
    <xf numFmtId="0" fontId="6" fillId="6" borderId="7" xfId="0" applyNumberFormat="1" applyFont="1" applyFill="1" applyBorder="1" applyAlignment="1">
      <alignment horizontal="center" vertical="center"/>
    </xf>
    <xf numFmtId="14" fontId="17" fillId="9" borderId="11" xfId="0" applyNumberFormat="1" applyFont="1" applyFill="1" applyBorder="1" applyAlignment="1">
      <alignment horizontal="center"/>
    </xf>
    <xf numFmtId="14" fontId="17" fillId="9" borderId="15" xfId="0" applyNumberFormat="1" applyFont="1" applyFill="1" applyBorder="1" applyAlignment="1">
      <alignment horizontal="center"/>
    </xf>
    <xf numFmtId="14" fontId="17" fillId="9" borderId="12" xfId="0" applyNumberFormat="1" applyFont="1" applyFill="1" applyBorder="1" applyAlignment="1">
      <alignment horizontal="center"/>
    </xf>
  </cellXfs>
  <cellStyles count="6">
    <cellStyle name="IAIS.FT_RCode" xfId="3" xr:uid="{00000000-0005-0000-0000-000000000000}"/>
    <cellStyle name="IAIS_FT.Caption 2" xfId="4" xr:uid="{00000000-0005-0000-0000-000001000000}"/>
    <cellStyle name="계산" xfId="1" builtinId="22"/>
    <cellStyle name="백분율" xfId="5" builtinId="5"/>
    <cellStyle name="표준" xfId="0" builtinId="0"/>
    <cellStyle name="표준 2" xfId="2" xr:uid="{00000000-0005-0000-0000-000004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1"/>
  <sheetViews>
    <sheetView workbookViewId="0">
      <selection activeCell="T16" sqref="T16"/>
    </sheetView>
  </sheetViews>
  <sheetFormatPr defaultColWidth="5.75" defaultRowHeight="0" customHeight="1" zeroHeight="1" x14ac:dyDescent="0.3"/>
  <cols>
    <col min="1" max="7" width="5.75" style="2"/>
    <col min="8" max="8" width="39.75" style="2" customWidth="1"/>
    <col min="9" max="11" width="5.75" style="2" customWidth="1"/>
    <col min="12" max="13" width="5.75" style="1"/>
    <col min="14" max="16384" width="5.75" style="2"/>
  </cols>
  <sheetData>
    <row r="1" spans="1:11" ht="19.899999999999999" customHeight="1" x14ac:dyDescent="0.3">
      <c r="A1" s="58"/>
      <c r="B1" s="58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19.899999999999999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1" customFormat="1" ht="19.899999999999999" customHeight="1" x14ac:dyDescent="0.3">
      <c r="A3" s="14"/>
      <c r="B3" s="52" t="str">
        <f xml:space="preserve"> "IFRS17 및 K-ICS 할인율 산출기준"</f>
        <v>IFRS17 및 K-ICS 할인율 산출기준</v>
      </c>
      <c r="C3" s="53"/>
      <c r="D3" s="53"/>
      <c r="E3" s="53"/>
      <c r="F3" s="53"/>
      <c r="G3" s="53"/>
      <c r="H3" s="53"/>
      <c r="I3" s="53"/>
      <c r="J3" s="54"/>
      <c r="K3" s="14"/>
    </row>
    <row r="4" spans="1:11" s="1" customFormat="1" ht="19.899999999999999" customHeight="1" x14ac:dyDescent="0.3">
      <c r="A4" s="14"/>
      <c r="B4" s="55"/>
      <c r="C4" s="56"/>
      <c r="D4" s="56"/>
      <c r="E4" s="56"/>
      <c r="F4" s="56"/>
      <c r="G4" s="56"/>
      <c r="H4" s="56"/>
      <c r="I4" s="56"/>
      <c r="J4" s="57"/>
      <c r="K4" s="14"/>
    </row>
    <row r="5" spans="1:11" s="1" customFormat="1" ht="19.899999999999999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s="1" customFormat="1" ht="19.899999999999999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s="1" customFormat="1" ht="19.899999999999999" customHeight="1" x14ac:dyDescent="0.3">
      <c r="A7" s="14"/>
      <c r="B7" s="29" t="s">
        <v>208</v>
      </c>
      <c r="C7" s="60" t="s">
        <v>209</v>
      </c>
      <c r="D7" s="60"/>
      <c r="E7" s="60"/>
      <c r="F7" s="60"/>
      <c r="G7" s="60"/>
      <c r="H7" s="29" t="s">
        <v>210</v>
      </c>
      <c r="I7" s="59" t="s">
        <v>211</v>
      </c>
      <c r="J7" s="60"/>
      <c r="K7" s="14"/>
    </row>
    <row r="8" spans="1:11" s="1" customFormat="1" ht="19.899999999999999" customHeight="1" x14ac:dyDescent="0.3">
      <c r="A8" s="14"/>
      <c r="B8" s="67">
        <v>1</v>
      </c>
      <c r="C8" s="70" t="s">
        <v>314</v>
      </c>
      <c r="D8" s="70"/>
      <c r="E8" s="70"/>
      <c r="F8" s="70"/>
      <c r="G8" s="70"/>
      <c r="H8" s="16" t="s">
        <v>212</v>
      </c>
      <c r="I8" s="61" t="s">
        <v>213</v>
      </c>
      <c r="J8" s="62"/>
      <c r="K8" s="14"/>
    </row>
    <row r="9" spans="1:11" s="1" customFormat="1" ht="19.899999999999999" customHeight="1" x14ac:dyDescent="0.3">
      <c r="A9" s="14"/>
      <c r="B9" s="68"/>
      <c r="C9" s="70"/>
      <c r="D9" s="70"/>
      <c r="E9" s="70"/>
      <c r="F9" s="70"/>
      <c r="G9" s="70"/>
      <c r="H9" s="17" t="s">
        <v>214</v>
      </c>
      <c r="I9" s="63"/>
      <c r="J9" s="64"/>
      <c r="K9" s="14"/>
    </row>
    <row r="10" spans="1:11" s="1" customFormat="1" ht="19.899999999999999" customHeight="1" x14ac:dyDescent="0.3">
      <c r="A10" s="14"/>
      <c r="B10" s="69"/>
      <c r="C10" s="70"/>
      <c r="D10" s="70"/>
      <c r="E10" s="70"/>
      <c r="F10" s="70"/>
      <c r="G10" s="70"/>
      <c r="H10" s="18" t="s">
        <v>215</v>
      </c>
      <c r="I10" s="65"/>
      <c r="J10" s="66"/>
      <c r="K10" s="14"/>
    </row>
    <row r="11" spans="1:11" s="1" customFormat="1" ht="19.899999999999999" customHeight="1" x14ac:dyDescent="0.3">
      <c r="A11" s="14"/>
      <c r="B11" s="67">
        <v>2</v>
      </c>
      <c r="C11" s="79" t="s">
        <v>315</v>
      </c>
      <c r="D11" s="80"/>
      <c r="E11" s="80"/>
      <c r="F11" s="80"/>
      <c r="G11" s="81"/>
      <c r="H11" s="16" t="s">
        <v>216</v>
      </c>
      <c r="I11" s="73" t="s">
        <v>257</v>
      </c>
      <c r="J11" s="74"/>
      <c r="K11" s="14"/>
    </row>
    <row r="12" spans="1:11" s="1" customFormat="1" ht="19.899999999999999" customHeight="1" x14ac:dyDescent="0.3">
      <c r="A12" s="14"/>
      <c r="B12" s="68"/>
      <c r="C12" s="82"/>
      <c r="D12" s="83"/>
      <c r="E12" s="83"/>
      <c r="F12" s="83"/>
      <c r="G12" s="84"/>
      <c r="H12" s="17" t="s">
        <v>212</v>
      </c>
      <c r="I12" s="75"/>
      <c r="J12" s="76"/>
      <c r="K12" s="14"/>
    </row>
    <row r="13" spans="1:11" s="1" customFormat="1" ht="19.899999999999999" customHeight="1" x14ac:dyDescent="0.3">
      <c r="A13" s="14"/>
      <c r="B13" s="68"/>
      <c r="C13" s="82"/>
      <c r="D13" s="83"/>
      <c r="E13" s="83"/>
      <c r="F13" s="83"/>
      <c r="G13" s="84"/>
      <c r="H13" s="17" t="s">
        <v>214</v>
      </c>
      <c r="I13" s="75"/>
      <c r="J13" s="76"/>
      <c r="K13" s="14"/>
    </row>
    <row r="14" spans="1:11" s="1" customFormat="1" ht="21.6" customHeight="1" x14ac:dyDescent="0.3">
      <c r="A14" s="14"/>
      <c r="B14" s="68"/>
      <c r="C14" s="82"/>
      <c r="D14" s="83"/>
      <c r="E14" s="83"/>
      <c r="F14" s="83"/>
      <c r="G14" s="84"/>
      <c r="H14" s="17" t="s">
        <v>215</v>
      </c>
      <c r="I14" s="75"/>
      <c r="J14" s="76"/>
      <c r="K14" s="14"/>
    </row>
    <row r="15" spans="1:11" s="1" customFormat="1" ht="21.6" customHeight="1" x14ac:dyDescent="0.3">
      <c r="A15" s="14"/>
      <c r="B15" s="69"/>
      <c r="C15" s="85"/>
      <c r="D15" s="86"/>
      <c r="E15" s="86"/>
      <c r="F15" s="86"/>
      <c r="G15" s="87"/>
      <c r="H15" s="18" t="s">
        <v>217</v>
      </c>
      <c r="I15" s="77"/>
      <c r="J15" s="78"/>
      <c r="K15" s="14"/>
    </row>
    <row r="16" spans="1:11" s="1" customFormat="1" ht="46.9" customHeight="1" x14ac:dyDescent="0.3">
      <c r="A16" s="14"/>
      <c r="B16" s="15">
        <v>3</v>
      </c>
      <c r="C16" s="70" t="s">
        <v>218</v>
      </c>
      <c r="D16" s="70"/>
      <c r="E16" s="70"/>
      <c r="F16" s="70"/>
      <c r="G16" s="70"/>
      <c r="H16" s="19" t="s">
        <v>219</v>
      </c>
      <c r="I16" s="71" t="s">
        <v>213</v>
      </c>
      <c r="J16" s="72"/>
      <c r="K16" s="14"/>
    </row>
    <row r="17" spans="1:11" ht="20.45" customHeight="1" x14ac:dyDescent="0.3">
      <c r="A17" s="14"/>
      <c r="B17" s="30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6.899999999999999" customHeight="1" x14ac:dyDescent="0.3">
      <c r="A18" s="14"/>
      <c r="B18" s="30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3.9" customHeight="1" x14ac:dyDescent="0.3">
      <c r="B19" s="25"/>
    </row>
    <row r="20" spans="1:11" ht="13.9" customHeight="1" x14ac:dyDescent="0.3"/>
    <row r="21" spans="1:11" ht="13.9" customHeight="1" x14ac:dyDescent="0.3"/>
  </sheetData>
  <mergeCells count="12">
    <mergeCell ref="I16:J16"/>
    <mergeCell ref="I11:J15"/>
    <mergeCell ref="C16:G16"/>
    <mergeCell ref="B11:B15"/>
    <mergeCell ref="C11:G15"/>
    <mergeCell ref="B3:J4"/>
    <mergeCell ref="A1:B1"/>
    <mergeCell ref="I7:J7"/>
    <mergeCell ref="C7:G7"/>
    <mergeCell ref="I8:J10"/>
    <mergeCell ref="B8:B10"/>
    <mergeCell ref="C8:G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94CB-FBB9-4CAE-9915-0C981C230A7E}">
  <sheetPr>
    <pageSetUpPr fitToPage="1"/>
  </sheetPr>
  <dimension ref="A1:AJ121"/>
  <sheetViews>
    <sheetView tabSelected="1" zoomScale="70" zoomScaleNormal="70" workbookViewId="0">
      <selection activeCell="B2" sqref="B2:E2"/>
    </sheetView>
  </sheetViews>
  <sheetFormatPr defaultRowHeight="16.5" x14ac:dyDescent="0.3"/>
  <cols>
    <col min="1" max="1" width="3" customWidth="1"/>
    <col min="2" max="2" width="18.5" customWidth="1"/>
    <col min="3" max="5" width="20.75" customWidth="1"/>
    <col min="6" max="6" width="21.625" customWidth="1"/>
    <col min="7" max="26" width="20.75" customWidth="1"/>
    <col min="27" max="27" width="23.75" customWidth="1"/>
    <col min="28" max="31" width="20.75" customWidth="1"/>
    <col min="32" max="32" width="22.875" customWidth="1"/>
    <col min="33" max="33" width="20.75" customWidth="1"/>
    <col min="34" max="34" width="22.75" customWidth="1"/>
    <col min="35" max="35" width="20.75" customWidth="1"/>
    <col min="36" max="36" width="22.75" customWidth="1"/>
  </cols>
  <sheetData>
    <row r="1" spans="2:36" ht="10.9" customHeight="1" x14ac:dyDescent="0.3"/>
    <row r="2" spans="2:36" ht="20.25" x14ac:dyDescent="0.35">
      <c r="B2" s="88" t="s">
        <v>318</v>
      </c>
      <c r="C2" s="89"/>
      <c r="D2" s="89"/>
      <c r="E2" s="90"/>
    </row>
    <row r="3" spans="2:36" ht="19.899999999999999" customHeight="1" x14ac:dyDescent="0.3"/>
    <row r="4" spans="2:36" x14ac:dyDescent="0.3">
      <c r="B4" s="11" t="s">
        <v>514</v>
      </c>
    </row>
    <row r="5" spans="2:36" x14ac:dyDescent="0.3">
      <c r="B5" s="11" t="s">
        <v>171</v>
      </c>
    </row>
    <row r="6" spans="2:36" x14ac:dyDescent="0.3">
      <c r="B6" s="11" t="s">
        <v>495</v>
      </c>
    </row>
    <row r="8" spans="2:36" ht="20.25" x14ac:dyDescent="0.35">
      <c r="B8" s="88" t="s">
        <v>319</v>
      </c>
      <c r="C8" s="89"/>
      <c r="D8" s="89"/>
      <c r="E8" s="90"/>
    </row>
    <row r="9" spans="2:36" x14ac:dyDescent="0.3">
      <c r="C9" s="3"/>
      <c r="D9" s="3"/>
      <c r="E9" s="3"/>
    </row>
    <row r="10" spans="2:36" x14ac:dyDescent="0.3">
      <c r="B10" s="13"/>
      <c r="C10" s="4" t="s">
        <v>24</v>
      </c>
      <c r="D10" s="4" t="s">
        <v>7</v>
      </c>
      <c r="E10" s="4" t="s">
        <v>25</v>
      </c>
      <c r="F10" s="4" t="s">
        <v>8</v>
      </c>
      <c r="G10" s="4" t="s">
        <v>26</v>
      </c>
      <c r="H10" s="4" t="s">
        <v>9</v>
      </c>
      <c r="I10" s="4" t="s">
        <v>27</v>
      </c>
      <c r="J10" s="4" t="s">
        <v>10</v>
      </c>
      <c r="K10" s="4" t="s">
        <v>28</v>
      </c>
      <c r="L10" s="4" t="s">
        <v>11</v>
      </c>
      <c r="M10" s="4" t="s">
        <v>29</v>
      </c>
      <c r="N10" s="4" t="s">
        <v>12</v>
      </c>
      <c r="O10" s="4" t="s">
        <v>30</v>
      </c>
      <c r="P10" s="4" t="s">
        <v>13</v>
      </c>
      <c r="Q10" s="4" t="s">
        <v>31</v>
      </c>
      <c r="R10" s="4" t="s">
        <v>14</v>
      </c>
      <c r="S10" s="4" t="s">
        <v>32</v>
      </c>
      <c r="T10" s="4" t="s">
        <v>15</v>
      </c>
      <c r="U10" s="4" t="s">
        <v>33</v>
      </c>
      <c r="V10" s="4" t="s">
        <v>16</v>
      </c>
      <c r="W10" s="4" t="s">
        <v>34</v>
      </c>
      <c r="X10" s="4" t="s">
        <v>17</v>
      </c>
      <c r="Y10" s="4" t="s">
        <v>35</v>
      </c>
      <c r="Z10" s="4" t="s">
        <v>18</v>
      </c>
      <c r="AA10" s="4" t="s">
        <v>36</v>
      </c>
      <c r="AB10" s="4" t="s">
        <v>19</v>
      </c>
      <c r="AC10" s="4" t="s">
        <v>37</v>
      </c>
      <c r="AD10" s="4" t="s">
        <v>20</v>
      </c>
      <c r="AE10" s="4" t="s">
        <v>38</v>
      </c>
      <c r="AF10" s="4" t="s">
        <v>21</v>
      </c>
      <c r="AG10" s="4" t="s">
        <v>39</v>
      </c>
      <c r="AH10" s="4" t="s">
        <v>22</v>
      </c>
      <c r="AI10" s="4" t="s">
        <v>40</v>
      </c>
      <c r="AJ10" s="4" t="s">
        <v>23</v>
      </c>
    </row>
    <row r="11" spans="2:36" x14ac:dyDescent="0.3">
      <c r="B11" s="9" t="s">
        <v>6</v>
      </c>
      <c r="C11" s="4" t="s">
        <v>134</v>
      </c>
      <c r="D11" s="4" t="s">
        <v>135</v>
      </c>
      <c r="E11" s="4" t="s">
        <v>136</v>
      </c>
      <c r="F11" s="4" t="s">
        <v>137</v>
      </c>
      <c r="G11" s="4" t="s">
        <v>138</v>
      </c>
      <c r="H11" s="4" t="s">
        <v>139</v>
      </c>
      <c r="I11" s="4" t="s">
        <v>140</v>
      </c>
      <c r="J11" s="4" t="s">
        <v>141</v>
      </c>
      <c r="K11" s="4" t="s">
        <v>142</v>
      </c>
      <c r="L11" s="4" t="s">
        <v>143</v>
      </c>
      <c r="M11" s="4" t="s">
        <v>144</v>
      </c>
      <c r="N11" s="4" t="s">
        <v>145</v>
      </c>
      <c r="O11" s="4" t="s">
        <v>146</v>
      </c>
      <c r="P11" s="4" t="s">
        <v>147</v>
      </c>
      <c r="Q11" s="4" t="s">
        <v>148</v>
      </c>
      <c r="R11" s="4" t="s">
        <v>149</v>
      </c>
      <c r="S11" s="4" t="s">
        <v>150</v>
      </c>
      <c r="T11" s="4" t="s">
        <v>151</v>
      </c>
      <c r="U11" s="4" t="s">
        <v>152</v>
      </c>
      <c r="V11" s="4" t="s">
        <v>153</v>
      </c>
      <c r="W11" s="4" t="s">
        <v>154</v>
      </c>
      <c r="X11" s="4" t="s">
        <v>155</v>
      </c>
      <c r="Y11" s="4" t="s">
        <v>156</v>
      </c>
      <c r="Z11" s="4" t="s">
        <v>157</v>
      </c>
      <c r="AA11" s="4" t="s">
        <v>158</v>
      </c>
      <c r="AB11" s="4" t="s">
        <v>159</v>
      </c>
      <c r="AC11" s="4" t="s">
        <v>160</v>
      </c>
      <c r="AD11" s="4" t="s">
        <v>161</v>
      </c>
      <c r="AE11" s="4" t="s">
        <v>162</v>
      </c>
      <c r="AF11" s="4" t="s">
        <v>163</v>
      </c>
      <c r="AG11" s="4" t="s">
        <v>164</v>
      </c>
      <c r="AH11" s="4" t="s">
        <v>133</v>
      </c>
      <c r="AI11" s="4" t="s">
        <v>165</v>
      </c>
      <c r="AJ11" s="4" t="s">
        <v>166</v>
      </c>
    </row>
    <row r="12" spans="2:36" x14ac:dyDescent="0.3">
      <c r="B12" s="9" t="s">
        <v>1</v>
      </c>
      <c r="C12" s="5">
        <v>30</v>
      </c>
      <c r="D12" s="5">
        <v>10</v>
      </c>
      <c r="E12" s="5">
        <v>30</v>
      </c>
      <c r="F12" s="5">
        <v>20</v>
      </c>
      <c r="G12" s="5">
        <v>10</v>
      </c>
      <c r="H12" s="5">
        <v>10</v>
      </c>
      <c r="I12" s="5">
        <v>10</v>
      </c>
      <c r="J12" s="5">
        <v>15</v>
      </c>
      <c r="K12" s="5">
        <v>20</v>
      </c>
      <c r="L12" s="5">
        <v>20</v>
      </c>
      <c r="M12" s="5">
        <v>50</v>
      </c>
      <c r="N12" s="5">
        <v>15</v>
      </c>
      <c r="O12" s="5">
        <v>15</v>
      </c>
      <c r="P12" s="5">
        <v>10</v>
      </c>
      <c r="Q12" s="5">
        <v>20</v>
      </c>
      <c r="R12" s="6">
        <v>10</v>
      </c>
      <c r="S12" s="6">
        <v>30</v>
      </c>
      <c r="T12" s="5">
        <v>20</v>
      </c>
      <c r="U12" s="6">
        <v>15</v>
      </c>
      <c r="V12" s="6">
        <v>10</v>
      </c>
      <c r="W12" s="5">
        <v>20</v>
      </c>
      <c r="X12" s="6">
        <v>10</v>
      </c>
      <c r="Y12" s="6">
        <v>10</v>
      </c>
      <c r="Z12" s="6">
        <v>10</v>
      </c>
      <c r="AA12" s="6">
        <v>10</v>
      </c>
      <c r="AB12" s="5">
        <v>10</v>
      </c>
      <c r="AC12" s="6">
        <v>15</v>
      </c>
      <c r="AD12" s="6">
        <v>10</v>
      </c>
      <c r="AE12" s="6">
        <v>20</v>
      </c>
      <c r="AF12" s="6">
        <v>10</v>
      </c>
      <c r="AG12" s="5">
        <v>10</v>
      </c>
      <c r="AH12" s="6">
        <v>10</v>
      </c>
      <c r="AI12" s="6">
        <v>30</v>
      </c>
      <c r="AJ12" s="6">
        <v>30</v>
      </c>
    </row>
    <row r="13" spans="2:36" x14ac:dyDescent="0.25">
      <c r="B13" s="10" t="s">
        <v>2</v>
      </c>
      <c r="C13" s="5">
        <f>MAX(C12+30,60)</f>
        <v>60</v>
      </c>
      <c r="D13" s="5">
        <f t="shared" ref="D13:AJ13" si="0">MAX(D12+30,60)</f>
        <v>60</v>
      </c>
      <c r="E13" s="5">
        <f t="shared" si="0"/>
        <v>60</v>
      </c>
      <c r="F13" s="5">
        <f t="shared" si="0"/>
        <v>60</v>
      </c>
      <c r="G13" s="5">
        <f t="shared" si="0"/>
        <v>60</v>
      </c>
      <c r="H13" s="5">
        <f t="shared" si="0"/>
        <v>60</v>
      </c>
      <c r="I13" s="5">
        <f t="shared" si="0"/>
        <v>60</v>
      </c>
      <c r="J13" s="5">
        <f t="shared" si="0"/>
        <v>60</v>
      </c>
      <c r="K13" s="5">
        <f t="shared" si="0"/>
        <v>60</v>
      </c>
      <c r="L13" s="5">
        <f t="shared" si="0"/>
        <v>60</v>
      </c>
      <c r="M13" s="5">
        <f t="shared" si="0"/>
        <v>80</v>
      </c>
      <c r="N13" s="5">
        <f t="shared" si="0"/>
        <v>60</v>
      </c>
      <c r="O13" s="5">
        <f t="shared" si="0"/>
        <v>60</v>
      </c>
      <c r="P13" s="5">
        <f t="shared" si="0"/>
        <v>60</v>
      </c>
      <c r="Q13" s="5">
        <f t="shared" si="0"/>
        <v>60</v>
      </c>
      <c r="R13" s="5">
        <f t="shared" si="0"/>
        <v>60</v>
      </c>
      <c r="S13" s="5">
        <f t="shared" si="0"/>
        <v>60</v>
      </c>
      <c r="T13" s="5">
        <f t="shared" si="0"/>
        <v>60</v>
      </c>
      <c r="U13" s="5">
        <f t="shared" si="0"/>
        <v>60</v>
      </c>
      <c r="V13" s="5">
        <f t="shared" si="0"/>
        <v>60</v>
      </c>
      <c r="W13" s="5">
        <f t="shared" si="0"/>
        <v>60</v>
      </c>
      <c r="X13" s="5">
        <f t="shared" si="0"/>
        <v>60</v>
      </c>
      <c r="Y13" s="5">
        <f t="shared" si="0"/>
        <v>60</v>
      </c>
      <c r="Z13" s="5">
        <f t="shared" si="0"/>
        <v>60</v>
      </c>
      <c r="AA13" s="5">
        <f t="shared" si="0"/>
        <v>60</v>
      </c>
      <c r="AB13" s="5">
        <f t="shared" si="0"/>
        <v>60</v>
      </c>
      <c r="AC13" s="5">
        <f t="shared" si="0"/>
        <v>60</v>
      </c>
      <c r="AD13" s="5">
        <f t="shared" si="0"/>
        <v>60</v>
      </c>
      <c r="AE13" s="5">
        <f t="shared" si="0"/>
        <v>60</v>
      </c>
      <c r="AF13" s="5">
        <f t="shared" si="0"/>
        <v>60</v>
      </c>
      <c r="AG13" s="5">
        <f t="shared" si="0"/>
        <v>60</v>
      </c>
      <c r="AH13" s="5">
        <f t="shared" si="0"/>
        <v>60</v>
      </c>
      <c r="AI13" s="5">
        <f t="shared" si="0"/>
        <v>60</v>
      </c>
      <c r="AJ13" s="6">
        <f t="shared" si="0"/>
        <v>60</v>
      </c>
    </row>
    <row r="14" spans="2:36" s="22" customFormat="1" x14ac:dyDescent="0.25">
      <c r="B14" s="27" t="s">
        <v>3</v>
      </c>
      <c r="C14" s="28">
        <v>3.7999999999999999E-2</v>
      </c>
      <c r="D14" s="28">
        <v>7.0000000000000007E-2</v>
      </c>
      <c r="E14" s="28">
        <v>3.7999999999999999E-2</v>
      </c>
      <c r="F14" s="28">
        <v>2.7999999999999997E-2</v>
      </c>
      <c r="G14" s="28">
        <v>0.05</v>
      </c>
      <c r="H14" s="28">
        <v>0.06</v>
      </c>
      <c r="I14" s="28">
        <v>0.06</v>
      </c>
      <c r="J14" s="28">
        <v>3.7999999999999999E-2</v>
      </c>
      <c r="K14" s="28">
        <v>3.7999999999999999E-2</v>
      </c>
      <c r="L14" s="28">
        <v>3.7999999999999999E-2</v>
      </c>
      <c r="M14" s="28">
        <v>3.7999999999999999E-2</v>
      </c>
      <c r="N14" s="28">
        <v>4.3999999999999997E-2</v>
      </c>
      <c r="O14" s="28">
        <v>0.06</v>
      </c>
      <c r="P14" s="28">
        <v>0.08</v>
      </c>
      <c r="Q14" s="28">
        <v>4.3999999999999997E-2</v>
      </c>
      <c r="R14" s="28">
        <v>7.0000000000000007E-2</v>
      </c>
      <c r="S14" s="28">
        <v>3.7999999999999999E-2</v>
      </c>
      <c r="T14" s="28">
        <v>0.05</v>
      </c>
      <c r="U14" s="28">
        <v>0.05</v>
      </c>
      <c r="V14" s="28">
        <v>3.8000000000000006E-2</v>
      </c>
      <c r="W14" s="28">
        <v>4.8000000000000001E-2</v>
      </c>
      <c r="X14" s="28">
        <v>0.06</v>
      </c>
      <c r="Y14" s="28">
        <v>7.0000000000000007E-2</v>
      </c>
      <c r="Z14" s="28">
        <v>0.05</v>
      </c>
      <c r="AA14" s="28">
        <v>0.05</v>
      </c>
      <c r="AB14" s="28">
        <v>7.0000000000000007E-2</v>
      </c>
      <c r="AC14" s="28">
        <v>0.06</v>
      </c>
      <c r="AD14" s="28">
        <v>3.7999999999999999E-2</v>
      </c>
      <c r="AE14" s="28">
        <v>3.7999999999999999E-2</v>
      </c>
      <c r="AF14" s="28">
        <v>0.05</v>
      </c>
      <c r="AG14" s="28">
        <v>7.0000000000000007E-2</v>
      </c>
      <c r="AH14" s="28">
        <v>4.3999999999999997E-2</v>
      </c>
      <c r="AI14" s="28">
        <v>3.7999999999999999E-2</v>
      </c>
      <c r="AJ14" s="28">
        <v>7.0000000000000007E-2</v>
      </c>
    </row>
    <row r="15" spans="2:36" x14ac:dyDescent="0.25">
      <c r="B15" s="10" t="s">
        <v>4</v>
      </c>
      <c r="C15" s="7">
        <v>0</v>
      </c>
      <c r="D15" s="7">
        <v>0</v>
      </c>
      <c r="E15" s="7">
        <v>2</v>
      </c>
      <c r="F15" s="7">
        <v>0</v>
      </c>
      <c r="G15" s="8">
        <v>0</v>
      </c>
      <c r="H15" s="33">
        <v>0</v>
      </c>
      <c r="I15" s="7">
        <v>2</v>
      </c>
      <c r="J15" s="7">
        <v>1</v>
      </c>
      <c r="K15" s="7">
        <v>1</v>
      </c>
      <c r="L15" s="7">
        <v>1</v>
      </c>
      <c r="M15" s="8">
        <v>1</v>
      </c>
      <c r="N15" s="33">
        <v>4</v>
      </c>
      <c r="O15" s="7">
        <v>0</v>
      </c>
      <c r="P15" s="7">
        <v>2</v>
      </c>
      <c r="Q15" s="7">
        <v>1</v>
      </c>
      <c r="R15" s="7">
        <v>2</v>
      </c>
      <c r="S15" s="7">
        <v>0</v>
      </c>
      <c r="T15" s="7">
        <v>0</v>
      </c>
      <c r="U15" s="7">
        <v>0</v>
      </c>
      <c r="V15" s="7">
        <v>1</v>
      </c>
      <c r="W15" s="7">
        <v>2</v>
      </c>
      <c r="X15" s="7">
        <v>2</v>
      </c>
      <c r="Y15" s="8">
        <v>4</v>
      </c>
      <c r="Z15" s="33">
        <v>0</v>
      </c>
      <c r="AA15" s="7">
        <v>0</v>
      </c>
      <c r="AB15" s="7">
        <v>1</v>
      </c>
      <c r="AC15" s="7">
        <v>1</v>
      </c>
      <c r="AD15" s="7">
        <v>1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8">
        <v>0</v>
      </c>
    </row>
    <row r="16" spans="2:36" x14ac:dyDescent="0.25">
      <c r="B16" s="10" t="s">
        <v>5</v>
      </c>
      <c r="C16" s="20" t="s">
        <v>176</v>
      </c>
      <c r="D16" s="21"/>
      <c r="E16" s="21"/>
      <c r="F16" s="26"/>
      <c r="G16" s="34"/>
      <c r="H16" s="21"/>
      <c r="I16" s="31"/>
      <c r="J16" s="21"/>
      <c r="K16" s="21"/>
      <c r="L16" s="21"/>
      <c r="M16" s="26"/>
      <c r="N16" s="21"/>
      <c r="O16" s="21"/>
      <c r="P16" s="31"/>
      <c r="Q16" s="21"/>
      <c r="R16" s="31"/>
      <c r="S16" s="21"/>
      <c r="T16" s="21"/>
      <c r="U16" s="21"/>
      <c r="V16" s="21"/>
      <c r="W16" s="31"/>
      <c r="X16" s="31"/>
      <c r="Y16" s="35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42"/>
    </row>
    <row r="17" spans="2:36" x14ac:dyDescent="0.3">
      <c r="B17" s="12">
        <v>1</v>
      </c>
      <c r="C17" s="24" t="s">
        <v>365</v>
      </c>
      <c r="D17" s="24" t="s">
        <v>366</v>
      </c>
      <c r="E17" s="38" t="s">
        <v>351</v>
      </c>
      <c r="F17" s="24" t="s">
        <v>180</v>
      </c>
      <c r="G17" s="32" t="s">
        <v>41</v>
      </c>
      <c r="H17" s="38" t="s">
        <v>42</v>
      </c>
      <c r="I17" s="24" t="s">
        <v>303</v>
      </c>
      <c r="J17" s="32" t="s">
        <v>43</v>
      </c>
      <c r="K17" s="24" t="s">
        <v>44</v>
      </c>
      <c r="L17" s="38" t="s">
        <v>45</v>
      </c>
      <c r="M17" s="24" t="s">
        <v>191</v>
      </c>
      <c r="N17" s="32" t="s">
        <v>46</v>
      </c>
      <c r="O17" s="38" t="s">
        <v>367</v>
      </c>
      <c r="P17" s="36" t="s">
        <v>258</v>
      </c>
      <c r="Q17" s="39" t="s">
        <v>500</v>
      </c>
      <c r="R17" s="36" t="s">
        <v>259</v>
      </c>
      <c r="S17" s="32" t="s">
        <v>368</v>
      </c>
      <c r="T17" s="24" t="s">
        <v>369</v>
      </c>
      <c r="U17" s="24" t="s">
        <v>370</v>
      </c>
      <c r="V17" s="24" t="s">
        <v>47</v>
      </c>
      <c r="W17" s="24" t="s">
        <v>48</v>
      </c>
      <c r="X17" s="24" t="s">
        <v>320</v>
      </c>
      <c r="Y17" s="36" t="s">
        <v>260</v>
      </c>
      <c r="Z17" s="36" t="s">
        <v>371</v>
      </c>
      <c r="AA17" s="36" t="s">
        <v>372</v>
      </c>
      <c r="AB17" s="36" t="s">
        <v>321</v>
      </c>
      <c r="AC17" s="36" t="s">
        <v>261</v>
      </c>
      <c r="AD17" s="36" t="s">
        <v>49</v>
      </c>
      <c r="AE17" s="36" t="s">
        <v>373</v>
      </c>
      <c r="AF17" s="36" t="s">
        <v>220</v>
      </c>
      <c r="AG17" s="36" t="s">
        <v>374</v>
      </c>
      <c r="AH17" s="36" t="s">
        <v>262</v>
      </c>
      <c r="AI17" s="36" t="s">
        <v>375</v>
      </c>
      <c r="AJ17" s="36" t="s">
        <v>221</v>
      </c>
    </row>
    <row r="18" spans="2:36" x14ac:dyDescent="0.3">
      <c r="B18" s="12">
        <v>2</v>
      </c>
      <c r="C18" s="24" t="s">
        <v>376</v>
      </c>
      <c r="D18" s="24" t="s">
        <v>377</v>
      </c>
      <c r="E18" s="38" t="s">
        <v>352</v>
      </c>
      <c r="F18" s="24" t="s">
        <v>181</v>
      </c>
      <c r="G18" s="32" t="s">
        <v>50</v>
      </c>
      <c r="H18" s="38" t="s">
        <v>0</v>
      </c>
      <c r="I18" s="24" t="s">
        <v>304</v>
      </c>
      <c r="J18" s="32" t="s">
        <v>51</v>
      </c>
      <c r="K18" s="24" t="s">
        <v>52</v>
      </c>
      <c r="L18" s="38" t="s">
        <v>53</v>
      </c>
      <c r="M18" s="24" t="s">
        <v>192</v>
      </c>
      <c r="N18" s="32" t="s">
        <v>54</v>
      </c>
      <c r="O18" s="38" t="s">
        <v>378</v>
      </c>
      <c r="P18" s="24" t="s">
        <v>263</v>
      </c>
      <c r="Q18" s="39" t="s">
        <v>501</v>
      </c>
      <c r="R18" s="24" t="s">
        <v>264</v>
      </c>
      <c r="S18" s="32" t="s">
        <v>379</v>
      </c>
      <c r="T18" s="24" t="s">
        <v>380</v>
      </c>
      <c r="U18" s="24" t="s">
        <v>381</v>
      </c>
      <c r="V18" s="24" t="s">
        <v>55</v>
      </c>
      <c r="W18" s="24" t="s">
        <v>56</v>
      </c>
      <c r="X18" s="24" t="s">
        <v>322</v>
      </c>
      <c r="Y18" s="24" t="s">
        <v>265</v>
      </c>
      <c r="Z18" s="36" t="s">
        <v>382</v>
      </c>
      <c r="AA18" s="36" t="s">
        <v>345</v>
      </c>
      <c r="AB18" s="36" t="s">
        <v>323</v>
      </c>
      <c r="AC18" s="36" t="s">
        <v>266</v>
      </c>
      <c r="AD18" s="36" t="s">
        <v>57</v>
      </c>
      <c r="AE18" s="36" t="s">
        <v>383</v>
      </c>
      <c r="AF18" s="36" t="s">
        <v>222</v>
      </c>
      <c r="AG18" s="36" t="s">
        <v>384</v>
      </c>
      <c r="AH18" s="36" t="s">
        <v>223</v>
      </c>
      <c r="AI18" s="36" t="s">
        <v>385</v>
      </c>
      <c r="AJ18" s="36" t="s">
        <v>224</v>
      </c>
    </row>
    <row r="19" spans="2:36" x14ac:dyDescent="0.3">
      <c r="B19" s="12">
        <v>3</v>
      </c>
      <c r="C19" s="24" t="s">
        <v>386</v>
      </c>
      <c r="D19" s="24" t="s">
        <v>387</v>
      </c>
      <c r="E19" s="38" t="s">
        <v>353</v>
      </c>
      <c r="F19" s="24" t="s">
        <v>182</v>
      </c>
      <c r="G19" s="32" t="s">
        <v>388</v>
      </c>
      <c r="H19" s="38" t="s">
        <v>58</v>
      </c>
      <c r="I19" s="24" t="s">
        <v>305</v>
      </c>
      <c r="J19" s="32" t="s">
        <v>59</v>
      </c>
      <c r="K19" s="24" t="s">
        <v>60</v>
      </c>
      <c r="L19" s="38" t="s">
        <v>61</v>
      </c>
      <c r="M19" s="24" t="s">
        <v>193</v>
      </c>
      <c r="N19" s="32" t="s">
        <v>62</v>
      </c>
      <c r="O19" s="38" t="s">
        <v>389</v>
      </c>
      <c r="P19" s="24" t="s">
        <v>267</v>
      </c>
      <c r="Q19" s="39" t="s">
        <v>502</v>
      </c>
      <c r="R19" s="24" t="s">
        <v>268</v>
      </c>
      <c r="S19" s="32" t="s">
        <v>390</v>
      </c>
      <c r="T19" s="24" t="s">
        <v>391</v>
      </c>
      <c r="U19" s="24" t="s">
        <v>392</v>
      </c>
      <c r="V19" s="24" t="s">
        <v>63</v>
      </c>
      <c r="W19" s="24" t="s">
        <v>64</v>
      </c>
      <c r="X19" s="24" t="s">
        <v>324</v>
      </c>
      <c r="Y19" s="24" t="s">
        <v>269</v>
      </c>
      <c r="Z19" s="36" t="s">
        <v>393</v>
      </c>
      <c r="AA19" s="36" t="s">
        <v>346</v>
      </c>
      <c r="AB19" s="36" t="s">
        <v>325</v>
      </c>
      <c r="AC19" s="36" t="s">
        <v>270</v>
      </c>
      <c r="AD19" s="36" t="s">
        <v>65</v>
      </c>
      <c r="AE19" s="36" t="s">
        <v>394</v>
      </c>
      <c r="AF19" s="36" t="s">
        <v>225</v>
      </c>
      <c r="AG19" s="36" t="s">
        <v>395</v>
      </c>
      <c r="AH19" s="36" t="s">
        <v>226</v>
      </c>
      <c r="AI19" s="36" t="s">
        <v>396</v>
      </c>
      <c r="AJ19" s="36" t="s">
        <v>227</v>
      </c>
    </row>
    <row r="20" spans="2:36" x14ac:dyDescent="0.3">
      <c r="B20" s="12">
        <v>4</v>
      </c>
      <c r="C20" s="24" t="s">
        <v>397</v>
      </c>
      <c r="D20" s="24" t="s">
        <v>398</v>
      </c>
      <c r="E20" s="38" t="s">
        <v>354</v>
      </c>
      <c r="F20" s="24" t="s">
        <v>183</v>
      </c>
      <c r="G20" s="32" t="s">
        <v>66</v>
      </c>
      <c r="H20" s="38" t="s">
        <v>0</v>
      </c>
      <c r="I20" s="24" t="s">
        <v>306</v>
      </c>
      <c r="J20" s="32" t="s">
        <v>67</v>
      </c>
      <c r="K20" s="24" t="s">
        <v>68</v>
      </c>
      <c r="L20" s="38" t="s">
        <v>69</v>
      </c>
      <c r="M20" s="24" t="s">
        <v>194</v>
      </c>
      <c r="N20" s="32" t="s">
        <v>70</v>
      </c>
      <c r="O20" s="38" t="s">
        <v>399</v>
      </c>
      <c r="P20" s="24" t="s">
        <v>271</v>
      </c>
      <c r="Q20" s="39" t="s">
        <v>503</v>
      </c>
      <c r="R20" s="24" t="s">
        <v>272</v>
      </c>
      <c r="S20" s="32" t="s">
        <v>400</v>
      </c>
      <c r="T20" s="24" t="s">
        <v>401</v>
      </c>
      <c r="U20" s="24" t="s">
        <v>402</v>
      </c>
      <c r="V20" s="24" t="s">
        <v>71</v>
      </c>
      <c r="W20" s="24" t="s">
        <v>72</v>
      </c>
      <c r="X20" s="24" t="s">
        <v>326</v>
      </c>
      <c r="Y20" s="24" t="s">
        <v>273</v>
      </c>
      <c r="Z20" s="36" t="s">
        <v>403</v>
      </c>
      <c r="AA20" s="36" t="s">
        <v>347</v>
      </c>
      <c r="AB20" s="36" t="s">
        <v>327</v>
      </c>
      <c r="AC20" s="36" t="s">
        <v>274</v>
      </c>
      <c r="AD20" s="36" t="s">
        <v>73</v>
      </c>
      <c r="AE20" s="36" t="s">
        <v>404</v>
      </c>
      <c r="AF20" s="36" t="s">
        <v>228</v>
      </c>
      <c r="AG20" s="36" t="s">
        <v>405</v>
      </c>
      <c r="AH20" s="36" t="s">
        <v>229</v>
      </c>
      <c r="AI20" s="36" t="s">
        <v>406</v>
      </c>
      <c r="AJ20" s="36" t="s">
        <v>230</v>
      </c>
    </row>
    <row r="21" spans="2:36" x14ac:dyDescent="0.3">
      <c r="B21" s="12">
        <v>5</v>
      </c>
      <c r="C21" s="24" t="s">
        <v>407</v>
      </c>
      <c r="D21" s="24" t="s">
        <v>408</v>
      </c>
      <c r="E21" s="38" t="s">
        <v>355</v>
      </c>
      <c r="F21" s="24" t="s">
        <v>275</v>
      </c>
      <c r="G21" s="32" t="s">
        <v>74</v>
      </c>
      <c r="H21" s="38" t="s">
        <v>75</v>
      </c>
      <c r="I21" s="24" t="s">
        <v>307</v>
      </c>
      <c r="J21" s="32" t="s">
        <v>76</v>
      </c>
      <c r="K21" s="24" t="s">
        <v>77</v>
      </c>
      <c r="L21" s="38" t="s">
        <v>78</v>
      </c>
      <c r="M21" s="24" t="s">
        <v>195</v>
      </c>
      <c r="N21" s="32" t="s">
        <v>79</v>
      </c>
      <c r="O21" s="38" t="s">
        <v>409</v>
      </c>
      <c r="P21" s="24" t="s">
        <v>276</v>
      </c>
      <c r="Q21" s="39" t="s">
        <v>504</v>
      </c>
      <c r="R21" s="24" t="s">
        <v>277</v>
      </c>
      <c r="S21" s="32" t="s">
        <v>410</v>
      </c>
      <c r="T21" s="24" t="s">
        <v>411</v>
      </c>
      <c r="U21" s="24" t="s">
        <v>412</v>
      </c>
      <c r="V21" s="24" t="s">
        <v>80</v>
      </c>
      <c r="W21" s="24" t="s">
        <v>81</v>
      </c>
      <c r="X21" s="24" t="s">
        <v>328</v>
      </c>
      <c r="Y21" s="24" t="s">
        <v>278</v>
      </c>
      <c r="Z21" s="36" t="s">
        <v>413</v>
      </c>
      <c r="AA21" s="36" t="s">
        <v>348</v>
      </c>
      <c r="AB21" s="36" t="s">
        <v>329</v>
      </c>
      <c r="AC21" s="36" t="s">
        <v>279</v>
      </c>
      <c r="AD21" s="36" t="s">
        <v>82</v>
      </c>
      <c r="AE21" s="36" t="s">
        <v>414</v>
      </c>
      <c r="AF21" s="36" t="s">
        <v>231</v>
      </c>
      <c r="AG21" s="36" t="s">
        <v>415</v>
      </c>
      <c r="AH21" s="36" t="s">
        <v>232</v>
      </c>
      <c r="AI21" s="36" t="s">
        <v>416</v>
      </c>
      <c r="AJ21" s="36" t="s">
        <v>233</v>
      </c>
    </row>
    <row r="22" spans="2:36" x14ac:dyDescent="0.3">
      <c r="B22" s="12">
        <v>6</v>
      </c>
      <c r="C22" s="24" t="s">
        <v>417</v>
      </c>
      <c r="D22" s="24" t="s">
        <v>418</v>
      </c>
      <c r="E22" s="38" t="s">
        <v>356</v>
      </c>
      <c r="F22" s="24" t="s">
        <v>184</v>
      </c>
      <c r="G22" s="32" t="s">
        <v>0</v>
      </c>
      <c r="H22" s="38" t="s">
        <v>0</v>
      </c>
      <c r="I22" s="24" t="s">
        <v>308</v>
      </c>
      <c r="J22" s="32" t="s">
        <v>83</v>
      </c>
      <c r="K22" s="24" t="s">
        <v>84</v>
      </c>
      <c r="L22" s="38" t="s">
        <v>85</v>
      </c>
      <c r="M22" s="24" t="s">
        <v>196</v>
      </c>
      <c r="N22" s="32" t="s">
        <v>0</v>
      </c>
      <c r="O22" s="38" t="s">
        <v>419</v>
      </c>
      <c r="P22" s="24" t="s">
        <v>0</v>
      </c>
      <c r="Q22" s="39" t="s">
        <v>505</v>
      </c>
      <c r="R22" s="24" t="s">
        <v>0</v>
      </c>
      <c r="S22" s="32" t="s">
        <v>420</v>
      </c>
      <c r="T22" s="24" t="s">
        <v>421</v>
      </c>
      <c r="U22" s="24" t="s">
        <v>422</v>
      </c>
      <c r="V22" s="24" t="s">
        <v>86</v>
      </c>
      <c r="W22" s="24" t="s">
        <v>87</v>
      </c>
      <c r="X22" s="24" t="s">
        <v>330</v>
      </c>
      <c r="Y22" s="24" t="s">
        <v>0</v>
      </c>
      <c r="Z22" s="36" t="s">
        <v>423</v>
      </c>
      <c r="AA22" s="36" t="s">
        <v>0</v>
      </c>
      <c r="AB22" s="36" t="s">
        <v>331</v>
      </c>
      <c r="AC22" s="36" t="s">
        <v>280</v>
      </c>
      <c r="AD22" s="36" t="s">
        <v>88</v>
      </c>
      <c r="AE22" s="36" t="s">
        <v>424</v>
      </c>
      <c r="AF22" s="36" t="s">
        <v>234</v>
      </c>
      <c r="AG22" s="36" t="s">
        <v>0</v>
      </c>
      <c r="AH22" s="36" t="s">
        <v>0</v>
      </c>
      <c r="AI22" s="36" t="s">
        <v>425</v>
      </c>
      <c r="AJ22" s="36" t="s">
        <v>0</v>
      </c>
    </row>
    <row r="23" spans="2:36" x14ac:dyDescent="0.3">
      <c r="B23" s="12">
        <v>7</v>
      </c>
      <c r="C23" s="36" t="s">
        <v>426</v>
      </c>
      <c r="D23" s="36" t="s">
        <v>427</v>
      </c>
      <c r="E23" s="43" t="s">
        <v>357</v>
      </c>
      <c r="F23" s="36" t="s">
        <v>185</v>
      </c>
      <c r="G23" s="40" t="s">
        <v>89</v>
      </c>
      <c r="H23" s="43" t="s">
        <v>90</v>
      </c>
      <c r="I23" s="36" t="s">
        <v>309</v>
      </c>
      <c r="J23" s="40" t="s">
        <v>91</v>
      </c>
      <c r="K23" s="36" t="s">
        <v>92</v>
      </c>
      <c r="L23" s="43" t="s">
        <v>93</v>
      </c>
      <c r="M23" s="36" t="s">
        <v>197</v>
      </c>
      <c r="N23" s="40" t="s">
        <v>94</v>
      </c>
      <c r="O23" s="43" t="s">
        <v>428</v>
      </c>
      <c r="P23" s="36" t="s">
        <v>281</v>
      </c>
      <c r="Q23" s="41" t="s">
        <v>506</v>
      </c>
      <c r="R23" s="36" t="s">
        <v>282</v>
      </c>
      <c r="S23" s="40" t="s">
        <v>429</v>
      </c>
      <c r="T23" s="36" t="s">
        <v>430</v>
      </c>
      <c r="U23" s="36" t="s">
        <v>431</v>
      </c>
      <c r="V23" s="36" t="s">
        <v>95</v>
      </c>
      <c r="W23" s="36" t="s">
        <v>96</v>
      </c>
      <c r="X23" s="36" t="s">
        <v>332</v>
      </c>
      <c r="Y23" s="36" t="s">
        <v>283</v>
      </c>
      <c r="Z23" s="36" t="s">
        <v>432</v>
      </c>
      <c r="AA23" s="36" t="s">
        <v>433</v>
      </c>
      <c r="AB23" s="36" t="s">
        <v>333</v>
      </c>
      <c r="AC23" s="36" t="s">
        <v>284</v>
      </c>
      <c r="AD23" s="36" t="s">
        <v>97</v>
      </c>
      <c r="AE23" s="36" t="s">
        <v>434</v>
      </c>
      <c r="AF23" s="36" t="s">
        <v>235</v>
      </c>
      <c r="AG23" s="36" t="s">
        <v>435</v>
      </c>
      <c r="AH23" s="36" t="s">
        <v>236</v>
      </c>
      <c r="AI23" s="36" t="s">
        <v>436</v>
      </c>
      <c r="AJ23" s="36" t="s">
        <v>237</v>
      </c>
    </row>
    <row r="24" spans="2:36" x14ac:dyDescent="0.3">
      <c r="B24" s="12">
        <v>8</v>
      </c>
      <c r="C24" s="36" t="s">
        <v>437</v>
      </c>
      <c r="D24" s="36" t="s">
        <v>438</v>
      </c>
      <c r="E24" s="43" t="s">
        <v>358</v>
      </c>
      <c r="F24" s="36" t="s">
        <v>285</v>
      </c>
      <c r="G24" s="40" t="s">
        <v>0</v>
      </c>
      <c r="H24" s="43" t="s">
        <v>0</v>
      </c>
      <c r="I24" s="36" t="s">
        <v>310</v>
      </c>
      <c r="J24" s="40" t="s">
        <v>98</v>
      </c>
      <c r="K24" s="36" t="s">
        <v>99</v>
      </c>
      <c r="L24" s="43" t="s">
        <v>100</v>
      </c>
      <c r="M24" s="36" t="s">
        <v>198</v>
      </c>
      <c r="N24" s="40" t="s">
        <v>0</v>
      </c>
      <c r="O24" s="43" t="s">
        <v>439</v>
      </c>
      <c r="P24" s="36" t="s">
        <v>0</v>
      </c>
      <c r="Q24" s="41" t="s">
        <v>507</v>
      </c>
      <c r="R24" s="36" t="s">
        <v>0</v>
      </c>
      <c r="S24" s="40" t="s">
        <v>440</v>
      </c>
      <c r="T24" s="36" t="s">
        <v>441</v>
      </c>
      <c r="U24" s="36" t="s">
        <v>442</v>
      </c>
      <c r="V24" s="36" t="s">
        <v>101</v>
      </c>
      <c r="W24" s="36" t="s">
        <v>102</v>
      </c>
      <c r="X24" s="36" t="s">
        <v>334</v>
      </c>
      <c r="Y24" s="36" t="s">
        <v>0</v>
      </c>
      <c r="Z24" s="36" t="s">
        <v>443</v>
      </c>
      <c r="AA24" s="36" t="s">
        <v>349</v>
      </c>
      <c r="AB24" s="36" t="s">
        <v>335</v>
      </c>
      <c r="AC24" s="36" t="s">
        <v>0</v>
      </c>
      <c r="AD24" s="36" t="s">
        <v>103</v>
      </c>
      <c r="AE24" s="36" t="s">
        <v>444</v>
      </c>
      <c r="AF24" s="36" t="s">
        <v>238</v>
      </c>
      <c r="AG24" s="36" t="s">
        <v>445</v>
      </c>
      <c r="AH24" s="36" t="s">
        <v>239</v>
      </c>
      <c r="AI24" s="36" t="s">
        <v>446</v>
      </c>
      <c r="AJ24" s="36" t="s">
        <v>240</v>
      </c>
    </row>
    <row r="25" spans="2:36" x14ac:dyDescent="0.3">
      <c r="B25" s="12">
        <v>9</v>
      </c>
      <c r="C25" s="36" t="s">
        <v>447</v>
      </c>
      <c r="D25" s="36" t="s">
        <v>448</v>
      </c>
      <c r="E25" s="43" t="s">
        <v>359</v>
      </c>
      <c r="F25" s="36" t="s">
        <v>186</v>
      </c>
      <c r="G25" s="40" t="s">
        <v>0</v>
      </c>
      <c r="H25" s="43" t="s">
        <v>0</v>
      </c>
      <c r="I25" s="36" t="s">
        <v>311</v>
      </c>
      <c r="J25" s="40" t="s">
        <v>104</v>
      </c>
      <c r="K25" s="36" t="s">
        <v>105</v>
      </c>
      <c r="L25" s="43" t="s">
        <v>106</v>
      </c>
      <c r="M25" s="36" t="s">
        <v>199</v>
      </c>
      <c r="N25" s="40" t="s">
        <v>0</v>
      </c>
      <c r="O25" s="43" t="s">
        <v>449</v>
      </c>
      <c r="P25" s="36" t="s">
        <v>0</v>
      </c>
      <c r="Q25" s="41" t="s">
        <v>508</v>
      </c>
      <c r="R25" s="36" t="s">
        <v>0</v>
      </c>
      <c r="S25" s="40" t="s">
        <v>450</v>
      </c>
      <c r="T25" s="36" t="s">
        <v>451</v>
      </c>
      <c r="U25" s="36" t="s">
        <v>452</v>
      </c>
      <c r="V25" s="36" t="s">
        <v>107</v>
      </c>
      <c r="W25" s="36" t="s">
        <v>108</v>
      </c>
      <c r="X25" s="36" t="s">
        <v>336</v>
      </c>
      <c r="Y25" s="36" t="s">
        <v>0</v>
      </c>
      <c r="Z25" s="36" t="s">
        <v>453</v>
      </c>
      <c r="AA25" s="36" t="s">
        <v>350</v>
      </c>
      <c r="AB25" s="36" t="s">
        <v>337</v>
      </c>
      <c r="AC25" s="36" t="s">
        <v>0</v>
      </c>
      <c r="AD25" s="36" t="s">
        <v>109</v>
      </c>
      <c r="AE25" s="36" t="s">
        <v>454</v>
      </c>
      <c r="AF25" s="36" t="s">
        <v>241</v>
      </c>
      <c r="AG25" s="36" t="s">
        <v>455</v>
      </c>
      <c r="AH25" s="36" t="s">
        <v>242</v>
      </c>
      <c r="AI25" s="36" t="s">
        <v>456</v>
      </c>
      <c r="AJ25" s="36" t="s">
        <v>243</v>
      </c>
    </row>
    <row r="26" spans="2:36" x14ac:dyDescent="0.3">
      <c r="B26" s="12">
        <v>10</v>
      </c>
      <c r="C26" s="36" t="s">
        <v>457</v>
      </c>
      <c r="D26" s="36" t="s">
        <v>458</v>
      </c>
      <c r="E26" s="43" t="s">
        <v>360</v>
      </c>
      <c r="F26" s="36" t="s">
        <v>187</v>
      </c>
      <c r="G26" s="40" t="s">
        <v>110</v>
      </c>
      <c r="H26" s="43" t="s">
        <v>111</v>
      </c>
      <c r="I26" s="36" t="s">
        <v>312</v>
      </c>
      <c r="J26" s="40" t="s">
        <v>112</v>
      </c>
      <c r="K26" s="36" t="s">
        <v>113</v>
      </c>
      <c r="L26" s="43" t="s">
        <v>114</v>
      </c>
      <c r="M26" s="36" t="s">
        <v>200</v>
      </c>
      <c r="N26" s="40" t="s">
        <v>115</v>
      </c>
      <c r="O26" s="43" t="s">
        <v>459</v>
      </c>
      <c r="P26" s="36" t="s">
        <v>286</v>
      </c>
      <c r="Q26" s="41" t="s">
        <v>509</v>
      </c>
      <c r="R26" s="36" t="s">
        <v>287</v>
      </c>
      <c r="S26" s="40" t="s">
        <v>460</v>
      </c>
      <c r="T26" s="36" t="s">
        <v>461</v>
      </c>
      <c r="U26" s="36" t="s">
        <v>462</v>
      </c>
      <c r="V26" s="36" t="s">
        <v>116</v>
      </c>
      <c r="W26" s="36" t="s">
        <v>117</v>
      </c>
      <c r="X26" s="36" t="s">
        <v>338</v>
      </c>
      <c r="Y26" s="36" t="s">
        <v>288</v>
      </c>
      <c r="Z26" s="36" t="s">
        <v>463</v>
      </c>
      <c r="AA26" s="36" t="s">
        <v>464</v>
      </c>
      <c r="AB26" s="36" t="s">
        <v>339</v>
      </c>
      <c r="AC26" s="36" t="s">
        <v>289</v>
      </c>
      <c r="AD26" s="36" t="s">
        <v>118</v>
      </c>
      <c r="AE26" s="36" t="s">
        <v>465</v>
      </c>
      <c r="AF26" s="36" t="s">
        <v>244</v>
      </c>
      <c r="AG26" s="36" t="s">
        <v>466</v>
      </c>
      <c r="AH26" s="36" t="s">
        <v>245</v>
      </c>
      <c r="AI26" s="36" t="s">
        <v>467</v>
      </c>
      <c r="AJ26" s="36" t="s">
        <v>246</v>
      </c>
    </row>
    <row r="27" spans="2:36" x14ac:dyDescent="0.3">
      <c r="B27" s="12">
        <v>11</v>
      </c>
      <c r="C27" s="36" t="s">
        <v>0</v>
      </c>
      <c r="D27" s="36" t="s">
        <v>0</v>
      </c>
      <c r="E27" s="43" t="s">
        <v>0</v>
      </c>
      <c r="F27" s="36" t="s">
        <v>0</v>
      </c>
      <c r="G27" s="40" t="s">
        <v>0</v>
      </c>
      <c r="H27" s="43" t="s">
        <v>0</v>
      </c>
      <c r="I27" s="36" t="s">
        <v>0</v>
      </c>
      <c r="J27" s="40" t="s">
        <v>0</v>
      </c>
      <c r="K27" s="36" t="s">
        <v>0</v>
      </c>
      <c r="L27" s="43" t="s">
        <v>0</v>
      </c>
      <c r="M27" s="36" t="s">
        <v>201</v>
      </c>
      <c r="N27" s="40" t="s">
        <v>0</v>
      </c>
      <c r="O27" s="43" t="s">
        <v>0</v>
      </c>
      <c r="P27" s="36" t="s">
        <v>0</v>
      </c>
      <c r="Q27" s="41" t="s">
        <v>0</v>
      </c>
      <c r="R27" s="36" t="s">
        <v>0</v>
      </c>
      <c r="S27" s="40" t="s">
        <v>0</v>
      </c>
      <c r="T27" s="36" t="s">
        <v>0</v>
      </c>
      <c r="U27" s="36" t="s">
        <v>0</v>
      </c>
      <c r="V27" s="36" t="s">
        <v>0</v>
      </c>
      <c r="W27" s="36" t="s">
        <v>0</v>
      </c>
      <c r="X27" s="36" t="s">
        <v>0</v>
      </c>
      <c r="Y27" s="36" t="s">
        <v>0</v>
      </c>
      <c r="Z27" s="36" t="s">
        <v>0</v>
      </c>
      <c r="AA27" s="36" t="s">
        <v>0</v>
      </c>
      <c r="AB27" s="36" t="s">
        <v>0</v>
      </c>
      <c r="AC27" s="36" t="s">
        <v>0</v>
      </c>
      <c r="AD27" s="36" t="s">
        <v>0</v>
      </c>
      <c r="AE27" s="36" t="s">
        <v>0</v>
      </c>
      <c r="AF27" s="36" t="s">
        <v>0</v>
      </c>
      <c r="AG27" s="36" t="s">
        <v>0</v>
      </c>
      <c r="AH27" s="36" t="s">
        <v>0</v>
      </c>
      <c r="AI27" s="36" t="s">
        <v>0</v>
      </c>
      <c r="AJ27" s="36" t="s">
        <v>0</v>
      </c>
    </row>
    <row r="28" spans="2:36" x14ac:dyDescent="0.3">
      <c r="B28" s="12">
        <v>12</v>
      </c>
      <c r="C28" s="36" t="s">
        <v>0</v>
      </c>
      <c r="D28" s="36" t="s">
        <v>0</v>
      </c>
      <c r="E28" s="43" t="s">
        <v>361</v>
      </c>
      <c r="F28" s="36" t="s">
        <v>0</v>
      </c>
      <c r="G28" s="40" t="s">
        <v>0</v>
      </c>
      <c r="H28" s="43" t="s">
        <v>0</v>
      </c>
      <c r="I28" s="36" t="s">
        <v>0</v>
      </c>
      <c r="J28" s="40" t="s">
        <v>119</v>
      </c>
      <c r="K28" s="36" t="s">
        <v>120</v>
      </c>
      <c r="L28" s="43" t="s">
        <v>121</v>
      </c>
      <c r="M28" s="36" t="s">
        <v>202</v>
      </c>
      <c r="N28" s="40" t="s">
        <v>122</v>
      </c>
      <c r="O28" s="43" t="s">
        <v>0</v>
      </c>
      <c r="P28" s="36" t="s">
        <v>0</v>
      </c>
      <c r="Q28" s="41" t="s">
        <v>510</v>
      </c>
      <c r="R28" s="36" t="s">
        <v>0</v>
      </c>
      <c r="S28" s="40" t="s">
        <v>0</v>
      </c>
      <c r="T28" s="36" t="s">
        <v>0</v>
      </c>
      <c r="U28" s="36" t="s">
        <v>0</v>
      </c>
      <c r="V28" s="36" t="s">
        <v>0</v>
      </c>
      <c r="W28" s="36" t="s">
        <v>123</v>
      </c>
      <c r="X28" s="36" t="s">
        <v>340</v>
      </c>
      <c r="Y28" s="36" t="s">
        <v>0</v>
      </c>
      <c r="Z28" s="36" t="s">
        <v>0</v>
      </c>
      <c r="AA28" s="36" t="s">
        <v>0</v>
      </c>
      <c r="AB28" s="36" t="s">
        <v>0</v>
      </c>
      <c r="AC28" s="36" t="s">
        <v>0</v>
      </c>
      <c r="AD28" s="36" t="s">
        <v>0</v>
      </c>
      <c r="AE28" s="36" t="s">
        <v>0</v>
      </c>
      <c r="AF28" s="36" t="s">
        <v>247</v>
      </c>
      <c r="AG28" s="36" t="s">
        <v>0</v>
      </c>
      <c r="AH28" s="36" t="s">
        <v>0</v>
      </c>
      <c r="AI28" s="36" t="s">
        <v>0</v>
      </c>
      <c r="AJ28" s="36" t="s">
        <v>0</v>
      </c>
    </row>
    <row r="29" spans="2:36" x14ac:dyDescent="0.3">
      <c r="B29" s="12">
        <v>13</v>
      </c>
      <c r="C29" s="36" t="s">
        <v>0</v>
      </c>
      <c r="D29" s="36" t="s">
        <v>0</v>
      </c>
      <c r="E29" s="43" t="s">
        <v>0</v>
      </c>
      <c r="F29" s="36" t="s">
        <v>0</v>
      </c>
      <c r="G29" s="40" t="s">
        <v>0</v>
      </c>
      <c r="H29" s="43" t="s">
        <v>0</v>
      </c>
      <c r="I29" s="36" t="s">
        <v>0</v>
      </c>
      <c r="J29" s="40" t="s">
        <v>0</v>
      </c>
      <c r="K29" s="36" t="s">
        <v>0</v>
      </c>
      <c r="L29" s="43" t="s">
        <v>0</v>
      </c>
      <c r="M29" s="36" t="s">
        <v>203</v>
      </c>
      <c r="N29" s="40" t="s">
        <v>0</v>
      </c>
      <c r="O29" s="43" t="s">
        <v>0</v>
      </c>
      <c r="P29" s="36" t="s">
        <v>0</v>
      </c>
      <c r="Q29" s="41" t="s">
        <v>0</v>
      </c>
      <c r="R29" s="36" t="s">
        <v>0</v>
      </c>
      <c r="S29" s="40" t="s">
        <v>0</v>
      </c>
      <c r="T29" s="36" t="s">
        <v>0</v>
      </c>
      <c r="U29" s="36" t="s">
        <v>0</v>
      </c>
      <c r="V29" s="36" t="s">
        <v>0</v>
      </c>
      <c r="W29" s="36" t="s">
        <v>0</v>
      </c>
      <c r="X29" s="36" t="s">
        <v>0</v>
      </c>
      <c r="Y29" s="36" t="s">
        <v>0</v>
      </c>
      <c r="Z29" s="36" t="s">
        <v>0</v>
      </c>
      <c r="AA29" s="36" t="s">
        <v>0</v>
      </c>
      <c r="AB29" s="36" t="s">
        <v>0</v>
      </c>
      <c r="AC29" s="36" t="s">
        <v>0</v>
      </c>
      <c r="AD29" s="36" t="s">
        <v>0</v>
      </c>
      <c r="AE29" s="36" t="s">
        <v>0</v>
      </c>
      <c r="AF29" s="36" t="s">
        <v>0</v>
      </c>
      <c r="AG29" s="36" t="s">
        <v>0</v>
      </c>
      <c r="AH29" s="36" t="s">
        <v>0</v>
      </c>
      <c r="AI29" s="36" t="s">
        <v>0</v>
      </c>
      <c r="AJ29" s="36" t="s">
        <v>0</v>
      </c>
    </row>
    <row r="30" spans="2:36" x14ac:dyDescent="0.3">
      <c r="B30" s="12">
        <v>14</v>
      </c>
      <c r="C30" s="36" t="s">
        <v>0</v>
      </c>
      <c r="D30" s="36" t="s">
        <v>0</v>
      </c>
      <c r="E30" s="43" t="s">
        <v>0</v>
      </c>
      <c r="F30" s="36" t="s">
        <v>0</v>
      </c>
      <c r="G30" s="40" t="s">
        <v>0</v>
      </c>
      <c r="H30" s="43" t="s">
        <v>0</v>
      </c>
      <c r="I30" s="36" t="s">
        <v>0</v>
      </c>
      <c r="J30" s="40" t="s">
        <v>0</v>
      </c>
      <c r="K30" s="36" t="s">
        <v>0</v>
      </c>
      <c r="L30" s="43" t="s">
        <v>0</v>
      </c>
      <c r="M30" s="36" t="s">
        <v>0</v>
      </c>
      <c r="N30" s="40" t="s">
        <v>0</v>
      </c>
      <c r="O30" s="43" t="s">
        <v>0</v>
      </c>
      <c r="P30" s="36" t="s">
        <v>0</v>
      </c>
      <c r="Q30" s="41" t="s">
        <v>0</v>
      </c>
      <c r="R30" s="36" t="s">
        <v>0</v>
      </c>
      <c r="S30" s="40" t="s">
        <v>0</v>
      </c>
      <c r="T30" s="36" t="s">
        <v>0</v>
      </c>
      <c r="U30" s="36" t="s">
        <v>0</v>
      </c>
      <c r="V30" s="36" t="s">
        <v>0</v>
      </c>
      <c r="W30" s="36" t="s">
        <v>0</v>
      </c>
      <c r="X30" s="36" t="s">
        <v>0</v>
      </c>
      <c r="Y30" s="36" t="s">
        <v>0</v>
      </c>
      <c r="Z30" s="36" t="s">
        <v>0</v>
      </c>
      <c r="AA30" s="36" t="s">
        <v>0</v>
      </c>
      <c r="AB30" s="36" t="s">
        <v>0</v>
      </c>
      <c r="AC30" s="36" t="s">
        <v>0</v>
      </c>
      <c r="AD30" s="36" t="s">
        <v>0</v>
      </c>
      <c r="AE30" s="36" t="s">
        <v>0</v>
      </c>
      <c r="AF30" s="36" t="s">
        <v>0</v>
      </c>
      <c r="AG30" s="36" t="s">
        <v>0</v>
      </c>
      <c r="AH30" s="36" t="s">
        <v>0</v>
      </c>
      <c r="AI30" s="36" t="s">
        <v>0</v>
      </c>
      <c r="AJ30" s="36" t="s">
        <v>0</v>
      </c>
    </row>
    <row r="31" spans="2:36" x14ac:dyDescent="0.3">
      <c r="B31" s="12">
        <v>15</v>
      </c>
      <c r="C31" s="36" t="s">
        <v>468</v>
      </c>
      <c r="D31" s="36" t="s">
        <v>0</v>
      </c>
      <c r="E31" s="43" t="s">
        <v>362</v>
      </c>
      <c r="F31" s="36" t="s">
        <v>188</v>
      </c>
      <c r="G31" s="40" t="s">
        <v>0</v>
      </c>
      <c r="H31" s="43" t="s">
        <v>0</v>
      </c>
      <c r="I31" s="36" t="s">
        <v>0</v>
      </c>
      <c r="J31" s="40" t="s">
        <v>124</v>
      </c>
      <c r="K31" s="36" t="s">
        <v>125</v>
      </c>
      <c r="L31" s="43" t="s">
        <v>126</v>
      </c>
      <c r="M31" s="36" t="s">
        <v>204</v>
      </c>
      <c r="N31" s="40" t="s">
        <v>127</v>
      </c>
      <c r="O31" s="43" t="s">
        <v>469</v>
      </c>
      <c r="P31" s="36" t="s">
        <v>0</v>
      </c>
      <c r="Q31" s="41" t="s">
        <v>511</v>
      </c>
      <c r="R31" s="36" t="s">
        <v>0</v>
      </c>
      <c r="S31" s="40" t="s">
        <v>470</v>
      </c>
      <c r="T31" s="36" t="s">
        <v>471</v>
      </c>
      <c r="U31" s="36" t="s">
        <v>472</v>
      </c>
      <c r="V31" s="36" t="s">
        <v>0</v>
      </c>
      <c r="W31" s="36" t="s">
        <v>128</v>
      </c>
      <c r="X31" s="36" t="s">
        <v>341</v>
      </c>
      <c r="Y31" s="36" t="s">
        <v>0</v>
      </c>
      <c r="Z31" s="36" t="s">
        <v>0</v>
      </c>
      <c r="AA31" s="36" t="s">
        <v>473</v>
      </c>
      <c r="AB31" s="36" t="s">
        <v>0</v>
      </c>
      <c r="AC31" s="36" t="s">
        <v>290</v>
      </c>
      <c r="AD31" s="36" t="s">
        <v>0</v>
      </c>
      <c r="AE31" s="36" t="s">
        <v>474</v>
      </c>
      <c r="AF31" s="36" t="s">
        <v>248</v>
      </c>
      <c r="AG31" s="36" t="s">
        <v>0</v>
      </c>
      <c r="AH31" s="36" t="s">
        <v>249</v>
      </c>
      <c r="AI31" s="36" t="s">
        <v>475</v>
      </c>
      <c r="AJ31" s="36" t="s">
        <v>250</v>
      </c>
    </row>
    <row r="32" spans="2:36" x14ac:dyDescent="0.3">
      <c r="B32" s="12">
        <v>16</v>
      </c>
      <c r="C32" s="36" t="s">
        <v>0</v>
      </c>
      <c r="D32" s="36" t="s">
        <v>0</v>
      </c>
      <c r="E32" s="43" t="s">
        <v>0</v>
      </c>
      <c r="F32" s="36" t="s">
        <v>0</v>
      </c>
      <c r="G32" s="40" t="s">
        <v>0</v>
      </c>
      <c r="H32" s="43" t="s">
        <v>0</v>
      </c>
      <c r="I32" s="36" t="s">
        <v>0</v>
      </c>
      <c r="J32" s="40" t="s">
        <v>0</v>
      </c>
      <c r="K32" s="36" t="s">
        <v>0</v>
      </c>
      <c r="L32" s="43" t="s">
        <v>0</v>
      </c>
      <c r="M32" s="36" t="s">
        <v>0</v>
      </c>
      <c r="N32" s="40" t="s">
        <v>0</v>
      </c>
      <c r="O32" s="43" t="s">
        <v>0</v>
      </c>
      <c r="P32" s="36" t="s">
        <v>0</v>
      </c>
      <c r="Q32" s="41" t="s">
        <v>0</v>
      </c>
      <c r="R32" s="36" t="s">
        <v>0</v>
      </c>
      <c r="S32" s="40" t="s">
        <v>0</v>
      </c>
      <c r="T32" s="36" t="s">
        <v>0</v>
      </c>
      <c r="U32" s="36" t="s">
        <v>0</v>
      </c>
      <c r="V32" s="36" t="s">
        <v>0</v>
      </c>
      <c r="W32" s="36" t="s">
        <v>0</v>
      </c>
      <c r="X32" s="36" t="s">
        <v>0</v>
      </c>
      <c r="Y32" s="36" t="s">
        <v>0</v>
      </c>
      <c r="Z32" s="36" t="s">
        <v>0</v>
      </c>
      <c r="AA32" s="36" t="s">
        <v>0</v>
      </c>
      <c r="AB32" s="36" t="s">
        <v>0</v>
      </c>
      <c r="AC32" s="36" t="s">
        <v>0</v>
      </c>
      <c r="AD32" s="36" t="s">
        <v>0</v>
      </c>
      <c r="AE32" s="36" t="s">
        <v>0</v>
      </c>
      <c r="AF32" s="36" t="s">
        <v>0</v>
      </c>
      <c r="AG32" s="36" t="s">
        <v>0</v>
      </c>
      <c r="AH32" s="36" t="s">
        <v>0</v>
      </c>
      <c r="AI32" s="36" t="s">
        <v>0</v>
      </c>
      <c r="AJ32" s="36" t="s">
        <v>0</v>
      </c>
    </row>
    <row r="33" spans="1:36" x14ac:dyDescent="0.3">
      <c r="B33" s="12">
        <v>17</v>
      </c>
      <c r="C33" s="36" t="s">
        <v>0</v>
      </c>
      <c r="D33" s="36" t="s">
        <v>0</v>
      </c>
      <c r="E33" s="43" t="s">
        <v>0</v>
      </c>
      <c r="F33" s="36" t="s">
        <v>0</v>
      </c>
      <c r="G33" s="40" t="s">
        <v>0</v>
      </c>
      <c r="H33" s="43" t="s">
        <v>0</v>
      </c>
      <c r="I33" s="36" t="s">
        <v>0</v>
      </c>
      <c r="J33" s="40" t="s">
        <v>0</v>
      </c>
      <c r="K33" s="36" t="s">
        <v>0</v>
      </c>
      <c r="L33" s="43" t="s">
        <v>0</v>
      </c>
      <c r="M33" s="36" t="s">
        <v>0</v>
      </c>
      <c r="N33" s="40" t="s">
        <v>0</v>
      </c>
      <c r="O33" s="43" t="s">
        <v>0</v>
      </c>
      <c r="P33" s="36" t="s">
        <v>0</v>
      </c>
      <c r="Q33" s="41" t="s">
        <v>0</v>
      </c>
      <c r="R33" s="36" t="s">
        <v>0</v>
      </c>
      <c r="S33" s="40" t="s">
        <v>0</v>
      </c>
      <c r="T33" s="36" t="s">
        <v>0</v>
      </c>
      <c r="U33" s="36" t="s">
        <v>0</v>
      </c>
      <c r="V33" s="36" t="s">
        <v>0</v>
      </c>
      <c r="W33" s="36" t="s">
        <v>0</v>
      </c>
      <c r="X33" s="36" t="s">
        <v>0</v>
      </c>
      <c r="Y33" s="36" t="s">
        <v>0</v>
      </c>
      <c r="Z33" s="36" t="s">
        <v>0</v>
      </c>
      <c r="AA33" s="36" t="s">
        <v>0</v>
      </c>
      <c r="AB33" s="36" t="s">
        <v>0</v>
      </c>
      <c r="AC33" s="36" t="s">
        <v>0</v>
      </c>
      <c r="AD33" s="36" t="s">
        <v>0</v>
      </c>
      <c r="AE33" s="36" t="s">
        <v>0</v>
      </c>
      <c r="AF33" s="36" t="s">
        <v>0</v>
      </c>
      <c r="AG33" s="36" t="s">
        <v>0</v>
      </c>
      <c r="AH33" s="36" t="s">
        <v>0</v>
      </c>
      <c r="AI33" s="36" t="s">
        <v>0</v>
      </c>
      <c r="AJ33" s="36" t="s">
        <v>0</v>
      </c>
    </row>
    <row r="34" spans="1:36" x14ac:dyDescent="0.3">
      <c r="B34" s="12">
        <v>18</v>
      </c>
      <c r="C34" s="36" t="s">
        <v>0</v>
      </c>
      <c r="D34" s="36" t="s">
        <v>0</v>
      </c>
      <c r="E34" s="43" t="s">
        <v>0</v>
      </c>
      <c r="F34" s="36" t="s">
        <v>0</v>
      </c>
      <c r="G34" s="40" t="s">
        <v>0</v>
      </c>
      <c r="H34" s="43" t="s">
        <v>0</v>
      </c>
      <c r="I34" s="36" t="s">
        <v>0</v>
      </c>
      <c r="J34" s="40" t="s">
        <v>0</v>
      </c>
      <c r="K34" s="36" t="s">
        <v>0</v>
      </c>
      <c r="L34" s="43" t="s">
        <v>0</v>
      </c>
      <c r="M34" s="36" t="s">
        <v>0</v>
      </c>
      <c r="N34" s="40" t="s">
        <v>0</v>
      </c>
      <c r="O34" s="43" t="s">
        <v>0</v>
      </c>
      <c r="P34" s="36" t="s">
        <v>0</v>
      </c>
      <c r="Q34" s="41" t="s">
        <v>0</v>
      </c>
      <c r="R34" s="36" t="s">
        <v>0</v>
      </c>
      <c r="S34" s="40" t="s">
        <v>0</v>
      </c>
      <c r="T34" s="36" t="s">
        <v>0</v>
      </c>
      <c r="U34" s="36" t="s">
        <v>0</v>
      </c>
      <c r="V34" s="36" t="s">
        <v>0</v>
      </c>
      <c r="W34" s="36" t="s">
        <v>0</v>
      </c>
      <c r="X34" s="36" t="s">
        <v>0</v>
      </c>
      <c r="Y34" s="36" t="s">
        <v>0</v>
      </c>
      <c r="Z34" s="36" t="s">
        <v>0</v>
      </c>
      <c r="AA34" s="36" t="s">
        <v>0</v>
      </c>
      <c r="AB34" s="36" t="s">
        <v>0</v>
      </c>
      <c r="AC34" s="36" t="s">
        <v>0</v>
      </c>
      <c r="AD34" s="36" t="s">
        <v>0</v>
      </c>
      <c r="AE34" s="36" t="s">
        <v>0</v>
      </c>
      <c r="AF34" s="36" t="s">
        <v>0</v>
      </c>
      <c r="AG34" s="36" t="s">
        <v>0</v>
      </c>
      <c r="AH34" s="36" t="s">
        <v>0</v>
      </c>
      <c r="AI34" s="36" t="s">
        <v>0</v>
      </c>
      <c r="AJ34" s="36" t="s">
        <v>0</v>
      </c>
    </row>
    <row r="35" spans="1:36" x14ac:dyDescent="0.3">
      <c r="B35" s="12">
        <v>19</v>
      </c>
      <c r="C35" s="36" t="s">
        <v>0</v>
      </c>
      <c r="D35" s="36" t="s">
        <v>0</v>
      </c>
      <c r="E35" s="43" t="s">
        <v>0</v>
      </c>
      <c r="F35" s="36" t="s">
        <v>0</v>
      </c>
      <c r="G35" s="40" t="s">
        <v>0</v>
      </c>
      <c r="H35" s="43" t="s">
        <v>0</v>
      </c>
      <c r="I35" s="36" t="s">
        <v>0</v>
      </c>
      <c r="J35" s="40" t="s">
        <v>0</v>
      </c>
      <c r="K35" s="36" t="s">
        <v>0</v>
      </c>
      <c r="L35" s="43" t="s">
        <v>0</v>
      </c>
      <c r="M35" s="36" t="s">
        <v>0</v>
      </c>
      <c r="N35" s="40" t="s">
        <v>0</v>
      </c>
      <c r="O35" s="43" t="s">
        <v>0</v>
      </c>
      <c r="P35" s="36" t="s">
        <v>0</v>
      </c>
      <c r="Q35" s="41" t="s">
        <v>0</v>
      </c>
      <c r="R35" s="36" t="s">
        <v>0</v>
      </c>
      <c r="S35" s="40" t="s">
        <v>0</v>
      </c>
      <c r="T35" s="36" t="s">
        <v>0</v>
      </c>
      <c r="U35" s="36" t="s">
        <v>0</v>
      </c>
      <c r="V35" s="36" t="s">
        <v>0</v>
      </c>
      <c r="W35" s="36" t="s">
        <v>0</v>
      </c>
      <c r="X35" s="36" t="s">
        <v>0</v>
      </c>
      <c r="Y35" s="36" t="s">
        <v>0</v>
      </c>
      <c r="Z35" s="36" t="s">
        <v>0</v>
      </c>
      <c r="AA35" s="36" t="s">
        <v>0</v>
      </c>
      <c r="AB35" s="36" t="s">
        <v>0</v>
      </c>
      <c r="AC35" s="36" t="s">
        <v>0</v>
      </c>
      <c r="AD35" s="36" t="s">
        <v>0</v>
      </c>
      <c r="AE35" s="36" t="s">
        <v>0</v>
      </c>
      <c r="AF35" s="36" t="s">
        <v>0</v>
      </c>
      <c r="AG35" s="36" t="s">
        <v>0</v>
      </c>
      <c r="AH35" s="36" t="s">
        <v>0</v>
      </c>
      <c r="AI35" s="36" t="s">
        <v>0</v>
      </c>
      <c r="AJ35" s="36" t="s">
        <v>0</v>
      </c>
    </row>
    <row r="36" spans="1:36" x14ac:dyDescent="0.3">
      <c r="B36" s="12">
        <v>20</v>
      </c>
      <c r="C36" s="36" t="s">
        <v>476</v>
      </c>
      <c r="D36" s="36" t="s">
        <v>0</v>
      </c>
      <c r="E36" s="43" t="s">
        <v>363</v>
      </c>
      <c r="F36" s="36" t="s">
        <v>189</v>
      </c>
      <c r="G36" s="40" t="s">
        <v>0</v>
      </c>
      <c r="H36" s="43" t="s">
        <v>0</v>
      </c>
      <c r="I36" s="36" t="s">
        <v>313</v>
      </c>
      <c r="J36" s="40" t="s">
        <v>0</v>
      </c>
      <c r="K36" s="36" t="s">
        <v>129</v>
      </c>
      <c r="L36" s="43" t="s">
        <v>130</v>
      </c>
      <c r="M36" s="36" t="s">
        <v>205</v>
      </c>
      <c r="N36" s="40" t="s">
        <v>291</v>
      </c>
      <c r="O36" s="43" t="s">
        <v>0</v>
      </c>
      <c r="P36" s="36" t="s">
        <v>0</v>
      </c>
      <c r="Q36" s="41" t="s">
        <v>512</v>
      </c>
      <c r="R36" s="36" t="s">
        <v>0</v>
      </c>
      <c r="S36" s="40" t="s">
        <v>477</v>
      </c>
      <c r="T36" s="36" t="s">
        <v>478</v>
      </c>
      <c r="U36" s="36" t="s">
        <v>479</v>
      </c>
      <c r="V36" s="36" t="s">
        <v>0</v>
      </c>
      <c r="W36" s="36" t="s">
        <v>131</v>
      </c>
      <c r="X36" s="36" t="s">
        <v>342</v>
      </c>
      <c r="Y36" s="36" t="s">
        <v>0</v>
      </c>
      <c r="Z36" s="36" t="s">
        <v>0</v>
      </c>
      <c r="AA36" s="36" t="s">
        <v>480</v>
      </c>
      <c r="AB36" s="36" t="s">
        <v>343</v>
      </c>
      <c r="AC36" s="36" t="s">
        <v>0</v>
      </c>
      <c r="AD36" s="36" t="s">
        <v>0</v>
      </c>
      <c r="AE36" s="36" t="s">
        <v>481</v>
      </c>
      <c r="AF36" s="36" t="s">
        <v>251</v>
      </c>
      <c r="AG36" s="36" t="s">
        <v>0</v>
      </c>
      <c r="AH36" s="36" t="s">
        <v>292</v>
      </c>
      <c r="AI36" s="36" t="s">
        <v>482</v>
      </c>
      <c r="AJ36" s="36" t="s">
        <v>252</v>
      </c>
    </row>
    <row r="37" spans="1:36" x14ac:dyDescent="0.3">
      <c r="B37" s="12">
        <v>25</v>
      </c>
      <c r="C37" s="36" t="s">
        <v>0</v>
      </c>
      <c r="D37" s="36" t="s">
        <v>0</v>
      </c>
      <c r="E37" s="43" t="s">
        <v>0</v>
      </c>
      <c r="F37" s="36" t="s">
        <v>0</v>
      </c>
      <c r="G37" s="40" t="s">
        <v>0</v>
      </c>
      <c r="H37" s="43" t="s">
        <v>0</v>
      </c>
      <c r="I37" s="36" t="s">
        <v>0</v>
      </c>
      <c r="J37" s="40" t="s">
        <v>0</v>
      </c>
      <c r="K37" s="36" t="s">
        <v>0</v>
      </c>
      <c r="L37" s="43" t="s">
        <v>0</v>
      </c>
      <c r="M37" s="36" t="s">
        <v>206</v>
      </c>
      <c r="N37" s="40" t="s">
        <v>0</v>
      </c>
      <c r="O37" s="43" t="s">
        <v>0</v>
      </c>
      <c r="P37" s="36" t="s">
        <v>0</v>
      </c>
      <c r="Q37" s="36" t="s">
        <v>0</v>
      </c>
      <c r="R37" s="36" t="s">
        <v>0</v>
      </c>
      <c r="S37" s="40" t="s">
        <v>0</v>
      </c>
      <c r="T37" s="36" t="s">
        <v>0</v>
      </c>
      <c r="U37" s="36" t="s">
        <v>0</v>
      </c>
      <c r="V37" s="36" t="s">
        <v>0</v>
      </c>
      <c r="W37" s="36" t="s">
        <v>293</v>
      </c>
      <c r="X37" s="36" t="s">
        <v>0</v>
      </c>
      <c r="Y37" s="36" t="s">
        <v>0</v>
      </c>
      <c r="Z37" s="36" t="s">
        <v>0</v>
      </c>
      <c r="AA37" s="36" t="s">
        <v>483</v>
      </c>
      <c r="AB37" s="36" t="s">
        <v>0</v>
      </c>
      <c r="AC37" s="36" t="s">
        <v>0</v>
      </c>
      <c r="AD37" s="36" t="s">
        <v>0</v>
      </c>
      <c r="AE37" s="36" t="s">
        <v>0</v>
      </c>
      <c r="AF37" s="36" t="s">
        <v>253</v>
      </c>
      <c r="AG37" s="36" t="s">
        <v>0</v>
      </c>
      <c r="AH37" s="36" t="s">
        <v>254</v>
      </c>
      <c r="AI37" s="36" t="s">
        <v>0</v>
      </c>
      <c r="AJ37" s="36" t="s">
        <v>255</v>
      </c>
    </row>
    <row r="38" spans="1:36" x14ac:dyDescent="0.3">
      <c r="B38" s="12">
        <v>30</v>
      </c>
      <c r="C38" s="36" t="s">
        <v>484</v>
      </c>
      <c r="D38" s="36" t="s">
        <v>485</v>
      </c>
      <c r="E38" s="43" t="s">
        <v>364</v>
      </c>
      <c r="F38" s="36" t="s">
        <v>190</v>
      </c>
      <c r="G38" s="40" t="s">
        <v>294</v>
      </c>
      <c r="H38" s="43" t="s">
        <v>0</v>
      </c>
      <c r="I38" s="36" t="s">
        <v>0</v>
      </c>
      <c r="J38" s="40" t="s">
        <v>295</v>
      </c>
      <c r="K38" s="36" t="s">
        <v>296</v>
      </c>
      <c r="L38" s="43" t="s">
        <v>0</v>
      </c>
      <c r="M38" s="36" t="s">
        <v>207</v>
      </c>
      <c r="N38" s="40" t="s">
        <v>0</v>
      </c>
      <c r="O38" s="43" t="s">
        <v>486</v>
      </c>
      <c r="P38" s="36" t="s">
        <v>0</v>
      </c>
      <c r="Q38" s="41" t="s">
        <v>513</v>
      </c>
      <c r="R38" s="36" t="s">
        <v>0</v>
      </c>
      <c r="S38" s="40" t="s">
        <v>487</v>
      </c>
      <c r="T38" s="36" t="s">
        <v>488</v>
      </c>
      <c r="U38" s="36" t="s">
        <v>489</v>
      </c>
      <c r="V38" s="36" t="s">
        <v>297</v>
      </c>
      <c r="W38" s="36" t="s">
        <v>0</v>
      </c>
      <c r="X38" s="36" t="s">
        <v>0</v>
      </c>
      <c r="Y38" s="36" t="s">
        <v>0</v>
      </c>
      <c r="Z38" s="36" t="s">
        <v>490</v>
      </c>
      <c r="AA38" s="36" t="s">
        <v>491</v>
      </c>
      <c r="AB38" s="36" t="s">
        <v>0</v>
      </c>
      <c r="AC38" s="36" t="s">
        <v>0</v>
      </c>
      <c r="AD38" s="36" t="s">
        <v>298</v>
      </c>
      <c r="AE38" s="36" t="s">
        <v>492</v>
      </c>
      <c r="AF38" s="36" t="s">
        <v>299</v>
      </c>
      <c r="AG38" s="36" t="s">
        <v>0</v>
      </c>
      <c r="AH38" s="36" t="s">
        <v>256</v>
      </c>
      <c r="AI38" s="36" t="s">
        <v>493</v>
      </c>
      <c r="AJ38" s="36" t="s">
        <v>300</v>
      </c>
    </row>
    <row r="39" spans="1:36" x14ac:dyDescent="0.3">
      <c r="B39" s="12">
        <v>50</v>
      </c>
      <c r="C39" s="36" t="s">
        <v>0</v>
      </c>
      <c r="D39" s="36" t="s">
        <v>0</v>
      </c>
      <c r="E39" s="43" t="s">
        <v>0</v>
      </c>
      <c r="F39" s="36" t="s">
        <v>0</v>
      </c>
      <c r="G39" s="40" t="s">
        <v>0</v>
      </c>
      <c r="H39" s="43" t="s">
        <v>301</v>
      </c>
      <c r="I39" s="36" t="s">
        <v>0</v>
      </c>
      <c r="J39" s="40" t="s">
        <v>0</v>
      </c>
      <c r="K39" s="36" t="s">
        <v>0</v>
      </c>
      <c r="L39" s="43" t="s">
        <v>302</v>
      </c>
      <c r="M39" s="36" t="s">
        <v>494</v>
      </c>
      <c r="N39" s="40" t="s">
        <v>0</v>
      </c>
      <c r="O39" s="43" t="s">
        <v>0</v>
      </c>
      <c r="P39" s="36" t="s">
        <v>0</v>
      </c>
      <c r="Q39" s="36" t="s">
        <v>0</v>
      </c>
      <c r="R39" s="36" t="s">
        <v>0</v>
      </c>
      <c r="S39" s="40" t="s">
        <v>0</v>
      </c>
      <c r="T39" s="36" t="s">
        <v>0</v>
      </c>
      <c r="U39" s="36" t="s">
        <v>0</v>
      </c>
      <c r="V39" s="36" t="s">
        <v>0</v>
      </c>
      <c r="W39" s="36" t="s">
        <v>0</v>
      </c>
      <c r="X39" s="36" t="s">
        <v>0</v>
      </c>
      <c r="Y39" s="36" t="s">
        <v>0</v>
      </c>
      <c r="Z39" s="36" t="s">
        <v>0</v>
      </c>
      <c r="AA39" s="36" t="s">
        <v>0</v>
      </c>
      <c r="AB39" s="36" t="s">
        <v>0</v>
      </c>
      <c r="AC39" s="36" t="s">
        <v>0</v>
      </c>
      <c r="AD39" s="36" t="s">
        <v>0</v>
      </c>
      <c r="AE39" s="36" t="s">
        <v>0</v>
      </c>
      <c r="AF39" s="36" t="s">
        <v>0</v>
      </c>
      <c r="AG39" s="36" t="s">
        <v>0</v>
      </c>
      <c r="AH39" s="36" t="s">
        <v>0</v>
      </c>
      <c r="AI39" s="36" t="s">
        <v>0</v>
      </c>
      <c r="AJ39" s="36" t="s">
        <v>0</v>
      </c>
    </row>
    <row r="40" spans="1:36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x14ac:dyDescent="0.3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x14ac:dyDescent="0.3">
      <c r="B42" s="13"/>
      <c r="C42" s="4" t="s">
        <v>24</v>
      </c>
      <c r="D42" s="4" t="s">
        <v>7</v>
      </c>
      <c r="E42" s="4" t="s">
        <v>25</v>
      </c>
      <c r="F42" s="4" t="s">
        <v>8</v>
      </c>
      <c r="G42" s="4" t="s">
        <v>26</v>
      </c>
      <c r="H42" s="4" t="s">
        <v>9</v>
      </c>
      <c r="I42" s="4" t="s">
        <v>27</v>
      </c>
      <c r="J42" s="4" t="s">
        <v>10</v>
      </c>
      <c r="K42" s="4" t="s">
        <v>28</v>
      </c>
      <c r="L42" s="4" t="s">
        <v>11</v>
      </c>
      <c r="M42" s="4" t="s">
        <v>29</v>
      </c>
      <c r="N42" s="4" t="s">
        <v>12</v>
      </c>
      <c r="O42" s="4" t="s">
        <v>30</v>
      </c>
      <c r="P42" s="4" t="s">
        <v>13</v>
      </c>
      <c r="Q42" s="4" t="s">
        <v>31</v>
      </c>
      <c r="R42" s="4" t="s">
        <v>14</v>
      </c>
      <c r="S42" s="4" t="s">
        <v>32</v>
      </c>
      <c r="T42" s="4" t="s">
        <v>15</v>
      </c>
      <c r="U42" s="4" t="s">
        <v>33</v>
      </c>
      <c r="V42" s="4" t="s">
        <v>16</v>
      </c>
      <c r="W42" s="4" t="s">
        <v>34</v>
      </c>
      <c r="X42" s="4" t="s">
        <v>17</v>
      </c>
      <c r="Y42" s="4" t="s">
        <v>35</v>
      </c>
      <c r="Z42" s="4" t="s">
        <v>18</v>
      </c>
      <c r="AA42" s="4" t="s">
        <v>36</v>
      </c>
      <c r="AB42" s="4" t="s">
        <v>19</v>
      </c>
      <c r="AC42" s="4" t="s">
        <v>37</v>
      </c>
      <c r="AD42" s="4" t="s">
        <v>20</v>
      </c>
      <c r="AE42" s="4" t="s">
        <v>38</v>
      </c>
      <c r="AF42" s="4" t="s">
        <v>21</v>
      </c>
      <c r="AG42" s="4" t="s">
        <v>39</v>
      </c>
      <c r="AH42" s="4" t="s">
        <v>22</v>
      </c>
      <c r="AI42" s="4" t="s">
        <v>40</v>
      </c>
      <c r="AJ42" s="4" t="s">
        <v>23</v>
      </c>
    </row>
    <row r="43" spans="1:36" x14ac:dyDescent="0.3">
      <c r="B43" s="9" t="s">
        <v>6</v>
      </c>
      <c r="C43" s="4" t="s">
        <v>134</v>
      </c>
      <c r="D43" s="4" t="s">
        <v>135</v>
      </c>
      <c r="E43" s="4" t="s">
        <v>136</v>
      </c>
      <c r="F43" s="4" t="s">
        <v>137</v>
      </c>
      <c r="G43" s="4" t="s">
        <v>138</v>
      </c>
      <c r="H43" s="4" t="s">
        <v>139</v>
      </c>
      <c r="I43" s="4" t="s">
        <v>140</v>
      </c>
      <c r="J43" s="4" t="s">
        <v>141</v>
      </c>
      <c r="K43" s="4" t="s">
        <v>142</v>
      </c>
      <c r="L43" s="4" t="s">
        <v>143</v>
      </c>
      <c r="M43" s="4" t="s">
        <v>144</v>
      </c>
      <c r="N43" s="4" t="s">
        <v>145</v>
      </c>
      <c r="O43" s="4" t="s">
        <v>146</v>
      </c>
      <c r="P43" s="4" t="s">
        <v>147</v>
      </c>
      <c r="Q43" s="4" t="s">
        <v>148</v>
      </c>
      <c r="R43" s="4" t="s">
        <v>149</v>
      </c>
      <c r="S43" s="4" t="s">
        <v>150</v>
      </c>
      <c r="T43" s="4" t="s">
        <v>151</v>
      </c>
      <c r="U43" s="4" t="s">
        <v>152</v>
      </c>
      <c r="V43" s="4" t="s">
        <v>153</v>
      </c>
      <c r="W43" s="4" t="s">
        <v>154</v>
      </c>
      <c r="X43" s="4" t="s">
        <v>155</v>
      </c>
      <c r="Y43" s="4" t="s">
        <v>156</v>
      </c>
      <c r="Z43" s="4" t="s">
        <v>157</v>
      </c>
      <c r="AA43" s="4" t="s">
        <v>158</v>
      </c>
      <c r="AB43" s="4" t="s">
        <v>159</v>
      </c>
      <c r="AC43" s="4" t="s">
        <v>160</v>
      </c>
      <c r="AD43" s="4" t="s">
        <v>161</v>
      </c>
      <c r="AE43" s="4" t="s">
        <v>162</v>
      </c>
      <c r="AF43" s="4" t="s">
        <v>163</v>
      </c>
      <c r="AG43" s="4" t="s">
        <v>164</v>
      </c>
      <c r="AH43" s="4" t="s">
        <v>133</v>
      </c>
      <c r="AI43" s="4" t="s">
        <v>165</v>
      </c>
      <c r="AJ43" s="4" t="s">
        <v>166</v>
      </c>
    </row>
    <row r="44" spans="1:36" x14ac:dyDescent="0.25">
      <c r="B44" s="10" t="s">
        <v>5</v>
      </c>
      <c r="C44" s="20" t="s">
        <v>496</v>
      </c>
      <c r="D44" s="21"/>
      <c r="E44" s="21"/>
      <c r="F44" s="26"/>
      <c r="G44" s="21"/>
      <c r="H44" s="21"/>
      <c r="I44" s="21"/>
      <c r="J44" s="21"/>
      <c r="K44" s="21"/>
      <c r="L44" s="21"/>
      <c r="M44" s="26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44"/>
    </row>
    <row r="45" spans="1:36" s="46" customFormat="1" x14ac:dyDescent="0.3">
      <c r="A45"/>
      <c r="B45" s="45">
        <v>1</v>
      </c>
      <c r="C45" s="47">
        <v>1.2099999999999999E-3</v>
      </c>
      <c r="D45" s="47">
        <v>1.09E-3</v>
      </c>
      <c r="E45" s="47">
        <v>1.65E-3</v>
      </c>
      <c r="F45" s="47">
        <v>1.34E-3</v>
      </c>
      <c r="G45" s="47">
        <v>1.47E-3</v>
      </c>
      <c r="H45" s="47">
        <v>6.8999999999999997E-4</v>
      </c>
      <c r="I45" s="47">
        <v>1.48E-3</v>
      </c>
      <c r="J45" s="47">
        <v>1.47E-3</v>
      </c>
      <c r="K45" s="47">
        <v>1.9000000000000001E-4</v>
      </c>
      <c r="L45" s="47">
        <v>1.1000000000000001E-3</v>
      </c>
      <c r="M45" s="47">
        <v>2.2100000000000002E-3</v>
      </c>
      <c r="N45" s="47">
        <v>5.5999999999999995E-4</v>
      </c>
      <c r="O45" s="47">
        <v>1.09E-3</v>
      </c>
      <c r="P45" s="47">
        <v>1.47E-3</v>
      </c>
      <c r="Q45" s="47">
        <v>1.56E-3</v>
      </c>
      <c r="R45" s="47">
        <v>1.56E-3</v>
      </c>
      <c r="S45" s="47">
        <v>4.6000000000000001E-4</v>
      </c>
      <c r="T45" s="47">
        <v>9.5E-4</v>
      </c>
      <c r="U45" s="47">
        <v>1.2600000000000001E-3</v>
      </c>
      <c r="V45" s="47">
        <v>8.0000000000000004E-4</v>
      </c>
      <c r="W45" s="47">
        <v>1.4E-3</v>
      </c>
      <c r="X45" s="47">
        <v>1.56E-3</v>
      </c>
      <c r="Y45" s="47">
        <v>1.56E-3</v>
      </c>
      <c r="Z45" s="47">
        <v>1.09E-3</v>
      </c>
      <c r="AA45" s="47">
        <v>1.08E-3</v>
      </c>
      <c r="AB45" s="47">
        <v>1.47E-3</v>
      </c>
      <c r="AC45" s="47">
        <v>1.56E-3</v>
      </c>
      <c r="AD45" s="47">
        <v>8.8000000000000003E-4</v>
      </c>
      <c r="AE45" s="47">
        <v>8.7000000000000001E-4</v>
      </c>
      <c r="AF45" s="47">
        <v>9.5E-4</v>
      </c>
      <c r="AG45" s="47">
        <v>1.09E-3</v>
      </c>
      <c r="AH45" s="47">
        <v>1E-3</v>
      </c>
      <c r="AI45" s="47">
        <v>1.7600000000000001E-3</v>
      </c>
      <c r="AJ45" s="47">
        <v>1.3500000000000001E-3</v>
      </c>
    </row>
    <row r="46" spans="1:36" s="46" customFormat="1" x14ac:dyDescent="0.3">
      <c r="A46"/>
      <c r="B46" s="45">
        <v>2</v>
      </c>
      <c r="C46" s="47">
        <v>2.0300000000000001E-3</v>
      </c>
      <c r="D46" s="47">
        <v>1.82E-3</v>
      </c>
      <c r="E46" s="47">
        <v>2.7499999999999998E-3</v>
      </c>
      <c r="F46" s="47">
        <v>2.1299999999999999E-3</v>
      </c>
      <c r="G46" s="47">
        <v>2.1700000000000001E-3</v>
      </c>
      <c r="H46" s="47">
        <v>1.2199999999999999E-3</v>
      </c>
      <c r="I46" s="47">
        <v>2.1700000000000001E-3</v>
      </c>
      <c r="J46" s="47">
        <v>2.1700000000000001E-3</v>
      </c>
      <c r="K46" s="47">
        <v>7.7999999999999999E-4</v>
      </c>
      <c r="L46" s="47">
        <v>1.6000000000000001E-3</v>
      </c>
      <c r="M46" s="47">
        <v>3.2699999999999999E-3</v>
      </c>
      <c r="N46" s="47">
        <v>9.3999999999999997E-4</v>
      </c>
      <c r="O46" s="47">
        <v>1.82E-3</v>
      </c>
      <c r="P46" s="47">
        <v>2.1800000000000001E-3</v>
      </c>
      <c r="Q46" s="47">
        <v>2.31E-3</v>
      </c>
      <c r="R46" s="47">
        <v>2.31E-3</v>
      </c>
      <c r="S46" s="47">
        <v>8.0000000000000004E-4</v>
      </c>
      <c r="T46" s="47">
        <v>1.58E-3</v>
      </c>
      <c r="U46" s="47">
        <v>2.1099999999999999E-3</v>
      </c>
      <c r="V46" s="47">
        <v>1.6199999999999999E-3</v>
      </c>
      <c r="W46" s="47">
        <v>2.0999999999999999E-3</v>
      </c>
      <c r="X46" s="47">
        <v>2.3E-3</v>
      </c>
      <c r="Y46" s="47">
        <v>2.31E-3</v>
      </c>
      <c r="Z46" s="47">
        <v>1.82E-3</v>
      </c>
      <c r="AA46" s="47">
        <v>1.82E-3</v>
      </c>
      <c r="AB46" s="47">
        <v>2.1700000000000001E-3</v>
      </c>
      <c r="AC46" s="47">
        <v>2.31E-3</v>
      </c>
      <c r="AD46" s="47">
        <v>1.6900000000000001E-3</v>
      </c>
      <c r="AE46" s="47">
        <v>1.4599999999999999E-3</v>
      </c>
      <c r="AF46" s="47">
        <v>1.58E-3</v>
      </c>
      <c r="AG46" s="47">
        <v>1.82E-3</v>
      </c>
      <c r="AH46" s="47">
        <v>1.6800000000000001E-3</v>
      </c>
      <c r="AI46" s="47">
        <v>2.9299999999999999E-3</v>
      </c>
      <c r="AJ46" s="47">
        <v>2.2599999999999999E-3</v>
      </c>
    </row>
    <row r="47" spans="1:36" s="46" customFormat="1" x14ac:dyDescent="0.3">
      <c r="A47"/>
      <c r="B47" s="45">
        <v>3</v>
      </c>
      <c r="C47" s="47">
        <v>2.5799999999999998E-3</v>
      </c>
      <c r="D47" s="47">
        <v>2.31E-3</v>
      </c>
      <c r="E47" s="47">
        <v>3.49E-3</v>
      </c>
      <c r="F47" s="47">
        <v>2.5899999999999999E-3</v>
      </c>
      <c r="G47" s="47">
        <v>2.7100000000000002E-3</v>
      </c>
      <c r="H47" s="47">
        <v>1.6100000000000001E-3</v>
      </c>
      <c r="I47" s="47">
        <v>2.7100000000000002E-3</v>
      </c>
      <c r="J47" s="47">
        <v>2.7000000000000001E-3</v>
      </c>
      <c r="K47" s="47">
        <v>1.14E-3</v>
      </c>
      <c r="L47" s="47">
        <v>1.92E-3</v>
      </c>
      <c r="M47" s="47">
        <v>3.9399999999999999E-3</v>
      </c>
      <c r="N47" s="47">
        <v>1.2199999999999999E-3</v>
      </c>
      <c r="O47" s="47">
        <v>2.3E-3</v>
      </c>
      <c r="P47" s="47">
        <v>2.7100000000000002E-3</v>
      </c>
      <c r="Q47" s="47">
        <v>2.8500000000000001E-3</v>
      </c>
      <c r="R47" s="47">
        <v>2.8500000000000001E-3</v>
      </c>
      <c r="S47" s="47">
        <v>1.06E-3</v>
      </c>
      <c r="T47" s="47">
        <v>2.0100000000000001E-3</v>
      </c>
      <c r="U47" s="47">
        <v>2.7000000000000001E-3</v>
      </c>
      <c r="V47" s="47">
        <v>2.0999999999999999E-3</v>
      </c>
      <c r="W47" s="47">
        <v>2.6199999999999999E-3</v>
      </c>
      <c r="X47" s="47">
        <v>2.8500000000000001E-3</v>
      </c>
      <c r="Y47" s="47">
        <v>2.8500000000000001E-3</v>
      </c>
      <c r="Z47" s="47">
        <v>2.3E-3</v>
      </c>
      <c r="AA47" s="47">
        <v>2.3E-3</v>
      </c>
      <c r="AB47" s="47">
        <v>2.7100000000000002E-3</v>
      </c>
      <c r="AC47" s="47">
        <v>2.8500000000000001E-3</v>
      </c>
      <c r="AD47" s="47">
        <v>2.1700000000000001E-3</v>
      </c>
      <c r="AE47" s="47">
        <v>1.8400000000000001E-3</v>
      </c>
      <c r="AF47" s="47">
        <v>2.0100000000000001E-3</v>
      </c>
      <c r="AG47" s="47">
        <v>2.31E-3</v>
      </c>
      <c r="AH47" s="47">
        <v>2.1199999999999999E-3</v>
      </c>
      <c r="AI47" s="47">
        <v>3.7100000000000002E-3</v>
      </c>
      <c r="AJ47" s="47">
        <v>2.8600000000000001E-3</v>
      </c>
    </row>
    <row r="48" spans="1:36" s="46" customFormat="1" x14ac:dyDescent="0.3">
      <c r="A48"/>
      <c r="B48" s="45">
        <v>4</v>
      </c>
      <c r="C48" s="47">
        <v>2.9499999999999999E-3</v>
      </c>
      <c r="D48" s="47">
        <v>2.6099999999999999E-3</v>
      </c>
      <c r="E48" s="47">
        <v>3.9899999999999996E-3</v>
      </c>
      <c r="F48" s="47">
        <v>2.8300000000000001E-3</v>
      </c>
      <c r="G48" s="47">
        <v>3.0999999999999999E-3</v>
      </c>
      <c r="H48" s="47">
        <v>1.9E-3</v>
      </c>
      <c r="I48" s="47">
        <v>3.0999999999999999E-3</v>
      </c>
      <c r="J48" s="47">
        <v>3.1099999999999999E-3</v>
      </c>
      <c r="K48" s="47">
        <v>1.3699999999999999E-3</v>
      </c>
      <c r="L48" s="47">
        <v>2.1299999999999999E-3</v>
      </c>
      <c r="M48" s="47">
        <v>4.3600000000000002E-3</v>
      </c>
      <c r="N48" s="47">
        <v>1.4300000000000001E-3</v>
      </c>
      <c r="O48" s="47">
        <v>2.6099999999999999E-3</v>
      </c>
      <c r="P48" s="47">
        <v>3.1099999999999999E-3</v>
      </c>
      <c r="Q48" s="47">
        <v>3.2499999999999999E-3</v>
      </c>
      <c r="R48" s="47">
        <v>3.2499999999999999E-3</v>
      </c>
      <c r="S48" s="47">
        <v>1.2600000000000001E-3</v>
      </c>
      <c r="T48" s="47">
        <v>2.2899999999999999E-3</v>
      </c>
      <c r="U48" s="47">
        <v>3.1099999999999999E-3</v>
      </c>
      <c r="V48" s="47">
        <v>2.3600000000000001E-3</v>
      </c>
      <c r="W48" s="47">
        <v>3.0300000000000001E-3</v>
      </c>
      <c r="X48" s="47">
        <v>3.2499999999999999E-3</v>
      </c>
      <c r="Y48" s="47">
        <v>3.2499999999999999E-3</v>
      </c>
      <c r="Z48" s="47">
        <v>2.6099999999999999E-3</v>
      </c>
      <c r="AA48" s="47">
        <v>2.6099999999999999E-3</v>
      </c>
      <c r="AB48" s="47">
        <v>3.1099999999999999E-3</v>
      </c>
      <c r="AC48" s="47">
        <v>3.2499999999999999E-3</v>
      </c>
      <c r="AD48" s="47">
        <v>2.4299999999999999E-3</v>
      </c>
      <c r="AE48" s="47">
        <v>2.0999999999999999E-3</v>
      </c>
      <c r="AF48" s="47">
        <v>2.2899999999999999E-3</v>
      </c>
      <c r="AG48" s="47">
        <v>2.6099999999999999E-3</v>
      </c>
      <c r="AH48" s="47">
        <v>2.4299999999999999E-3</v>
      </c>
      <c r="AI48" s="47">
        <v>4.2399999999999998E-3</v>
      </c>
      <c r="AJ48" s="47">
        <v>3.2399999999999998E-3</v>
      </c>
    </row>
    <row r="49" spans="1:36" s="46" customFormat="1" x14ac:dyDescent="0.3">
      <c r="A49"/>
      <c r="B49" s="45">
        <v>5</v>
      </c>
      <c r="C49" s="47">
        <v>3.2000000000000002E-3</v>
      </c>
      <c r="D49" s="47">
        <v>2.8E-3</v>
      </c>
      <c r="E49" s="47">
        <v>4.3299999999999996E-3</v>
      </c>
      <c r="F49" s="47">
        <v>2.9399999999999999E-3</v>
      </c>
      <c r="G49" s="47">
        <v>3.4099999999999998E-3</v>
      </c>
      <c r="H49" s="47">
        <v>2.0799999999999998E-3</v>
      </c>
      <c r="I49" s="47">
        <v>3.4099999999999998E-3</v>
      </c>
      <c r="J49" s="47">
        <v>3.4199999999999999E-3</v>
      </c>
      <c r="K49" s="47">
        <v>1.5100000000000001E-3</v>
      </c>
      <c r="L49" s="47">
        <v>2.2599999999999999E-3</v>
      </c>
      <c r="M49" s="47">
        <v>4.6100000000000004E-3</v>
      </c>
      <c r="N49" s="47">
        <v>1.58E-3</v>
      </c>
      <c r="O49" s="47">
        <v>2.8E-3</v>
      </c>
      <c r="P49" s="47">
        <v>3.4099999999999998E-3</v>
      </c>
      <c r="Q49" s="47">
        <v>3.5599999999999998E-3</v>
      </c>
      <c r="R49" s="47">
        <v>3.5599999999999998E-3</v>
      </c>
      <c r="S49" s="47">
        <v>1.4E-3</v>
      </c>
      <c r="T49" s="47">
        <v>2.49E-3</v>
      </c>
      <c r="U49" s="47">
        <v>3.3899999999999998E-3</v>
      </c>
      <c r="V49" s="47">
        <v>2.48E-3</v>
      </c>
      <c r="W49" s="47">
        <v>3.3300000000000001E-3</v>
      </c>
      <c r="X49" s="47">
        <v>3.5599999999999998E-3</v>
      </c>
      <c r="Y49" s="47">
        <v>3.5599999999999998E-3</v>
      </c>
      <c r="Z49" s="47">
        <v>2.8E-3</v>
      </c>
      <c r="AA49" s="47">
        <v>2.8E-3</v>
      </c>
      <c r="AB49" s="47">
        <v>3.4099999999999998E-3</v>
      </c>
      <c r="AC49" s="47">
        <v>3.5599999999999998E-3</v>
      </c>
      <c r="AD49" s="47">
        <v>2.5500000000000002E-3</v>
      </c>
      <c r="AE49" s="47">
        <v>2.2799999999999999E-3</v>
      </c>
      <c r="AF49" s="47">
        <v>2.49E-3</v>
      </c>
      <c r="AG49" s="47">
        <v>2.8E-3</v>
      </c>
      <c r="AH49" s="47">
        <v>2.63E-3</v>
      </c>
      <c r="AI49" s="47">
        <v>4.5999999999999999E-3</v>
      </c>
      <c r="AJ49" s="47">
        <v>3.47E-3</v>
      </c>
    </row>
    <row r="50" spans="1:36" s="46" customFormat="1" x14ac:dyDescent="0.3">
      <c r="A50"/>
      <c r="B50" s="45">
        <v>6</v>
      </c>
      <c r="C50" s="47">
        <v>3.3800000000000002E-3</v>
      </c>
      <c r="D50" s="47">
        <v>2.8999999999999998E-3</v>
      </c>
      <c r="E50" s="47">
        <v>4.5599999999999998E-3</v>
      </c>
      <c r="F50" s="47">
        <v>2.98E-3</v>
      </c>
      <c r="G50" s="47">
        <v>3.64E-3</v>
      </c>
      <c r="H50" s="47">
        <v>2.1800000000000001E-3</v>
      </c>
      <c r="I50" s="47">
        <v>3.65E-3</v>
      </c>
      <c r="J50" s="47">
        <v>3.64E-3</v>
      </c>
      <c r="K50" s="47">
        <v>1.5900000000000001E-3</v>
      </c>
      <c r="L50" s="47">
        <v>2.3400000000000001E-3</v>
      </c>
      <c r="M50" s="47">
        <v>4.7600000000000003E-3</v>
      </c>
      <c r="N50" s="47">
        <v>1.6999999999999999E-3</v>
      </c>
      <c r="O50" s="47">
        <v>2.8999999999999998E-3</v>
      </c>
      <c r="P50" s="47">
        <v>3.64E-3</v>
      </c>
      <c r="Q50" s="47">
        <v>3.79E-3</v>
      </c>
      <c r="R50" s="47">
        <v>3.79E-3</v>
      </c>
      <c r="S50" s="47">
        <v>1.5E-3</v>
      </c>
      <c r="T50" s="47">
        <v>2.6199999999999999E-3</v>
      </c>
      <c r="U50" s="47">
        <v>3.5899999999999999E-3</v>
      </c>
      <c r="V50" s="47">
        <v>2.5300000000000001E-3</v>
      </c>
      <c r="W50" s="47">
        <v>3.5599999999999998E-3</v>
      </c>
      <c r="X50" s="47">
        <v>3.79E-3</v>
      </c>
      <c r="Y50" s="47">
        <v>3.79E-3</v>
      </c>
      <c r="Z50" s="47">
        <v>2.8999999999999998E-3</v>
      </c>
      <c r="AA50" s="47">
        <v>2.8999999999999998E-3</v>
      </c>
      <c r="AB50" s="47">
        <v>3.64E-3</v>
      </c>
      <c r="AC50" s="47">
        <v>3.79E-3</v>
      </c>
      <c r="AD50" s="47">
        <v>2.5999999999999999E-3</v>
      </c>
      <c r="AE50" s="47">
        <v>2.3999999999999998E-3</v>
      </c>
      <c r="AF50" s="47">
        <v>2.6199999999999999E-3</v>
      </c>
      <c r="AG50" s="47">
        <v>2.8900000000000002E-3</v>
      </c>
      <c r="AH50" s="47">
        <v>2.7699999999999999E-3</v>
      </c>
      <c r="AI50" s="47">
        <v>4.8399999999999997E-3</v>
      </c>
      <c r="AJ50" s="47">
        <v>3.5999999999999999E-3</v>
      </c>
    </row>
    <row r="51" spans="1:36" s="46" customFormat="1" x14ac:dyDescent="0.3">
      <c r="A51"/>
      <c r="B51" s="45">
        <v>7</v>
      </c>
      <c r="C51" s="47">
        <v>3.5000000000000001E-3</v>
      </c>
      <c r="D51" s="47">
        <v>2.9399999999999999E-3</v>
      </c>
      <c r="E51" s="47">
        <v>4.7299999999999998E-3</v>
      </c>
      <c r="F51" s="47">
        <v>2.96E-3</v>
      </c>
      <c r="G51" s="47">
        <v>3.82E-3</v>
      </c>
      <c r="H51" s="47">
        <v>2.1900000000000001E-3</v>
      </c>
      <c r="I51" s="47">
        <v>3.82E-3</v>
      </c>
      <c r="J51" s="47">
        <v>3.82E-3</v>
      </c>
      <c r="K51" s="47">
        <v>1.64E-3</v>
      </c>
      <c r="L51" s="47">
        <v>2.3999999999999998E-3</v>
      </c>
      <c r="M51" s="47">
        <v>4.8500000000000001E-3</v>
      </c>
      <c r="N51" s="47">
        <v>1.8E-3</v>
      </c>
      <c r="O51" s="47">
        <v>2.9399999999999999E-3</v>
      </c>
      <c r="P51" s="47">
        <v>3.82E-3</v>
      </c>
      <c r="Q51" s="47">
        <v>3.9699999999999996E-3</v>
      </c>
      <c r="R51" s="47">
        <v>3.9699999999999996E-3</v>
      </c>
      <c r="S51" s="47">
        <v>1.57E-3</v>
      </c>
      <c r="T51" s="47">
        <v>2.7100000000000002E-3</v>
      </c>
      <c r="U51" s="47">
        <v>3.7399999999999998E-3</v>
      </c>
      <c r="V51" s="47">
        <v>2.5300000000000001E-3</v>
      </c>
      <c r="W51" s="47">
        <v>3.7499999999999999E-3</v>
      </c>
      <c r="X51" s="47">
        <v>3.9699999999999996E-3</v>
      </c>
      <c r="Y51" s="47">
        <v>3.9699999999999996E-3</v>
      </c>
      <c r="Z51" s="47">
        <v>2.9399999999999999E-3</v>
      </c>
      <c r="AA51" s="47">
        <v>2.9399999999999999E-3</v>
      </c>
      <c r="AB51" s="47">
        <v>3.82E-3</v>
      </c>
      <c r="AC51" s="47">
        <v>3.9699999999999996E-3</v>
      </c>
      <c r="AD51" s="47">
        <v>2.5999999999999999E-3</v>
      </c>
      <c r="AE51" s="47">
        <v>2.48E-3</v>
      </c>
      <c r="AF51" s="47">
        <v>2.7100000000000002E-3</v>
      </c>
      <c r="AG51" s="47">
        <v>2.9399999999999999E-3</v>
      </c>
      <c r="AH51" s="47">
        <v>2.8700000000000002E-3</v>
      </c>
      <c r="AI51" s="47">
        <v>5.0099999999999997E-3</v>
      </c>
      <c r="AJ51" s="47">
        <v>3.65E-3</v>
      </c>
    </row>
    <row r="52" spans="1:36" s="46" customFormat="1" x14ac:dyDescent="0.3">
      <c r="A52"/>
      <c r="B52" s="45">
        <v>8</v>
      </c>
      <c r="C52" s="47">
        <v>3.5899999999999999E-3</v>
      </c>
      <c r="D52" s="47">
        <v>2.9399999999999999E-3</v>
      </c>
      <c r="E52" s="47">
        <v>4.8399999999999997E-3</v>
      </c>
      <c r="F52" s="47">
        <v>2.9099999999999998E-3</v>
      </c>
      <c r="G52" s="47">
        <v>3.9699999999999996E-3</v>
      </c>
      <c r="H52" s="47">
        <v>2.14E-3</v>
      </c>
      <c r="I52" s="47">
        <v>3.96E-3</v>
      </c>
      <c r="J52" s="47">
        <v>3.96E-3</v>
      </c>
      <c r="K52" s="47">
        <v>1.65E-3</v>
      </c>
      <c r="L52" s="47">
        <v>2.4299999999999999E-3</v>
      </c>
      <c r="M52" s="47">
        <v>4.9100000000000003E-3</v>
      </c>
      <c r="N52" s="47">
        <v>1.8699999999999999E-3</v>
      </c>
      <c r="O52" s="47">
        <v>2.9499999999999999E-3</v>
      </c>
      <c r="P52" s="47">
        <v>3.96E-3</v>
      </c>
      <c r="Q52" s="47">
        <v>4.1200000000000004E-3</v>
      </c>
      <c r="R52" s="47">
        <v>4.1200000000000004E-3</v>
      </c>
      <c r="S52" s="47">
        <v>1.6199999999999999E-3</v>
      </c>
      <c r="T52" s="47">
        <v>2.7699999999999999E-3</v>
      </c>
      <c r="U52" s="47">
        <v>3.8500000000000001E-3</v>
      </c>
      <c r="V52" s="47">
        <v>2.5000000000000001E-3</v>
      </c>
      <c r="W52" s="47">
        <v>3.8800000000000002E-3</v>
      </c>
      <c r="X52" s="47">
        <v>4.1099999999999999E-3</v>
      </c>
      <c r="Y52" s="47">
        <v>4.1200000000000004E-3</v>
      </c>
      <c r="Z52" s="47">
        <v>2.9499999999999999E-3</v>
      </c>
      <c r="AA52" s="47">
        <v>2.9499999999999999E-3</v>
      </c>
      <c r="AB52" s="47">
        <v>3.9699999999999996E-3</v>
      </c>
      <c r="AC52" s="47">
        <v>4.1200000000000004E-3</v>
      </c>
      <c r="AD52" s="47">
        <v>2.5699999999999998E-3</v>
      </c>
      <c r="AE52" s="47">
        <v>2.5400000000000002E-3</v>
      </c>
      <c r="AF52" s="47">
        <v>2.7699999999999999E-3</v>
      </c>
      <c r="AG52" s="47">
        <v>2.9499999999999999E-3</v>
      </c>
      <c r="AH52" s="47">
        <v>2.9299999999999999E-3</v>
      </c>
      <c r="AI52" s="47">
        <v>5.13E-3</v>
      </c>
      <c r="AJ52" s="47">
        <v>3.6600000000000001E-3</v>
      </c>
    </row>
    <row r="53" spans="1:36" s="46" customFormat="1" x14ac:dyDescent="0.3">
      <c r="A53"/>
      <c r="B53" s="45">
        <v>9</v>
      </c>
      <c r="C53" s="47">
        <v>3.65E-3</v>
      </c>
      <c r="D53" s="47">
        <v>2.9199999999999999E-3</v>
      </c>
      <c r="E53" s="47">
        <v>4.9199999999999999E-3</v>
      </c>
      <c r="F53" s="47">
        <v>2.8600000000000001E-3</v>
      </c>
      <c r="G53" s="47">
        <v>4.0800000000000003E-3</v>
      </c>
      <c r="H53" s="47">
        <v>2.0300000000000001E-3</v>
      </c>
      <c r="I53" s="47">
        <v>4.0699999999999998E-3</v>
      </c>
      <c r="J53" s="47">
        <v>4.0600000000000002E-3</v>
      </c>
      <c r="K53" s="47">
        <v>1.67E-3</v>
      </c>
      <c r="L53" s="47">
        <v>2.4499999999999999E-3</v>
      </c>
      <c r="M53" s="47">
        <v>4.9399999999999999E-3</v>
      </c>
      <c r="N53" s="47">
        <v>1.9300000000000001E-3</v>
      </c>
      <c r="O53" s="47">
        <v>2.9299999999999999E-3</v>
      </c>
      <c r="P53" s="47">
        <v>4.0699999999999998E-3</v>
      </c>
      <c r="Q53" s="47">
        <v>4.2300000000000003E-3</v>
      </c>
      <c r="R53" s="47">
        <v>4.2399999999999998E-3</v>
      </c>
      <c r="S53" s="47">
        <v>1.66E-3</v>
      </c>
      <c r="T53" s="47">
        <v>2.82E-3</v>
      </c>
      <c r="U53" s="47">
        <v>3.9300000000000003E-3</v>
      </c>
      <c r="V53" s="47">
        <v>2.4499999999999999E-3</v>
      </c>
      <c r="W53" s="47">
        <v>3.9899999999999996E-3</v>
      </c>
      <c r="X53" s="47">
        <v>4.2300000000000003E-3</v>
      </c>
      <c r="Y53" s="47">
        <v>4.2300000000000003E-3</v>
      </c>
      <c r="Z53" s="47">
        <v>2.9299999999999999E-3</v>
      </c>
      <c r="AA53" s="47">
        <v>2.9199999999999999E-3</v>
      </c>
      <c r="AB53" s="47">
        <v>4.0800000000000003E-3</v>
      </c>
      <c r="AC53" s="47">
        <v>4.2500000000000003E-3</v>
      </c>
      <c r="AD53" s="47">
        <v>2.5300000000000001E-3</v>
      </c>
      <c r="AE53" s="47">
        <v>2.5799999999999998E-3</v>
      </c>
      <c r="AF53" s="47">
        <v>2.81E-3</v>
      </c>
      <c r="AG53" s="47">
        <v>2.9299999999999999E-3</v>
      </c>
      <c r="AH53" s="47">
        <v>2.98E-3</v>
      </c>
      <c r="AI53" s="47">
        <v>5.2100000000000002E-3</v>
      </c>
      <c r="AJ53" s="47">
        <v>3.63E-3</v>
      </c>
    </row>
    <row r="54" spans="1:36" s="46" customFormat="1" x14ac:dyDescent="0.3">
      <c r="A54"/>
      <c r="B54" s="45">
        <v>10</v>
      </c>
      <c r="C54" s="47">
        <v>3.6900000000000001E-3</v>
      </c>
      <c r="D54" s="48">
        <v>2.8900000000000002E-3</v>
      </c>
      <c r="E54" s="47">
        <v>4.9699999999999996E-3</v>
      </c>
      <c r="F54" s="47">
        <v>2.81E-3</v>
      </c>
      <c r="G54" s="48">
        <v>4.15E-3</v>
      </c>
      <c r="H54" s="48">
        <v>1.8799999999999999E-3</v>
      </c>
      <c r="I54" s="48">
        <v>4.15E-3</v>
      </c>
      <c r="J54" s="47">
        <v>4.1599999999999996E-3</v>
      </c>
      <c r="K54" s="47">
        <v>1.67E-3</v>
      </c>
      <c r="L54" s="47">
        <v>2.4499999999999999E-3</v>
      </c>
      <c r="M54" s="47">
        <v>4.9500000000000004E-3</v>
      </c>
      <c r="N54" s="47">
        <v>1.98E-3</v>
      </c>
      <c r="O54" s="47">
        <v>2.8900000000000002E-3</v>
      </c>
      <c r="P54" s="48">
        <v>4.15E-3</v>
      </c>
      <c r="Q54" s="47">
        <v>4.3299999999999996E-3</v>
      </c>
      <c r="R54" s="48">
        <v>4.3299999999999996E-3</v>
      </c>
      <c r="S54" s="47">
        <v>1.6800000000000001E-3</v>
      </c>
      <c r="T54" s="47">
        <v>2.8500000000000001E-3</v>
      </c>
      <c r="U54" s="47">
        <v>3.9899999999999996E-3</v>
      </c>
      <c r="V54" s="48">
        <v>2.3999999999999998E-3</v>
      </c>
      <c r="W54" s="47">
        <v>4.0699999999999998E-3</v>
      </c>
      <c r="X54" s="48">
        <v>4.3299999999999996E-3</v>
      </c>
      <c r="Y54" s="48">
        <v>4.3299999999999996E-3</v>
      </c>
      <c r="Z54" s="48">
        <v>2.8900000000000002E-3</v>
      </c>
      <c r="AA54" s="48">
        <v>2.8900000000000002E-3</v>
      </c>
      <c r="AB54" s="48">
        <v>4.1599999999999996E-3</v>
      </c>
      <c r="AC54" s="47">
        <v>4.3299999999999996E-3</v>
      </c>
      <c r="AD54" s="48">
        <v>2.48E-3</v>
      </c>
      <c r="AE54" s="47">
        <v>2.5999999999999999E-3</v>
      </c>
      <c r="AF54" s="48">
        <v>2.8500000000000001E-3</v>
      </c>
      <c r="AG54" s="48">
        <v>2.8900000000000002E-3</v>
      </c>
      <c r="AH54" s="48">
        <v>3.0100000000000001E-3</v>
      </c>
      <c r="AI54" s="47">
        <v>5.2700000000000004E-3</v>
      </c>
      <c r="AJ54" s="47">
        <v>3.5899999999999999E-3</v>
      </c>
    </row>
    <row r="55" spans="1:36" s="46" customFormat="1" x14ac:dyDescent="0.3">
      <c r="A55"/>
      <c r="B55" s="45">
        <v>11</v>
      </c>
      <c r="C55" s="47">
        <v>3.7200000000000002E-3</v>
      </c>
      <c r="D55" s="49"/>
      <c r="E55" s="47">
        <v>5.0099999999999997E-3</v>
      </c>
      <c r="F55" s="47">
        <v>2.7499999999999998E-3</v>
      </c>
      <c r="G55" s="49"/>
      <c r="H55" s="49"/>
      <c r="I55" s="49"/>
      <c r="J55" s="47">
        <v>4.2100000000000002E-3</v>
      </c>
      <c r="K55" s="47">
        <v>1.66E-3</v>
      </c>
      <c r="L55" s="47">
        <v>2.4599999999999999E-3</v>
      </c>
      <c r="M55" s="47">
        <v>4.9500000000000004E-3</v>
      </c>
      <c r="N55" s="47">
        <v>2.0200000000000001E-3</v>
      </c>
      <c r="O55" s="47">
        <v>2.8400000000000001E-3</v>
      </c>
      <c r="P55" s="49"/>
      <c r="Q55" s="47">
        <v>4.4099999999999999E-3</v>
      </c>
      <c r="R55" s="49"/>
      <c r="S55" s="47">
        <v>1.6900000000000001E-3</v>
      </c>
      <c r="T55" s="47">
        <v>2.8700000000000002E-3</v>
      </c>
      <c r="U55" s="47">
        <v>4.0400000000000002E-3</v>
      </c>
      <c r="V55" s="49"/>
      <c r="W55" s="47">
        <v>4.1399999999999996E-3</v>
      </c>
      <c r="X55" s="49"/>
      <c r="Y55" s="49"/>
      <c r="Z55" s="49"/>
      <c r="AA55" s="49"/>
      <c r="AB55" s="49"/>
      <c r="AC55" s="47">
        <v>4.3800000000000002E-3</v>
      </c>
      <c r="AD55" s="49"/>
      <c r="AE55" s="47">
        <v>2.6199999999999999E-3</v>
      </c>
      <c r="AF55" s="49"/>
      <c r="AG55" s="49"/>
      <c r="AH55" s="49"/>
      <c r="AI55" s="47">
        <v>5.3299999999999997E-3</v>
      </c>
      <c r="AJ55" s="47">
        <v>3.5400000000000002E-3</v>
      </c>
    </row>
    <row r="56" spans="1:36" s="46" customFormat="1" x14ac:dyDescent="0.3">
      <c r="A56"/>
      <c r="B56" s="45">
        <v>12</v>
      </c>
      <c r="C56" s="47">
        <v>3.7499999999999999E-3</v>
      </c>
      <c r="D56" s="49"/>
      <c r="E56" s="47">
        <v>5.0499999999999998E-3</v>
      </c>
      <c r="F56" s="47">
        <v>2.7000000000000001E-3</v>
      </c>
      <c r="G56" s="49"/>
      <c r="H56" s="49"/>
      <c r="I56" s="49"/>
      <c r="J56" s="47">
        <v>4.2300000000000003E-3</v>
      </c>
      <c r="K56" s="47">
        <v>1.66E-3</v>
      </c>
      <c r="L56" s="47">
        <v>2.4599999999999999E-3</v>
      </c>
      <c r="M56" s="47">
        <v>4.9399999999999999E-3</v>
      </c>
      <c r="N56" s="47">
        <v>2.0500000000000002E-3</v>
      </c>
      <c r="O56" s="47">
        <v>2.7799999999999999E-3</v>
      </c>
      <c r="P56" s="49"/>
      <c r="Q56" s="47">
        <v>4.47E-3</v>
      </c>
      <c r="R56" s="49"/>
      <c r="S56" s="47">
        <v>1.6900000000000001E-3</v>
      </c>
      <c r="T56" s="47">
        <v>2.8900000000000002E-3</v>
      </c>
      <c r="U56" s="47">
        <v>4.0800000000000003E-3</v>
      </c>
      <c r="V56" s="49"/>
      <c r="W56" s="47">
        <v>4.1999999999999997E-3</v>
      </c>
      <c r="X56" s="49"/>
      <c r="Y56" s="49"/>
      <c r="Z56" s="49"/>
      <c r="AA56" s="49"/>
      <c r="AB56" s="49"/>
      <c r="AC56" s="47">
        <v>4.4000000000000003E-3</v>
      </c>
      <c r="AD56" s="49"/>
      <c r="AE56" s="47">
        <v>2.63E-3</v>
      </c>
      <c r="AF56" s="49"/>
      <c r="AG56" s="49"/>
      <c r="AH56" s="49"/>
      <c r="AI56" s="47">
        <v>5.3800000000000002E-3</v>
      </c>
      <c r="AJ56" s="47">
        <v>3.48E-3</v>
      </c>
    </row>
    <row r="57" spans="1:36" s="46" customFormat="1" x14ac:dyDescent="0.3">
      <c r="A57"/>
      <c r="B57" s="45">
        <v>13</v>
      </c>
      <c r="C57" s="47">
        <v>3.7799999999999999E-3</v>
      </c>
      <c r="D57" s="49"/>
      <c r="E57" s="47">
        <v>5.0800000000000003E-3</v>
      </c>
      <c r="F57" s="47">
        <v>2.64E-3</v>
      </c>
      <c r="G57" s="49"/>
      <c r="H57" s="49"/>
      <c r="I57" s="49"/>
      <c r="J57" s="47">
        <v>4.2300000000000003E-3</v>
      </c>
      <c r="K57" s="47">
        <v>1.65E-3</v>
      </c>
      <c r="L57" s="47">
        <v>2.4599999999999999E-3</v>
      </c>
      <c r="M57" s="47">
        <v>4.9399999999999999E-3</v>
      </c>
      <c r="N57" s="47">
        <v>2.0799999999999998E-3</v>
      </c>
      <c r="O57" s="47">
        <v>2.7200000000000002E-3</v>
      </c>
      <c r="P57" s="49"/>
      <c r="Q57" s="47">
        <v>4.5199999999999997E-3</v>
      </c>
      <c r="R57" s="49"/>
      <c r="S57" s="47">
        <v>1.6900000000000001E-3</v>
      </c>
      <c r="T57" s="47">
        <v>2.8999999999999998E-3</v>
      </c>
      <c r="U57" s="47">
        <v>4.1099999999999999E-3</v>
      </c>
      <c r="V57" s="49"/>
      <c r="W57" s="47">
        <v>4.2399999999999998E-3</v>
      </c>
      <c r="X57" s="49"/>
      <c r="Y57" s="49"/>
      <c r="Z57" s="49"/>
      <c r="AA57" s="49"/>
      <c r="AB57" s="49"/>
      <c r="AC57" s="47">
        <v>4.4099999999999999E-3</v>
      </c>
      <c r="AD57" s="49"/>
      <c r="AE57" s="47">
        <v>2.64E-3</v>
      </c>
      <c r="AF57" s="49"/>
      <c r="AG57" s="49"/>
      <c r="AH57" s="49"/>
      <c r="AI57" s="47">
        <v>5.4000000000000003E-3</v>
      </c>
      <c r="AJ57" s="47">
        <v>3.4199999999999999E-3</v>
      </c>
    </row>
    <row r="58" spans="1:36" s="46" customFormat="1" x14ac:dyDescent="0.3">
      <c r="A58"/>
      <c r="B58" s="45">
        <v>14</v>
      </c>
      <c r="C58" s="47">
        <v>3.79E-3</v>
      </c>
      <c r="D58" s="49"/>
      <c r="E58" s="47">
        <v>5.1000000000000004E-3</v>
      </c>
      <c r="F58" s="47">
        <v>2.5999999999999999E-3</v>
      </c>
      <c r="G58" s="49"/>
      <c r="H58" s="49"/>
      <c r="I58" s="49"/>
      <c r="J58" s="47">
        <v>4.2100000000000002E-3</v>
      </c>
      <c r="K58" s="47">
        <v>1.64E-3</v>
      </c>
      <c r="L58" s="47">
        <v>2.4599999999999999E-3</v>
      </c>
      <c r="M58" s="47">
        <v>4.9300000000000004E-3</v>
      </c>
      <c r="N58" s="47">
        <v>2.1099999999999999E-3</v>
      </c>
      <c r="O58" s="47">
        <v>2.6800000000000001E-3</v>
      </c>
      <c r="P58" s="49"/>
      <c r="Q58" s="47">
        <v>4.5700000000000003E-3</v>
      </c>
      <c r="R58" s="49"/>
      <c r="S58" s="47">
        <v>1.6800000000000001E-3</v>
      </c>
      <c r="T58" s="47">
        <v>2.9099999999999998E-3</v>
      </c>
      <c r="U58" s="47">
        <v>4.1399999999999996E-3</v>
      </c>
      <c r="V58" s="49"/>
      <c r="W58" s="47">
        <v>4.2700000000000004E-3</v>
      </c>
      <c r="X58" s="49"/>
      <c r="Y58" s="49"/>
      <c r="Z58" s="49"/>
      <c r="AA58" s="49"/>
      <c r="AB58" s="49"/>
      <c r="AC58" s="47">
        <v>4.4000000000000003E-3</v>
      </c>
      <c r="AD58" s="49"/>
      <c r="AE58" s="47">
        <v>2.66E-3</v>
      </c>
      <c r="AF58" s="49"/>
      <c r="AG58" s="49"/>
      <c r="AH58" s="49"/>
      <c r="AI58" s="47">
        <v>5.4099999999999999E-3</v>
      </c>
      <c r="AJ58" s="47">
        <v>3.3500000000000001E-3</v>
      </c>
    </row>
    <row r="59" spans="1:36" s="46" customFormat="1" x14ac:dyDescent="0.3">
      <c r="A59"/>
      <c r="B59" s="45">
        <v>15</v>
      </c>
      <c r="C59" s="47">
        <v>3.81E-3</v>
      </c>
      <c r="D59" s="49"/>
      <c r="E59" s="47">
        <v>5.1200000000000004E-3</v>
      </c>
      <c r="F59" s="47">
        <v>2.5500000000000002E-3</v>
      </c>
      <c r="G59" s="49"/>
      <c r="H59" s="49"/>
      <c r="I59" s="49"/>
      <c r="J59" s="48">
        <v>4.1799999999999997E-3</v>
      </c>
      <c r="K59" s="47">
        <v>1.6299999999999999E-3</v>
      </c>
      <c r="L59" s="47">
        <v>2.4599999999999999E-3</v>
      </c>
      <c r="M59" s="47">
        <v>4.9199999999999999E-3</v>
      </c>
      <c r="N59" s="48">
        <v>2.1299999999999999E-3</v>
      </c>
      <c r="O59" s="48">
        <v>2.64E-3</v>
      </c>
      <c r="P59" s="49"/>
      <c r="Q59" s="47">
        <v>4.6100000000000004E-3</v>
      </c>
      <c r="R59" s="49"/>
      <c r="S59" s="47">
        <v>1.67E-3</v>
      </c>
      <c r="T59" s="47">
        <v>2.9199999999999999E-3</v>
      </c>
      <c r="U59" s="48">
        <v>4.15E-3</v>
      </c>
      <c r="V59" s="49"/>
      <c r="W59" s="47">
        <v>4.3E-3</v>
      </c>
      <c r="X59" s="49"/>
      <c r="Y59" s="49"/>
      <c r="Z59" s="49"/>
      <c r="AA59" s="49"/>
      <c r="AB59" s="49"/>
      <c r="AC59" s="48">
        <v>4.3899999999999998E-3</v>
      </c>
      <c r="AD59" s="49"/>
      <c r="AE59" s="47">
        <v>2.6700000000000001E-3</v>
      </c>
      <c r="AF59" s="49"/>
      <c r="AG59" s="49"/>
      <c r="AH59" s="49"/>
      <c r="AI59" s="47">
        <v>5.4099999999999999E-3</v>
      </c>
      <c r="AJ59" s="47">
        <v>3.2799999999999999E-3</v>
      </c>
    </row>
    <row r="60" spans="1:36" s="46" customFormat="1" x14ac:dyDescent="0.3">
      <c r="A60"/>
      <c r="B60" s="45">
        <v>16</v>
      </c>
      <c r="C60" s="47">
        <v>3.82E-3</v>
      </c>
      <c r="D60" s="49"/>
      <c r="E60" s="47">
        <v>5.13E-3</v>
      </c>
      <c r="F60" s="47">
        <v>2.5100000000000001E-3</v>
      </c>
      <c r="G60" s="49"/>
      <c r="H60" s="49"/>
      <c r="I60" s="49"/>
      <c r="J60" s="49"/>
      <c r="K60" s="47">
        <v>1.6199999999999999E-3</v>
      </c>
      <c r="L60" s="47">
        <v>2.4599999999999999E-3</v>
      </c>
      <c r="M60" s="47">
        <v>4.9100000000000003E-3</v>
      </c>
      <c r="N60" s="49"/>
      <c r="O60" s="49"/>
      <c r="P60" s="49"/>
      <c r="Q60" s="47">
        <v>4.6499999999999996E-3</v>
      </c>
      <c r="R60" s="49"/>
      <c r="S60" s="47">
        <v>1.66E-3</v>
      </c>
      <c r="T60" s="47">
        <v>2.9299999999999999E-3</v>
      </c>
      <c r="U60" s="49"/>
      <c r="V60" s="49"/>
      <c r="W60" s="47">
        <v>4.3400000000000001E-3</v>
      </c>
      <c r="X60" s="49"/>
      <c r="Y60" s="49"/>
      <c r="Z60" s="49"/>
      <c r="AA60" s="49"/>
      <c r="AB60" s="49"/>
      <c r="AC60" s="49"/>
      <c r="AD60" s="49"/>
      <c r="AE60" s="47">
        <v>2.6800000000000001E-3</v>
      </c>
      <c r="AF60" s="49"/>
      <c r="AG60" s="49"/>
      <c r="AH60" s="49"/>
      <c r="AI60" s="47">
        <v>5.4299999999999999E-3</v>
      </c>
      <c r="AJ60" s="47">
        <v>3.2200000000000002E-3</v>
      </c>
    </row>
    <row r="61" spans="1:36" s="46" customFormat="1" x14ac:dyDescent="0.3">
      <c r="A61"/>
      <c r="B61" s="45">
        <v>17</v>
      </c>
      <c r="C61" s="47">
        <v>3.8300000000000001E-3</v>
      </c>
      <c r="D61" s="49"/>
      <c r="E61" s="47">
        <v>5.1399999999999996E-3</v>
      </c>
      <c r="F61" s="47">
        <v>2.47E-3</v>
      </c>
      <c r="G61" s="49"/>
      <c r="H61" s="49"/>
      <c r="I61" s="49"/>
      <c r="J61" s="49"/>
      <c r="K61" s="47">
        <v>1.6100000000000001E-3</v>
      </c>
      <c r="L61" s="47">
        <v>2.4599999999999999E-3</v>
      </c>
      <c r="M61" s="47">
        <v>4.8999999999999998E-3</v>
      </c>
      <c r="N61" s="49"/>
      <c r="O61" s="49"/>
      <c r="P61" s="49"/>
      <c r="Q61" s="47">
        <v>4.6899999999999997E-3</v>
      </c>
      <c r="R61" s="49"/>
      <c r="S61" s="47">
        <v>1.65E-3</v>
      </c>
      <c r="T61" s="47">
        <v>2.9299999999999999E-3</v>
      </c>
      <c r="U61" s="49"/>
      <c r="V61" s="49"/>
      <c r="W61" s="47">
        <v>4.3699999999999998E-3</v>
      </c>
      <c r="X61" s="49"/>
      <c r="Y61" s="49"/>
      <c r="Z61" s="49"/>
      <c r="AA61" s="49"/>
      <c r="AB61" s="49"/>
      <c r="AC61" s="49"/>
      <c r="AD61" s="49"/>
      <c r="AE61" s="47">
        <v>2.6900000000000001E-3</v>
      </c>
      <c r="AF61" s="49"/>
      <c r="AG61" s="49"/>
      <c r="AH61" s="49"/>
      <c r="AI61" s="47">
        <v>5.45E-3</v>
      </c>
      <c r="AJ61" s="47">
        <v>3.16E-3</v>
      </c>
    </row>
    <row r="62" spans="1:36" s="46" customFormat="1" x14ac:dyDescent="0.3">
      <c r="A62"/>
      <c r="B62" s="45">
        <v>18</v>
      </c>
      <c r="C62" s="47">
        <v>3.8400000000000001E-3</v>
      </c>
      <c r="D62" s="49"/>
      <c r="E62" s="47">
        <v>5.1500000000000001E-3</v>
      </c>
      <c r="F62" s="47">
        <v>2.4299999999999999E-3</v>
      </c>
      <c r="G62" s="49"/>
      <c r="H62" s="49"/>
      <c r="I62" s="49"/>
      <c r="J62" s="49"/>
      <c r="K62" s="47">
        <v>1.6000000000000001E-3</v>
      </c>
      <c r="L62" s="47">
        <v>2.4599999999999999E-3</v>
      </c>
      <c r="M62" s="47">
        <v>4.8999999999999998E-3</v>
      </c>
      <c r="N62" s="49"/>
      <c r="O62" s="49"/>
      <c r="P62" s="49"/>
      <c r="Q62" s="47">
        <v>4.7200000000000002E-3</v>
      </c>
      <c r="R62" s="49"/>
      <c r="S62" s="47">
        <v>1.6299999999999999E-3</v>
      </c>
      <c r="T62" s="47">
        <v>2.9399999999999999E-3</v>
      </c>
      <c r="U62" s="49"/>
      <c r="V62" s="49"/>
      <c r="W62" s="47">
        <v>4.3899999999999998E-3</v>
      </c>
      <c r="X62" s="49"/>
      <c r="Y62" s="49"/>
      <c r="Z62" s="49"/>
      <c r="AA62" s="49"/>
      <c r="AB62" s="49"/>
      <c r="AC62" s="49"/>
      <c r="AD62" s="49"/>
      <c r="AE62" s="47">
        <v>2.6900000000000001E-3</v>
      </c>
      <c r="AF62" s="49"/>
      <c r="AG62" s="49"/>
      <c r="AH62" s="49"/>
      <c r="AI62" s="47">
        <v>5.4599999999999996E-3</v>
      </c>
      <c r="AJ62" s="47">
        <v>3.0999999999999999E-3</v>
      </c>
    </row>
    <row r="63" spans="1:36" s="46" customFormat="1" x14ac:dyDescent="0.3">
      <c r="A63"/>
      <c r="B63" s="45">
        <v>19</v>
      </c>
      <c r="C63" s="47">
        <v>3.8400000000000001E-3</v>
      </c>
      <c r="D63" s="49"/>
      <c r="E63" s="47">
        <v>5.1500000000000001E-3</v>
      </c>
      <c r="F63" s="47">
        <v>2.3999999999999998E-3</v>
      </c>
      <c r="G63" s="49"/>
      <c r="H63" s="49"/>
      <c r="I63" s="49"/>
      <c r="J63" s="49"/>
      <c r="K63" s="47">
        <v>1.5900000000000001E-3</v>
      </c>
      <c r="L63" s="47">
        <v>2.4499999999999999E-3</v>
      </c>
      <c r="M63" s="47">
        <v>4.8900000000000002E-3</v>
      </c>
      <c r="N63" s="49"/>
      <c r="O63" s="49"/>
      <c r="P63" s="49"/>
      <c r="Q63" s="47">
        <v>4.7400000000000003E-3</v>
      </c>
      <c r="R63" s="49"/>
      <c r="S63" s="47">
        <v>1.6199999999999999E-3</v>
      </c>
      <c r="T63" s="47">
        <v>2.9399999999999999E-3</v>
      </c>
      <c r="U63" s="49"/>
      <c r="V63" s="49"/>
      <c r="W63" s="47">
        <v>4.4099999999999999E-3</v>
      </c>
      <c r="X63" s="49"/>
      <c r="Y63" s="49"/>
      <c r="Z63" s="49"/>
      <c r="AA63" s="49"/>
      <c r="AB63" s="49"/>
      <c r="AC63" s="49"/>
      <c r="AD63" s="49"/>
      <c r="AE63" s="47">
        <v>2.6900000000000001E-3</v>
      </c>
      <c r="AF63" s="49"/>
      <c r="AG63" s="49"/>
      <c r="AH63" s="49"/>
      <c r="AI63" s="47">
        <v>5.47E-3</v>
      </c>
      <c r="AJ63" s="47">
        <v>3.0500000000000002E-3</v>
      </c>
    </row>
    <row r="64" spans="1:36" s="46" customFormat="1" x14ac:dyDescent="0.3">
      <c r="A64"/>
      <c r="B64" s="45">
        <v>20</v>
      </c>
      <c r="C64" s="47">
        <v>3.8500000000000001E-3</v>
      </c>
      <c r="D64" s="49"/>
      <c r="E64" s="47">
        <v>5.1599999999999997E-3</v>
      </c>
      <c r="F64" s="48">
        <v>2.3800000000000002E-3</v>
      </c>
      <c r="G64" s="49"/>
      <c r="H64" s="49"/>
      <c r="I64" s="49"/>
      <c r="J64" s="49"/>
      <c r="K64" s="48">
        <v>1.5900000000000001E-3</v>
      </c>
      <c r="L64" s="48">
        <v>2.4499999999999999E-3</v>
      </c>
      <c r="M64" s="47">
        <v>4.8799999999999998E-3</v>
      </c>
      <c r="N64" s="49"/>
      <c r="O64" s="49"/>
      <c r="P64" s="49"/>
      <c r="Q64" s="48">
        <v>4.7499999999999999E-3</v>
      </c>
      <c r="R64" s="49"/>
      <c r="S64" s="47">
        <v>1.6000000000000001E-3</v>
      </c>
      <c r="T64" s="48">
        <v>2.9499999999999999E-3</v>
      </c>
      <c r="U64" s="49"/>
      <c r="V64" s="49"/>
      <c r="W64" s="48">
        <v>4.4099999999999999E-3</v>
      </c>
      <c r="X64" s="49"/>
      <c r="Y64" s="49"/>
      <c r="Z64" s="49"/>
      <c r="AA64" s="49"/>
      <c r="AB64" s="49"/>
      <c r="AC64" s="49"/>
      <c r="AD64" s="49"/>
      <c r="AE64" s="48">
        <v>2.6900000000000001E-3</v>
      </c>
      <c r="AF64" s="49"/>
      <c r="AG64" s="49"/>
      <c r="AH64" s="49"/>
      <c r="AI64" s="47">
        <v>5.4599999999999996E-3</v>
      </c>
      <c r="AJ64" s="47">
        <v>3.0100000000000001E-3</v>
      </c>
    </row>
    <row r="65" spans="1:36" s="46" customFormat="1" x14ac:dyDescent="0.3">
      <c r="A65"/>
      <c r="B65" s="45">
        <v>21</v>
      </c>
      <c r="C65" s="47">
        <v>3.8600000000000001E-3</v>
      </c>
      <c r="D65" s="49"/>
      <c r="E65" s="47">
        <v>5.1599999999999997E-3</v>
      </c>
      <c r="F65" s="49"/>
      <c r="G65" s="49"/>
      <c r="H65" s="49"/>
      <c r="I65" s="49"/>
      <c r="J65" s="49"/>
      <c r="K65" s="49"/>
      <c r="L65" s="49"/>
      <c r="M65" s="47">
        <v>4.8799999999999998E-3</v>
      </c>
      <c r="N65" s="49"/>
      <c r="O65" s="49"/>
      <c r="P65" s="49"/>
      <c r="Q65" s="49"/>
      <c r="R65" s="49"/>
      <c r="S65" s="47">
        <v>1.58E-3</v>
      </c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7">
        <v>5.4099999999999999E-3</v>
      </c>
      <c r="AJ65" s="47">
        <v>2.97E-3</v>
      </c>
    </row>
    <row r="66" spans="1:36" s="46" customFormat="1" x14ac:dyDescent="0.3">
      <c r="A66"/>
      <c r="B66" s="45">
        <v>22</v>
      </c>
      <c r="C66" s="47">
        <v>3.8700000000000002E-3</v>
      </c>
      <c r="D66" s="49"/>
      <c r="E66" s="47">
        <v>5.1700000000000001E-3</v>
      </c>
      <c r="F66" s="49"/>
      <c r="G66" s="49"/>
      <c r="H66" s="49"/>
      <c r="I66" s="49"/>
      <c r="J66" s="49"/>
      <c r="K66" s="49"/>
      <c r="L66" s="49"/>
      <c r="M66" s="47">
        <v>4.8700000000000002E-3</v>
      </c>
      <c r="N66" s="49"/>
      <c r="O66" s="49"/>
      <c r="P66" s="49"/>
      <c r="Q66" s="49"/>
      <c r="R66" s="49"/>
      <c r="S66" s="47">
        <v>1.56E-3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7">
        <v>5.3600000000000002E-3</v>
      </c>
      <c r="AJ66" s="47">
        <v>2.9299999999999999E-3</v>
      </c>
    </row>
    <row r="67" spans="1:36" s="46" customFormat="1" x14ac:dyDescent="0.3">
      <c r="A67"/>
      <c r="B67" s="45">
        <v>23</v>
      </c>
      <c r="C67" s="47">
        <v>3.8800000000000002E-3</v>
      </c>
      <c r="D67" s="49"/>
      <c r="E67" s="47">
        <v>5.1700000000000001E-3</v>
      </c>
      <c r="F67" s="49"/>
      <c r="G67" s="49"/>
      <c r="H67" s="49"/>
      <c r="I67" s="49"/>
      <c r="J67" s="49"/>
      <c r="K67" s="49"/>
      <c r="L67" s="49"/>
      <c r="M67" s="47">
        <v>4.8599999999999997E-3</v>
      </c>
      <c r="N67" s="49"/>
      <c r="O67" s="49"/>
      <c r="P67" s="49"/>
      <c r="Q67" s="49"/>
      <c r="R67" s="49"/>
      <c r="S67" s="47">
        <v>1.5499999999999999E-3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7">
        <v>5.3299999999999997E-3</v>
      </c>
      <c r="AJ67" s="47">
        <v>2.8999999999999998E-3</v>
      </c>
    </row>
    <row r="68" spans="1:36" s="46" customFormat="1" x14ac:dyDescent="0.3">
      <c r="A68"/>
      <c r="B68" s="45">
        <v>24</v>
      </c>
      <c r="C68" s="47">
        <v>3.8899999999999998E-3</v>
      </c>
      <c r="D68" s="49"/>
      <c r="E68" s="47">
        <v>5.1799999999999997E-3</v>
      </c>
      <c r="F68" s="49"/>
      <c r="G68" s="49"/>
      <c r="H68" s="49"/>
      <c r="I68" s="49"/>
      <c r="J68" s="49"/>
      <c r="K68" s="49"/>
      <c r="L68" s="49"/>
      <c r="M68" s="47">
        <v>4.8599999999999997E-3</v>
      </c>
      <c r="N68" s="49"/>
      <c r="O68" s="49"/>
      <c r="P68" s="49"/>
      <c r="Q68" s="49"/>
      <c r="R68" s="49"/>
      <c r="S68" s="47">
        <v>1.5299999999999999E-3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7">
        <v>5.3200000000000001E-3</v>
      </c>
      <c r="AJ68" s="47">
        <v>2.8700000000000002E-3</v>
      </c>
    </row>
    <row r="69" spans="1:36" s="46" customFormat="1" x14ac:dyDescent="0.3">
      <c r="A69"/>
      <c r="B69" s="45">
        <v>25</v>
      </c>
      <c r="C69" s="47">
        <v>3.8999999999999998E-3</v>
      </c>
      <c r="D69" s="49"/>
      <c r="E69" s="47">
        <v>5.1900000000000002E-3</v>
      </c>
      <c r="F69" s="49"/>
      <c r="G69" s="49"/>
      <c r="H69" s="49"/>
      <c r="I69" s="49"/>
      <c r="J69" s="49"/>
      <c r="K69" s="49"/>
      <c r="L69" s="49"/>
      <c r="M69" s="47">
        <v>4.8500000000000001E-3</v>
      </c>
      <c r="N69" s="49"/>
      <c r="O69" s="49"/>
      <c r="P69" s="49"/>
      <c r="Q69" s="49"/>
      <c r="R69" s="49"/>
      <c r="S69" s="47">
        <v>1.5200000000000001E-3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7">
        <v>5.3400000000000001E-3</v>
      </c>
      <c r="AJ69" s="47">
        <v>2.8400000000000001E-3</v>
      </c>
    </row>
    <row r="70" spans="1:36" s="46" customFormat="1" x14ac:dyDescent="0.3">
      <c r="A70"/>
      <c r="B70" s="45">
        <v>26</v>
      </c>
      <c r="C70" s="47">
        <v>3.9100000000000003E-3</v>
      </c>
      <c r="D70" s="49"/>
      <c r="E70" s="47">
        <v>5.2100000000000002E-3</v>
      </c>
      <c r="F70" s="49"/>
      <c r="G70" s="49"/>
      <c r="H70" s="49"/>
      <c r="I70" s="49"/>
      <c r="J70" s="49"/>
      <c r="K70" s="49"/>
      <c r="L70" s="49"/>
      <c r="M70" s="47">
        <v>4.8500000000000001E-3</v>
      </c>
      <c r="N70" s="49"/>
      <c r="O70" s="49"/>
      <c r="P70" s="49"/>
      <c r="Q70" s="49"/>
      <c r="R70" s="49"/>
      <c r="S70" s="47">
        <v>1.5100000000000001E-3</v>
      </c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7">
        <v>5.3699999999999998E-3</v>
      </c>
      <c r="AJ70" s="47">
        <v>2.8E-3</v>
      </c>
    </row>
    <row r="71" spans="1:36" s="46" customFormat="1" x14ac:dyDescent="0.3">
      <c r="A71"/>
      <c r="B71" s="45">
        <v>27</v>
      </c>
      <c r="C71" s="47">
        <v>3.9100000000000003E-3</v>
      </c>
      <c r="D71" s="49"/>
      <c r="E71" s="47">
        <v>5.2199999999999998E-3</v>
      </c>
      <c r="F71" s="49"/>
      <c r="G71" s="49"/>
      <c r="H71" s="49"/>
      <c r="I71" s="49"/>
      <c r="J71" s="49"/>
      <c r="K71" s="49"/>
      <c r="L71" s="49"/>
      <c r="M71" s="47">
        <v>4.8500000000000001E-3</v>
      </c>
      <c r="N71" s="49"/>
      <c r="O71" s="49"/>
      <c r="P71" s="49"/>
      <c r="Q71" s="49"/>
      <c r="R71" s="49"/>
      <c r="S71" s="47">
        <v>1.5E-3</v>
      </c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7">
        <v>5.4099999999999999E-3</v>
      </c>
      <c r="AJ71" s="47">
        <v>2.7699999999999999E-3</v>
      </c>
    </row>
    <row r="72" spans="1:36" s="46" customFormat="1" x14ac:dyDescent="0.3">
      <c r="A72"/>
      <c r="B72" s="45">
        <v>28</v>
      </c>
      <c r="C72" s="47">
        <v>3.9100000000000003E-3</v>
      </c>
      <c r="D72" s="49"/>
      <c r="E72" s="47">
        <v>5.2300000000000003E-3</v>
      </c>
      <c r="F72" s="49"/>
      <c r="G72" s="49"/>
      <c r="H72" s="49"/>
      <c r="I72" s="49"/>
      <c r="J72" s="49"/>
      <c r="K72" s="49"/>
      <c r="L72" s="49"/>
      <c r="M72" s="47">
        <v>4.8399999999999997E-3</v>
      </c>
      <c r="N72" s="49"/>
      <c r="O72" s="49"/>
      <c r="P72" s="49"/>
      <c r="Q72" s="49"/>
      <c r="R72" s="49"/>
      <c r="S72" s="47">
        <v>1.49E-3</v>
      </c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7">
        <v>5.45E-3</v>
      </c>
      <c r="AJ72" s="47">
        <v>2.7399999999999998E-3</v>
      </c>
    </row>
    <row r="73" spans="1:36" s="46" customFormat="1" x14ac:dyDescent="0.3">
      <c r="A73"/>
      <c r="B73" s="45">
        <v>29</v>
      </c>
      <c r="C73" s="47">
        <v>3.8999999999999998E-3</v>
      </c>
      <c r="D73" s="49"/>
      <c r="E73" s="47">
        <v>5.2199999999999998E-3</v>
      </c>
      <c r="F73" s="49"/>
      <c r="G73" s="49"/>
      <c r="H73" s="49"/>
      <c r="I73" s="49"/>
      <c r="J73" s="49"/>
      <c r="K73" s="49"/>
      <c r="L73" s="49"/>
      <c r="M73" s="47">
        <v>4.8399999999999997E-3</v>
      </c>
      <c r="N73" s="49"/>
      <c r="O73" s="49"/>
      <c r="P73" s="49"/>
      <c r="Q73" s="49"/>
      <c r="R73" s="49"/>
      <c r="S73" s="47">
        <v>1.49E-3</v>
      </c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7">
        <v>5.4799999999999996E-3</v>
      </c>
      <c r="AJ73" s="47">
        <v>2.7100000000000002E-3</v>
      </c>
    </row>
    <row r="74" spans="1:36" s="46" customFormat="1" x14ac:dyDescent="0.3">
      <c r="A74"/>
      <c r="B74" s="45">
        <v>30</v>
      </c>
      <c r="C74" s="48">
        <v>3.8899999999999998E-3</v>
      </c>
      <c r="D74" s="49"/>
      <c r="E74" s="48">
        <v>5.2100000000000002E-3</v>
      </c>
      <c r="F74" s="49"/>
      <c r="G74" s="49"/>
      <c r="H74" s="49"/>
      <c r="I74" s="49"/>
      <c r="J74" s="49"/>
      <c r="K74" s="49"/>
      <c r="L74" s="49"/>
      <c r="M74" s="47">
        <v>4.8399999999999997E-3</v>
      </c>
      <c r="N74" s="49"/>
      <c r="O74" s="49"/>
      <c r="P74" s="49"/>
      <c r="Q74" s="49"/>
      <c r="R74" s="49"/>
      <c r="S74" s="48">
        <v>1.49E-3</v>
      </c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8">
        <v>5.4999999999999997E-3</v>
      </c>
      <c r="AJ74" s="48">
        <v>2.6900000000000001E-3</v>
      </c>
    </row>
    <row r="75" spans="1:36" s="46" customFormat="1" x14ac:dyDescent="0.3">
      <c r="A75"/>
      <c r="B75" s="45">
        <v>31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7">
        <v>4.8300000000000001E-3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</row>
    <row r="76" spans="1:36" s="46" customFormat="1" x14ac:dyDescent="0.3">
      <c r="A76"/>
      <c r="B76" s="45">
        <v>32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7">
        <v>4.8300000000000001E-3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</row>
    <row r="77" spans="1:36" s="46" customFormat="1" x14ac:dyDescent="0.3">
      <c r="A77"/>
      <c r="B77" s="45">
        <v>33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7">
        <v>4.8199999999999996E-3</v>
      </c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</row>
    <row r="78" spans="1:36" s="46" customFormat="1" x14ac:dyDescent="0.3">
      <c r="A78"/>
      <c r="B78" s="45">
        <v>34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7">
        <v>4.8199999999999996E-3</v>
      </c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</row>
    <row r="79" spans="1:36" s="46" customFormat="1" x14ac:dyDescent="0.3">
      <c r="A79"/>
      <c r="B79" s="45">
        <v>35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7">
        <v>4.81E-3</v>
      </c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</row>
    <row r="80" spans="1:36" s="46" customFormat="1" x14ac:dyDescent="0.3">
      <c r="A80"/>
      <c r="B80" s="45">
        <v>36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7">
        <v>4.81E-3</v>
      </c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</row>
    <row r="81" spans="1:36" s="46" customFormat="1" x14ac:dyDescent="0.3">
      <c r="A81"/>
      <c r="B81" s="45">
        <v>37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7">
        <v>4.81E-3</v>
      </c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</row>
    <row r="82" spans="1:36" s="46" customFormat="1" x14ac:dyDescent="0.3">
      <c r="A82"/>
      <c r="B82" s="45">
        <v>38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7">
        <v>4.81E-3</v>
      </c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</row>
    <row r="83" spans="1:36" s="46" customFormat="1" x14ac:dyDescent="0.3">
      <c r="A83"/>
      <c r="B83" s="45">
        <v>39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7">
        <v>4.81E-3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</row>
    <row r="84" spans="1:36" s="46" customFormat="1" x14ac:dyDescent="0.3">
      <c r="A84"/>
      <c r="B84" s="45">
        <v>40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7">
        <v>4.81E-3</v>
      </c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</row>
    <row r="85" spans="1:36" s="46" customFormat="1" x14ac:dyDescent="0.3">
      <c r="A85"/>
      <c r="B85" s="45">
        <v>41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7">
        <v>4.8199999999999996E-3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</row>
    <row r="86" spans="1:36" s="46" customFormat="1" x14ac:dyDescent="0.3">
      <c r="A86"/>
      <c r="B86" s="45">
        <v>42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7">
        <v>4.8300000000000001E-3</v>
      </c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</row>
    <row r="87" spans="1:36" s="46" customFormat="1" x14ac:dyDescent="0.3">
      <c r="A87"/>
      <c r="B87" s="45">
        <v>43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7">
        <v>4.8399999999999997E-3</v>
      </c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</row>
    <row r="88" spans="1:36" s="46" customFormat="1" x14ac:dyDescent="0.3">
      <c r="A88"/>
      <c r="B88" s="45">
        <v>44</v>
      </c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7">
        <v>4.8399999999999997E-3</v>
      </c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</row>
    <row r="89" spans="1:36" s="46" customFormat="1" x14ac:dyDescent="0.3">
      <c r="A89"/>
      <c r="B89" s="45">
        <v>45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7">
        <v>4.8500000000000001E-3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</row>
    <row r="90" spans="1:36" s="46" customFormat="1" x14ac:dyDescent="0.3">
      <c r="A90"/>
      <c r="B90" s="45">
        <v>46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7">
        <v>4.8500000000000001E-3</v>
      </c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</row>
    <row r="91" spans="1:36" s="46" customFormat="1" x14ac:dyDescent="0.3">
      <c r="A91"/>
      <c r="B91" s="45">
        <v>47</v>
      </c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7">
        <v>4.8399999999999997E-3</v>
      </c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</row>
    <row r="92" spans="1:36" s="46" customFormat="1" x14ac:dyDescent="0.3">
      <c r="A92"/>
      <c r="B92" s="45">
        <v>48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7">
        <v>4.8300000000000001E-3</v>
      </c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</row>
    <row r="93" spans="1:36" s="46" customFormat="1" x14ac:dyDescent="0.3">
      <c r="A93"/>
      <c r="B93" s="45">
        <v>49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7">
        <v>4.8199999999999996E-3</v>
      </c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</row>
    <row r="94" spans="1:36" s="46" customFormat="1" x14ac:dyDescent="0.3">
      <c r="A94"/>
      <c r="B94" s="45">
        <v>50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8">
        <v>4.7999999999999996E-3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</row>
    <row r="95" spans="1:36" x14ac:dyDescent="0.3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x14ac:dyDescent="0.3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2:5" x14ac:dyDescent="0.3">
      <c r="B97" t="s">
        <v>132</v>
      </c>
      <c r="C97" s="3"/>
      <c r="D97" s="3"/>
      <c r="E97" s="3"/>
    </row>
    <row r="98" spans="2:5" x14ac:dyDescent="0.3">
      <c r="B98" t="s">
        <v>172</v>
      </c>
      <c r="C98" s="3"/>
      <c r="D98" s="3"/>
      <c r="E98" s="3"/>
    </row>
    <row r="99" spans="2:5" x14ac:dyDescent="0.3">
      <c r="B99" t="s">
        <v>173</v>
      </c>
      <c r="C99" s="3"/>
      <c r="D99" s="3"/>
      <c r="E99" s="3"/>
    </row>
    <row r="100" spans="2:5" x14ac:dyDescent="0.3">
      <c r="B100" t="s">
        <v>174</v>
      </c>
      <c r="C100" s="3"/>
      <c r="D100" s="3"/>
      <c r="E100" s="3"/>
    </row>
    <row r="101" spans="2:5" x14ac:dyDescent="0.3">
      <c r="B101" t="s">
        <v>179</v>
      </c>
    </row>
    <row r="102" spans="2:5" x14ac:dyDescent="0.3">
      <c r="B102" t="s">
        <v>177</v>
      </c>
    </row>
    <row r="103" spans="2:5" x14ac:dyDescent="0.3">
      <c r="B103" t="s">
        <v>178</v>
      </c>
    </row>
    <row r="104" spans="2:5" x14ac:dyDescent="0.3">
      <c r="B104" t="s">
        <v>497</v>
      </c>
    </row>
    <row r="105" spans="2:5" s="50" customFormat="1" x14ac:dyDescent="0.3">
      <c r="B105" s="50" t="s">
        <v>499</v>
      </c>
    </row>
    <row r="106" spans="2:5" x14ac:dyDescent="0.3">
      <c r="B106" t="s">
        <v>498</v>
      </c>
    </row>
    <row r="108" spans="2:5" x14ac:dyDescent="0.3">
      <c r="B108" s="22" t="s">
        <v>344</v>
      </c>
    </row>
    <row r="109" spans="2:5" x14ac:dyDescent="0.3">
      <c r="B109" s="51"/>
    </row>
    <row r="110" spans="2:5" x14ac:dyDescent="0.3">
      <c r="B110" s="51"/>
    </row>
    <row r="111" spans="2:5" x14ac:dyDescent="0.3">
      <c r="B111" s="37"/>
    </row>
    <row r="112" spans="2:5" ht="20.25" x14ac:dyDescent="0.35">
      <c r="B112" s="88" t="s">
        <v>168</v>
      </c>
      <c r="C112" s="89"/>
      <c r="D112" s="89"/>
      <c r="E112" s="90"/>
    </row>
    <row r="114" spans="2:2" x14ac:dyDescent="0.3">
      <c r="B114" s="11" t="s">
        <v>169</v>
      </c>
    </row>
    <row r="115" spans="2:2" x14ac:dyDescent="0.3">
      <c r="B115" s="11" t="s">
        <v>170</v>
      </c>
    </row>
    <row r="116" spans="2:2" x14ac:dyDescent="0.3">
      <c r="B116" s="11" t="s">
        <v>167</v>
      </c>
    </row>
    <row r="118" spans="2:2" x14ac:dyDescent="0.3">
      <c r="B118" t="s">
        <v>132</v>
      </c>
    </row>
    <row r="119" spans="2:2" x14ac:dyDescent="0.3">
      <c r="B119" s="22" t="s">
        <v>175</v>
      </c>
    </row>
    <row r="120" spans="2:2" x14ac:dyDescent="0.3">
      <c r="B120" s="22" t="s">
        <v>316</v>
      </c>
    </row>
    <row r="121" spans="2:2" x14ac:dyDescent="0.3">
      <c r="B121" s="22" t="s">
        <v>317</v>
      </c>
    </row>
  </sheetData>
  <mergeCells count="3">
    <mergeCell ref="B2:E2"/>
    <mergeCell ref="B8:E8"/>
    <mergeCell ref="B112:E112"/>
  </mergeCells>
  <phoneticPr fontId="2" type="noConversion"/>
  <pageMargins left="0.7" right="0.7" top="0.75" bottom="0.75" header="0.3" footer="0.3"/>
  <pageSetup paperSize="12" scale="1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개요</vt:lpstr>
      <vt:lpstr>IFRS17 및 K-ICS 할인율 산출기준</vt:lpstr>
      <vt:lpstr>'IFRS17 및 K-ICS 할인율 산출기준'!Print_Area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2026-02-04T10:34:03Z</cp:lastPrinted>
  <dcterms:created xsi:type="dcterms:W3CDTF">2021-08-24T04:22:45Z</dcterms:created>
  <dcterms:modified xsi:type="dcterms:W3CDTF">2026-02-04T11:06:05Z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UtMDktMDNUMDc6MjA6MjBaIiwicElEIjoxLCJ0cmFjZUlkIjoiRjBEQzQ0MTkyNzgxNDQ4N0EyMDdFN0QxNjUxQkUyNkIiLCJ1c2VyQ29kZSI6IjIyNDAxOTMifSwibm9kZTIiOnsiZHNkIjoiMDAwMDAwMDAwMDAwMDAwMCIsImxvZ1RpbWUiOiIyMDI1LTA5LTAzVDA4OjAxOjAyWiIsInBJRCI6MjA0OCwidHJhY2VJZCI6IjI0MjE3MzMxMzI1NDRCNzQ5MjI5NzY4NkYxQTA1MDZFIiwidXNlckNvZGUiOiIyMjQwMTkzIn0sIm5vZGUzIjp7ImRzZCI6IjAxMDAwMDAwMDAwMDE3MzkiLCJsb2dUaW1lIjoiMjAyNi0wMS0xM1QyMzo0NTowMVoiLCJwSUQiOjEsInRyYWNlSWQiOiIxMDc3RjU3Q0UxNjA0MEUyQkI5MTI0QUJDMzJBQTE1QSIsInVzZXJDb2RlIjoiMjI0MDcyMSJ9LCJub2RlNCI6eyJkc2QiOiIwMTAwMDAwMDAwMDAxNzM5IiwibG9nVGltZSI6IjIwMjYtMDItMDRUMTA6MzY6NTFaIiwicElEIjoxLCJ0cmFjZUlkIjoiNTlBQzAyMjNDQzgwNDI0QUIzMEMxNEQ1QzlBNDhGREMiLCJ1c2VyQ29kZSI6IjIyNDA3MjEifSwibm9kZTUiOnsiZHNkIjoiMDAwMDAwMDAwMDAwMDAwMCIsImxvZ1RpbWUiOiIyMDI2LTAyLTA0VDExOjA5OjIzWiIsInBJRCI6MjA0OCwidHJhY2VJZCI6IjhFQUNGQjk1MkI3RDQ1NjJCNUYzN0Q3MTcwQjE2ODkxIiwidXNlckNvZGUiOiIyMjQwNzIxIn0sIm5vZGVDb3VudCI6MTF9</vt:lpwstr>
  </property>
</Properties>
</file>