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DA\Desktop\디지털금융혁신국\00. IT 감독업무\05. 정보기술부문 계획서 관련\23년도\"/>
    </mc:Choice>
  </mc:AlternateContent>
  <xr:revisionPtr revIDLastSave="0" documentId="13_ncr:1_{D18DB20C-789B-40CD-94D0-4C91566EE164}" xr6:coauthVersionLast="37" xr6:coauthVersionMax="37" xr10:uidLastSave="{00000000-0000-0000-0000-000000000000}"/>
  <workbookProtection workbookPassword="DE44" lockStructure="1"/>
  <bookViews>
    <workbookView xWindow="-120" yWindow="-120" windowWidth="29040" windowHeight="15720" tabRatio="845" xr2:uid="{00000000-000D-0000-FFFF-FFFF00000000}"/>
  </bookViews>
  <sheets>
    <sheet name="99.자체점검결과" sheetId="20" r:id="rId1"/>
    <sheet name="0. 표지" sheetId="12" r:id="rId2"/>
    <sheet name="1.개요" sheetId="3" r:id="rId3"/>
    <sheet name="2. 목표 및 전략" sheetId="4" r:id="rId4"/>
    <sheet name="3. 추진실적" sheetId="21" r:id="rId5"/>
    <sheet name="4. 추진계획" sheetId="15" r:id="rId6"/>
    <sheet name="5-1.인력현황" sheetId="16" r:id="rId7"/>
    <sheet name="5-2. 조직도" sheetId="14" r:id="rId8"/>
    <sheet name="5-3. IT인력 연수 계획" sheetId="22" r:id="rId9"/>
    <sheet name="6.예산" sheetId="2" r:id="rId10"/>
    <sheet name="(참고)사업 키워드" sheetId="17" r:id="rId11"/>
  </sheets>
  <externalReferences>
    <externalReference r:id="rId12"/>
    <externalReference r:id="rId13"/>
  </externalReferences>
  <definedNames>
    <definedName name="넷">[1]점수표!$M$1:$M$4</definedName>
    <definedName name="다섯">[1]점수표!$N$1:$N$5</definedName>
    <definedName name="다섯다섯">[2]점수표!$N$1:$N$5</definedName>
    <definedName name="둘">[1]점수표!$L$1:$L$2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4" i="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4" i="22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5" i="15"/>
  <c r="H15" i="20" l="1"/>
  <c r="H13" i="20"/>
  <c r="H17" i="20" l="1"/>
  <c r="H16" i="20"/>
  <c r="C12" i="16"/>
  <c r="C11" i="16"/>
  <c r="J10" i="21"/>
  <c r="J11" i="21"/>
  <c r="J12" i="21"/>
  <c r="J13" i="21"/>
  <c r="J6" i="21"/>
  <c r="J7" i="21"/>
  <c r="J8" i="21"/>
  <c r="J9" i="21"/>
  <c r="J5" i="21"/>
  <c r="C32" i="20" l="1"/>
  <c r="C31" i="20"/>
  <c r="C30" i="20"/>
  <c r="C27" i="20"/>
  <c r="C26" i="20"/>
  <c r="C25" i="20"/>
  <c r="H24" i="2" l="1"/>
  <c r="H23" i="2"/>
  <c r="H22" i="2"/>
  <c r="H21" i="2"/>
  <c r="H20" i="2"/>
  <c r="H19" i="2"/>
  <c r="H18" i="2"/>
  <c r="H17" i="2"/>
  <c r="H16" i="2"/>
  <c r="H14" i="2"/>
  <c r="H13" i="2"/>
  <c r="H12" i="2"/>
  <c r="H11" i="2"/>
  <c r="H10" i="2"/>
  <c r="H9" i="2"/>
  <c r="H8" i="2"/>
  <c r="H7" i="2"/>
  <c r="H6" i="2"/>
  <c r="F24" i="2"/>
  <c r="F23" i="2"/>
  <c r="F22" i="2"/>
  <c r="F21" i="2"/>
  <c r="F20" i="2"/>
  <c r="F19" i="2"/>
  <c r="F18" i="2"/>
  <c r="F17" i="2"/>
  <c r="F16" i="2"/>
  <c r="F14" i="2"/>
  <c r="F13" i="2"/>
  <c r="F12" i="2"/>
  <c r="F11" i="2"/>
  <c r="F10" i="2"/>
  <c r="F9" i="2"/>
  <c r="F8" i="2"/>
  <c r="F7" i="2"/>
  <c r="F6" i="2"/>
  <c r="F25" i="2"/>
  <c r="F19" i="20" l="1"/>
  <c r="E19" i="20" s="1"/>
  <c r="H19" i="20" s="1"/>
  <c r="E8" i="20"/>
  <c r="H8" i="20" s="1"/>
  <c r="F7" i="20"/>
  <c r="G7" i="20"/>
  <c r="E6" i="20"/>
  <c r="H6" i="20" s="1"/>
  <c r="E18" i="20"/>
  <c r="H18" i="20" s="1"/>
  <c r="J5" i="16"/>
  <c r="J21" i="16"/>
  <c r="J10" i="16"/>
  <c r="J17" i="16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G10" i="20"/>
  <c r="F10" i="20"/>
  <c r="F9" i="20"/>
  <c r="H9" i="20" s="1"/>
  <c r="F12" i="20" l="1"/>
  <c r="H12" i="20" s="1"/>
  <c r="F11" i="20"/>
  <c r="H11" i="20" s="1"/>
  <c r="E7" i="20"/>
  <c r="H7" i="20" s="1"/>
  <c r="H10" i="20"/>
  <c r="E9" i="20"/>
  <c r="E10" i="20"/>
  <c r="G15" i="2"/>
  <c r="E15" i="2"/>
  <c r="G5" i="2"/>
  <c r="E5" i="2"/>
  <c r="G17" i="20"/>
  <c r="G16" i="20"/>
  <c r="F17" i="20"/>
  <c r="E17" i="20" s="1"/>
  <c r="F16" i="20"/>
  <c r="E16" i="20" s="1"/>
  <c r="D15" i="2"/>
  <c r="D5" i="2"/>
  <c r="E12" i="20" l="1"/>
  <c r="E11" i="20"/>
  <c r="F22" i="20"/>
  <c r="H15" i="2"/>
  <c r="F15" i="2"/>
  <c r="F5" i="2"/>
  <c r="H5" i="2"/>
  <c r="G25" i="2"/>
  <c r="D25" i="2"/>
  <c r="J11" i="16"/>
  <c r="E14" i="20"/>
  <c r="H14" i="20"/>
  <c r="J12" i="16"/>
  <c r="E15" i="20"/>
  <c r="F14" i="20"/>
  <c r="E22" i="20"/>
  <c r="F15" i="20"/>
  <c r="E20" i="20" l="1"/>
  <c r="F4" i="2"/>
  <c r="H4" i="2"/>
  <c r="F13" i="20"/>
  <c r="E13" i="20" s="1"/>
  <c r="E2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F7" authorId="0" shapeId="0" xr:uid="{832DEAC1-E32D-4624-A6FE-A9E2890ED4A0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월
</t>
        </r>
      </text>
    </comment>
    <comment ref="G7" authorId="0" shapeId="0" xr:uid="{C7FBEFA0-BCD2-4826-AEFE-0E3A2885EDC3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70B854B9-77F2-4F4E-8251-311BA763A13A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목표</t>
        </r>
      </text>
    </comment>
    <comment ref="F10" authorId="0" shapeId="0" xr:uid="{7D06F33A-BC4C-4776-BB76-949EFBAFF030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전략</t>
        </r>
      </text>
    </comment>
    <comment ref="G10" authorId="0" shapeId="0" xr:uid="{7D7DFADC-3BF9-4F33-B267-C1D2681643F2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상세전략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Hye-lim Koo</author>
  </authors>
  <commentList>
    <comment ref="D8" authorId="0" shapeId="0" xr:uid="{E1F49A51-53E9-427A-BFE6-6A07CCA7B92C}">
      <text>
        <r>
          <rPr>
            <b/>
            <sz val="11"/>
            <color indexed="81"/>
            <rFont val="Tahoma"/>
            <family val="2"/>
          </rPr>
          <t>Hye-lim Koo:</t>
        </r>
        <r>
          <rPr>
            <sz val="11"/>
            <color indexed="81"/>
            <rFont val="Tahoma"/>
            <family val="2"/>
          </rPr>
          <t xml:space="preserve">
1) </t>
        </r>
        <r>
          <rPr>
            <sz val="11"/>
            <color indexed="81"/>
            <rFont val="돋움"/>
            <family val="3"/>
            <charset val="129"/>
          </rPr>
          <t>전자금융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감독규정</t>
        </r>
        <r>
          <rPr>
            <sz val="11"/>
            <color indexed="81"/>
            <rFont val="Tahoma"/>
            <family val="2"/>
          </rPr>
          <t xml:space="preserve"> &lt;</t>
        </r>
        <r>
          <rPr>
            <sz val="11"/>
            <color indexed="81"/>
            <rFont val="돋움"/>
            <family val="3"/>
            <charset val="129"/>
          </rPr>
          <t>별포</t>
        </r>
        <r>
          <rPr>
            <sz val="11"/>
            <color indexed="81"/>
            <rFont val="Tahoma"/>
            <family val="2"/>
          </rPr>
          <t xml:space="preserve">1&gt;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정보보호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b/>
            <u/>
            <sz val="11"/>
            <color indexed="81"/>
            <rFont val="Tahoma"/>
            <family val="2"/>
          </rPr>
          <t>2.</t>
        </r>
        <r>
          <rPr>
            <b/>
            <u/>
            <sz val="11"/>
            <color indexed="81"/>
            <rFont val="돋움"/>
            <family val="3"/>
            <charset val="129"/>
          </rPr>
          <t>가</t>
        </r>
        <r>
          <rPr>
            <b/>
            <u/>
            <sz val="11"/>
            <color indexed="81"/>
            <rFont val="Tahoma"/>
            <family val="2"/>
          </rPr>
          <t xml:space="preserve">.
</t>
        </r>
        <r>
          <rPr>
            <sz val="11"/>
            <color indexed="81"/>
            <rFont val="Tahoma"/>
            <family val="2"/>
          </rPr>
          <t xml:space="preserve">2) </t>
        </r>
        <r>
          <rPr>
            <sz val="11"/>
            <color indexed="81"/>
            <rFont val="돋움"/>
            <family val="3"/>
            <charset val="129"/>
          </rPr>
          <t>업무보고서</t>
        </r>
        <r>
          <rPr>
            <sz val="11"/>
            <color indexed="81"/>
            <rFont val="Tahoma"/>
            <family val="2"/>
          </rPr>
          <t xml:space="preserve"> (IT017) - </t>
        </r>
        <r>
          <rPr>
            <sz val="11"/>
            <color indexed="81"/>
            <rFont val="돋움"/>
            <family val="3"/>
            <charset val="129"/>
          </rPr>
          <t>내부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</text>
    </comment>
    <comment ref="F8" authorId="0" shapeId="0" xr:uid="{845AE6EE-46DA-4DCA-B91E-C32D6C777598}">
      <text>
        <r>
          <rPr>
            <b/>
            <sz val="11"/>
            <color indexed="81"/>
            <rFont val="Tahoma"/>
            <family val="2"/>
          </rPr>
          <t>Hye-lim Koo:</t>
        </r>
        <r>
          <rPr>
            <sz val="11"/>
            <color indexed="81"/>
            <rFont val="Tahoma"/>
            <family val="2"/>
          </rPr>
          <t xml:space="preserve">
1) </t>
        </r>
        <r>
          <rPr>
            <sz val="11"/>
            <color indexed="81"/>
            <rFont val="돋움"/>
            <family val="3"/>
            <charset val="129"/>
          </rPr>
          <t>전자금융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감독규정</t>
        </r>
        <r>
          <rPr>
            <sz val="11"/>
            <color indexed="81"/>
            <rFont val="Tahoma"/>
            <family val="2"/>
          </rPr>
          <t xml:space="preserve"> &lt;</t>
        </r>
        <r>
          <rPr>
            <sz val="11"/>
            <color indexed="81"/>
            <rFont val="돋움"/>
            <family val="3"/>
            <charset val="129"/>
          </rPr>
          <t>별표</t>
        </r>
        <r>
          <rPr>
            <sz val="11"/>
            <color indexed="81"/>
            <rFont val="Tahoma"/>
            <family val="2"/>
          </rPr>
          <t xml:space="preserve">1&gt;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정보보호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1.</t>
        </r>
        <r>
          <rPr>
            <sz val="11"/>
            <color indexed="81"/>
            <rFont val="돋움"/>
            <family val="3"/>
            <charset val="129"/>
          </rPr>
          <t>나</t>
        </r>
        <r>
          <rPr>
            <sz val="11"/>
            <color indexed="81"/>
            <rFont val="Tahoma"/>
            <family val="2"/>
          </rPr>
          <t xml:space="preserve">. </t>
        </r>
      </text>
    </comment>
    <comment ref="F9" authorId="0" shapeId="0" xr:uid="{92FAEC4F-844C-45B8-829D-2542C7C970B8}">
      <text>
        <r>
          <rPr>
            <b/>
            <sz val="11"/>
            <color indexed="81"/>
            <rFont val="Tahoma"/>
            <family val="2"/>
          </rPr>
          <t>Hye-lim Koo:</t>
        </r>
        <r>
          <rPr>
            <sz val="11"/>
            <color indexed="81"/>
            <rFont val="Tahoma"/>
            <family val="2"/>
          </rPr>
          <t xml:space="preserve">
1) </t>
        </r>
        <r>
          <rPr>
            <sz val="11"/>
            <color indexed="81"/>
            <rFont val="돋움"/>
            <family val="3"/>
            <charset val="129"/>
          </rPr>
          <t>전자금융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감독규정</t>
        </r>
        <r>
          <rPr>
            <sz val="11"/>
            <color indexed="81"/>
            <rFont val="Tahoma"/>
            <family val="2"/>
          </rPr>
          <t xml:space="preserve"> &lt;</t>
        </r>
        <r>
          <rPr>
            <sz val="11"/>
            <color indexed="81"/>
            <rFont val="돋움"/>
            <family val="3"/>
            <charset val="129"/>
          </rPr>
          <t>별포</t>
        </r>
        <r>
          <rPr>
            <sz val="11"/>
            <color indexed="81"/>
            <rFont val="Tahoma"/>
            <family val="2"/>
          </rPr>
          <t xml:space="preserve">1&gt;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정보보호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1.</t>
        </r>
        <r>
          <rPr>
            <sz val="11"/>
            <color indexed="81"/>
            <rFont val="돋움"/>
            <family val="3"/>
            <charset val="129"/>
          </rPr>
          <t>나</t>
        </r>
        <r>
          <rPr>
            <sz val="11"/>
            <color indexed="81"/>
            <rFont val="Tahoma"/>
            <family val="2"/>
          </rPr>
          <t>. &amp; 2.</t>
        </r>
        <r>
          <rPr>
            <sz val="11"/>
            <color indexed="81"/>
            <rFont val="돋움"/>
            <family val="3"/>
            <charset val="129"/>
          </rPr>
          <t>나</t>
        </r>
        <r>
          <rPr>
            <sz val="11"/>
            <color indexed="81"/>
            <rFont val="Tahoma"/>
            <family val="2"/>
          </rPr>
          <t xml:space="preserve">.
2) </t>
        </r>
        <r>
          <rPr>
            <sz val="11"/>
            <color indexed="81"/>
            <rFont val="돋움"/>
            <family val="3"/>
            <charset val="129"/>
          </rPr>
          <t>업무보고서</t>
        </r>
        <r>
          <rPr>
            <sz val="11"/>
            <color indexed="81"/>
            <rFont val="Tahoma"/>
            <family val="2"/>
          </rPr>
          <t xml:space="preserve"> (IT017) - </t>
        </r>
        <r>
          <rPr>
            <sz val="11"/>
            <color indexed="81"/>
            <rFont val="돋움"/>
            <family val="3"/>
            <charset val="129"/>
          </rPr>
          <t>전산자회사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상주인력
</t>
        </r>
        <r>
          <rPr>
            <sz val="11"/>
            <color indexed="81"/>
            <rFont val="Tahoma"/>
            <family val="2"/>
          </rPr>
          <t xml:space="preserve">3) </t>
        </r>
        <r>
          <rPr>
            <sz val="11"/>
            <color indexed="81"/>
            <rFont val="돋움"/>
            <family val="3"/>
            <charset val="129"/>
          </rPr>
          <t>재하청인력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제외</t>
        </r>
      </text>
    </comment>
    <comment ref="G9" authorId="0" shapeId="0" xr:uid="{D67BDD68-6876-4802-8F33-7E73D25B1DF5}">
      <text>
        <r>
          <rPr>
            <b/>
            <sz val="11"/>
            <color indexed="81"/>
            <rFont val="Tahoma"/>
            <family val="2"/>
          </rPr>
          <t>Hye-lim Koo:</t>
        </r>
        <r>
          <rPr>
            <sz val="11"/>
            <color indexed="81"/>
            <rFont val="Tahoma"/>
            <family val="2"/>
          </rPr>
          <t xml:space="preserve">
1) </t>
        </r>
        <r>
          <rPr>
            <sz val="11"/>
            <color indexed="81"/>
            <rFont val="돋움"/>
            <family val="3"/>
            <charset val="129"/>
          </rPr>
          <t>전자금융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감독규정</t>
        </r>
        <r>
          <rPr>
            <sz val="11"/>
            <color indexed="81"/>
            <rFont val="Tahoma"/>
            <family val="2"/>
          </rPr>
          <t xml:space="preserve"> &lt;</t>
        </r>
        <r>
          <rPr>
            <sz val="11"/>
            <color indexed="81"/>
            <rFont val="돋움"/>
            <family val="3"/>
            <charset val="129"/>
          </rPr>
          <t>별포</t>
        </r>
        <r>
          <rPr>
            <sz val="11"/>
            <color indexed="81"/>
            <rFont val="Tahoma"/>
            <family val="2"/>
          </rPr>
          <t xml:space="preserve">1&gt;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정보보호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1.</t>
        </r>
        <r>
          <rPr>
            <sz val="11"/>
            <color indexed="81"/>
            <rFont val="돋움"/>
            <family val="3"/>
            <charset val="129"/>
          </rPr>
          <t>나</t>
        </r>
        <r>
          <rPr>
            <sz val="11"/>
            <color indexed="81"/>
            <rFont val="Tahoma"/>
            <family val="2"/>
          </rPr>
          <t>. &amp; 2.</t>
        </r>
        <r>
          <rPr>
            <sz val="11"/>
            <color indexed="81"/>
            <rFont val="돋움"/>
            <family val="3"/>
            <charset val="129"/>
          </rPr>
          <t>다</t>
        </r>
        <r>
          <rPr>
            <sz val="11"/>
            <color indexed="81"/>
            <rFont val="Tahoma"/>
            <family val="2"/>
          </rPr>
          <t xml:space="preserve">.
2) </t>
        </r>
        <r>
          <rPr>
            <sz val="11"/>
            <color indexed="81"/>
            <rFont val="돋움"/>
            <family val="3"/>
            <charset val="129"/>
          </rPr>
          <t>업무보고서</t>
        </r>
        <r>
          <rPr>
            <sz val="11"/>
            <color indexed="81"/>
            <rFont val="Tahoma"/>
            <family val="2"/>
          </rPr>
          <t xml:space="preserve"> (IT017) - </t>
        </r>
        <r>
          <rPr>
            <sz val="11"/>
            <color indexed="81"/>
            <rFont val="돋움"/>
            <family val="3"/>
            <charset val="129"/>
          </rPr>
          <t>인정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외주인력</t>
        </r>
      </text>
    </comment>
    <comment ref="C10" authorId="0" shapeId="0" xr:uid="{0A42BB02-4584-423C-9F61-BC0A345A424C}">
      <text>
        <r>
          <rPr>
            <sz val="11"/>
            <color indexed="81"/>
            <rFont val="Tahoma"/>
            <family val="2"/>
          </rPr>
          <t xml:space="preserve">1) </t>
        </r>
        <r>
          <rPr>
            <sz val="11"/>
            <color indexed="81"/>
            <rFont val="돋움"/>
            <family val="3"/>
            <charset val="129"/>
          </rPr>
          <t>전자금융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감독규정</t>
        </r>
        <r>
          <rPr>
            <sz val="11"/>
            <color indexed="81"/>
            <rFont val="Tahoma"/>
            <family val="2"/>
          </rPr>
          <t xml:space="preserve"> &lt;</t>
        </r>
        <r>
          <rPr>
            <sz val="11"/>
            <color indexed="81"/>
            <rFont val="돋움"/>
            <family val="3"/>
            <charset val="129"/>
          </rPr>
          <t>별표</t>
        </r>
        <r>
          <rPr>
            <sz val="11"/>
            <color indexed="81"/>
            <rFont val="Tahoma"/>
            <family val="2"/>
          </rPr>
          <t xml:space="preserve">1&gt; </t>
        </r>
        <r>
          <rPr>
            <sz val="11"/>
            <color indexed="81"/>
            <rFont val="돋움"/>
            <family val="3"/>
            <charset val="129"/>
          </rPr>
          <t>정보기술부문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정보보호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1.</t>
        </r>
        <r>
          <rPr>
            <sz val="11"/>
            <color indexed="81"/>
            <rFont val="돋움"/>
            <family val="3"/>
            <charset val="129"/>
          </rPr>
          <t>가</t>
        </r>
        <r>
          <rPr>
            <sz val="11"/>
            <color indexed="81"/>
            <rFont val="Tahoma"/>
            <family val="2"/>
          </rPr>
          <t xml:space="preserve">.
2) </t>
        </r>
        <r>
          <rPr>
            <sz val="11"/>
            <color indexed="81"/>
            <rFont val="돋움"/>
            <family val="3"/>
            <charset val="129"/>
          </rPr>
          <t>업무보고서</t>
        </r>
        <r>
          <rPr>
            <sz val="11"/>
            <color indexed="81"/>
            <rFont val="Tahoma"/>
            <family val="2"/>
          </rPr>
          <t xml:space="preserve"> (IT017) - </t>
        </r>
        <r>
          <rPr>
            <sz val="11"/>
            <color indexed="81"/>
            <rFont val="돋움"/>
            <family val="3"/>
            <charset val="129"/>
          </rPr>
          <t>정보기술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기준인력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임직원</t>
        </r>
        <r>
          <rPr>
            <sz val="11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<sst xmlns="http://schemas.openxmlformats.org/spreadsheetml/2006/main" count="427" uniqueCount="351">
  <si>
    <t>구분</t>
    <phoneticPr fontId="1" type="noConversion"/>
  </si>
  <si>
    <t>1. 정보기술부문 개요</t>
    <phoneticPr fontId="1" type="noConversion"/>
  </si>
  <si>
    <t>4. 사업연도 결산월</t>
    <phoneticPr fontId="1" type="noConversion"/>
  </si>
  <si>
    <t>3. 제출일</t>
    <phoneticPr fontId="1" type="noConversion"/>
  </si>
  <si>
    <t>1. 회사명</t>
    <phoneticPr fontId="1" type="noConversion"/>
  </si>
  <si>
    <t>5. 대상기간(시작일)</t>
    <phoneticPr fontId="1" type="noConversion"/>
  </si>
  <si>
    <t>6. 대상기간(종료일)</t>
    <phoneticPr fontId="1" type="noConversion"/>
  </si>
  <si>
    <t>7. 전자금융업무 수행 여부</t>
    <phoneticPr fontId="1" type="noConversion"/>
  </si>
  <si>
    <t>1. 추진 목표</t>
    <phoneticPr fontId="1" type="noConversion"/>
  </si>
  <si>
    <t>(예) IT시스템 안정성 확보</t>
    <phoneticPr fontId="1" type="noConversion"/>
  </si>
  <si>
    <t>비고</t>
    <phoneticPr fontId="1" type="noConversion"/>
  </si>
  <si>
    <t>①구분</t>
    <phoneticPr fontId="1" type="noConversion"/>
  </si>
  <si>
    <t>⑤상세추진내용</t>
    <phoneticPr fontId="1" type="noConversion"/>
  </si>
  <si>
    <t>법규준수</t>
    <phoneticPr fontId="1" type="noConversion"/>
  </si>
  <si>
    <t>고객정보 보호</t>
    <phoneticPr fontId="1" type="noConversion"/>
  </si>
  <si>
    <t>노후장비교체</t>
    <phoneticPr fontId="1" type="noConversion"/>
  </si>
  <si>
    <t>인터넷, 모바일 시스템 고도화</t>
    <phoneticPr fontId="1" type="noConversion"/>
  </si>
  <si>
    <t>차세대시스템</t>
    <phoneticPr fontId="1" type="noConversion"/>
  </si>
  <si>
    <t>디지털 4차 산업대응 신기술 활용</t>
  </si>
  <si>
    <t>장애대응훈련, 전산인력의 상호 백업화</t>
    <phoneticPr fontId="1" type="noConversion"/>
  </si>
  <si>
    <t>ICT전문인력 양성</t>
    <phoneticPr fontId="1" type="noConversion"/>
  </si>
  <si>
    <t>제도 변경 및 전산시스템 개발 지원</t>
    <phoneticPr fontId="1" type="noConversion"/>
  </si>
  <si>
    <t>보안시스템 강화</t>
    <phoneticPr fontId="1" type="noConversion"/>
  </si>
  <si>
    <t>IT서비스 지원 강화</t>
    <phoneticPr fontId="1" type="noConversion"/>
  </si>
  <si>
    <t>스마트캠퍼스</t>
    <phoneticPr fontId="1" type="noConversion"/>
  </si>
  <si>
    <t>대화형 신채널 도입
디지털 혁신전략추진</t>
  </si>
  <si>
    <t>인프라 안정성 개선</t>
    <phoneticPr fontId="1" type="noConversion"/>
  </si>
  <si>
    <t>임직원 교육</t>
    <phoneticPr fontId="1" type="noConversion"/>
  </si>
  <si>
    <t>보안취약점 대응</t>
    <phoneticPr fontId="1" type="noConversion"/>
  </si>
  <si>
    <t>자금세탁방지시스템 고도화(RBA)</t>
    <phoneticPr fontId="1" type="noConversion"/>
  </si>
  <si>
    <t>업무지원시스템 고도화</t>
  </si>
  <si>
    <t>IT센터이전</t>
    <phoneticPr fontId="1" type="noConversion"/>
  </si>
  <si>
    <t>블록체인기반 인증체계 도입</t>
    <phoneticPr fontId="1" type="noConversion"/>
  </si>
  <si>
    <t>시스템 안정성</t>
    <phoneticPr fontId="1" type="noConversion"/>
  </si>
  <si>
    <t>디지털인재 육성</t>
    <phoneticPr fontId="1" type="noConversion"/>
  </si>
  <si>
    <t>보안의식 고취</t>
    <phoneticPr fontId="1" type="noConversion"/>
  </si>
  <si>
    <t>AML시스템구축</t>
    <phoneticPr fontId="1" type="noConversion"/>
  </si>
  <si>
    <t>업무 효율성 제고</t>
    <phoneticPr fontId="1" type="noConversion"/>
  </si>
  <si>
    <t>AI</t>
    <phoneticPr fontId="1" type="noConversion"/>
  </si>
  <si>
    <t>업무계시스템 교체</t>
    <phoneticPr fontId="1" type="noConversion"/>
  </si>
  <si>
    <t>혁신기술 연구강화</t>
    <phoneticPr fontId="1" type="noConversion"/>
  </si>
  <si>
    <t>내부통제 강화</t>
    <phoneticPr fontId="1" type="noConversion"/>
  </si>
  <si>
    <t>FDS고도화</t>
    <phoneticPr fontId="1" type="noConversion"/>
  </si>
  <si>
    <t>오퍼레이션 지원 강화</t>
  </si>
  <si>
    <t>클라우드</t>
    <phoneticPr fontId="1" type="noConversion"/>
  </si>
  <si>
    <t>취약점 점검 및 보완</t>
    <phoneticPr fontId="1" type="noConversion"/>
  </si>
  <si>
    <t>대고객 서비스 효율화</t>
  </si>
  <si>
    <t>표준화 시스템</t>
  </si>
  <si>
    <t>디지털플랫폼</t>
    <phoneticPr fontId="1" type="noConversion"/>
  </si>
  <si>
    <t>정보보호 환경 개선</t>
    <phoneticPr fontId="1" type="noConversion"/>
  </si>
  <si>
    <t>자동화기기 도입</t>
    <phoneticPr fontId="1" type="noConversion"/>
  </si>
  <si>
    <t>업무 환경 및 제도 개선</t>
    <phoneticPr fontId="1" type="noConversion"/>
  </si>
  <si>
    <t>챗봇</t>
    <phoneticPr fontId="1" type="noConversion"/>
  </si>
  <si>
    <t>시스템 안정성 강화</t>
    <phoneticPr fontId="1" type="noConversion"/>
  </si>
  <si>
    <t>보안사고 방지</t>
    <phoneticPr fontId="1" type="noConversion"/>
  </si>
  <si>
    <t>사무기기 도입(고속 스캐너 등)</t>
    <phoneticPr fontId="1" type="noConversion"/>
  </si>
  <si>
    <t>기술을 활용하여 성능 향상</t>
  </si>
  <si>
    <t>바이오인증</t>
    <phoneticPr fontId="1" type="noConversion"/>
  </si>
  <si>
    <t>시스템 및 네트워크 이중화</t>
    <phoneticPr fontId="1" type="noConversion"/>
  </si>
  <si>
    <t>안정성과 보안성 설계</t>
    <phoneticPr fontId="1" type="noConversion"/>
  </si>
  <si>
    <t>제도 변경 및 전산시스템 개발 지원</t>
  </si>
  <si>
    <t>비대면</t>
    <phoneticPr fontId="1" type="noConversion"/>
  </si>
  <si>
    <t>취약점 진단</t>
    <phoneticPr fontId="1" type="noConversion"/>
  </si>
  <si>
    <t>경영정보시스템 구축</t>
  </si>
  <si>
    <t>보이는 ARS</t>
    <phoneticPr fontId="1" type="noConversion"/>
  </si>
  <si>
    <t>데이터를 활용한 장애 예측 및 장애시간 최소화</t>
    <phoneticPr fontId="1" type="noConversion"/>
  </si>
  <si>
    <t>개인정보보호 지속적인 체계마련</t>
    <phoneticPr fontId="1" type="noConversion"/>
  </si>
  <si>
    <t>업무방식의 혁신적인 개선</t>
  </si>
  <si>
    <t>보안운영업무 선진화</t>
    <phoneticPr fontId="1" type="noConversion"/>
  </si>
  <si>
    <t>정보처리업무 운영 및 공정의 자동화 솔루션 확보</t>
  </si>
  <si>
    <t>안정적인 시스템 운영</t>
    <phoneticPr fontId="1" type="noConversion"/>
  </si>
  <si>
    <t>인프라 품질 개선 및 보안강화</t>
    <phoneticPr fontId="1" type="noConversion"/>
  </si>
  <si>
    <t>비정형데이타 암호화, 유해차단시스템 도입</t>
    <phoneticPr fontId="1" type="noConversion"/>
  </si>
  <si>
    <t>디지털트래스포메이션을 통해 고객 경험 향상</t>
  </si>
  <si>
    <t xml:space="preserve">해킹 및 침해사고 방지 솔루션 </t>
    <phoneticPr fontId="1" type="noConversion"/>
  </si>
  <si>
    <t>It서비스/시스템 및 장비의 안정적 운영체계 유지</t>
    <phoneticPr fontId="1" type="noConversion"/>
  </si>
  <si>
    <t>정보보호 강화</t>
    <phoneticPr fontId="1" type="noConversion"/>
  </si>
  <si>
    <t>접속시스템 재개발</t>
  </si>
  <si>
    <t>IT본부 조직문화 개선</t>
    <phoneticPr fontId="1" type="noConversion"/>
  </si>
  <si>
    <t>전산사고 발생예방 및 감소</t>
    <phoneticPr fontId="1" type="noConversion"/>
  </si>
  <si>
    <t>해킹 및 고객정보 유출 방지</t>
    <phoneticPr fontId="1" type="noConversion"/>
  </si>
  <si>
    <t>MTS시스템 업그레이드</t>
  </si>
  <si>
    <t>안정적인 서비스 운영 및 정보보호</t>
    <phoneticPr fontId="1" type="noConversion"/>
  </si>
  <si>
    <t>정보보호활동 강화 및 관제체계 유지</t>
    <phoneticPr fontId="1" type="noConversion"/>
  </si>
  <si>
    <t>금융전산 보안 강화</t>
    <phoneticPr fontId="1" type="noConversion"/>
  </si>
  <si>
    <t>문서암호화 및 반출승인 시스템 구축</t>
    <phoneticPr fontId="1" type="noConversion"/>
  </si>
  <si>
    <t>정보보안 및 개인정보에 대한 중요성 인지</t>
    <phoneticPr fontId="1" type="noConversion"/>
  </si>
  <si>
    <t>③사업명</t>
    <phoneticPr fontId="1" type="noConversion"/>
  </si>
  <si>
    <t>작성자</t>
    <phoneticPr fontId="1" type="noConversion"/>
  </si>
  <si>
    <t>확인자</t>
    <phoneticPr fontId="1" type="noConversion"/>
  </si>
  <si>
    <t>②사업범위</t>
    <phoneticPr fontId="1" type="noConversion"/>
  </si>
  <si>
    <t>※ 정보기술부문 계획서 표지</t>
    <phoneticPr fontId="1" type="noConversion"/>
  </si>
  <si>
    <t>(예) 최적화된 인프라 구축</t>
    <phoneticPr fontId="1" type="noConversion"/>
  </si>
  <si>
    <t>*</t>
    <phoneticPr fontId="1" type="noConversion"/>
  </si>
  <si>
    <t>IFRS9 도입</t>
    <phoneticPr fontId="1" type="noConversion"/>
  </si>
  <si>
    <t>IFRS9 도입 관련사업</t>
    <phoneticPr fontId="1" type="noConversion"/>
  </si>
  <si>
    <t>기타 대규모 사업 등</t>
    <phoneticPr fontId="1" type="noConversion"/>
  </si>
  <si>
    <t>영업 경쟁력 강화/ 영업지원 확대/ 영업영역 확대</t>
    <phoneticPr fontId="1" type="noConversion"/>
  </si>
  <si>
    <t>업무 프로세스 강화 및 효율성, 디지털화 촉진</t>
    <phoneticPr fontId="1" type="noConversion"/>
  </si>
  <si>
    <t>서버 등 인프라 기기 교체 및 증설</t>
    <phoneticPr fontId="1" type="noConversion"/>
  </si>
  <si>
    <t>기타 법규 준수 및 대응 관련</t>
    <phoneticPr fontId="1" type="noConversion"/>
  </si>
  <si>
    <t>글로벌 비즈니스 지원 강화</t>
    <phoneticPr fontId="1" type="noConversion"/>
  </si>
  <si>
    <t>채널시스템 및 서비스 강화</t>
    <phoneticPr fontId="1" type="noConversion"/>
  </si>
  <si>
    <t>원장처리 속도튜닝 등 개선</t>
    <phoneticPr fontId="1" type="noConversion"/>
  </si>
  <si>
    <t>장애 제로</t>
    <phoneticPr fontId="1" type="noConversion"/>
  </si>
  <si>
    <t>2. 정보보호위원회 심의·의결일</t>
    <phoneticPr fontId="1" type="noConversion"/>
  </si>
  <si>
    <r>
      <t>※ 유의사항(</t>
    </r>
    <r>
      <rPr>
        <b/>
        <sz val="12"/>
        <color rgb="FFFF0000"/>
        <rFont val="맑은 고딕"/>
        <family val="3"/>
        <charset val="129"/>
        <scheme val="minor"/>
      </rPr>
      <t>아래 사항을 반드시 준수하여 작성하여 주시기 바랍니다.</t>
    </r>
    <r>
      <rPr>
        <b/>
        <sz val="12"/>
        <rFont val="맑은 고딕"/>
        <family val="3"/>
        <charset val="129"/>
        <scheme val="minor"/>
      </rPr>
      <t>)</t>
    </r>
    <phoneticPr fontId="1" type="noConversion"/>
  </si>
  <si>
    <t>8. 수행하는 전자금융업무</t>
    <phoneticPr fontId="1" type="noConversion"/>
  </si>
  <si>
    <t>(예) 혁신을 주도하는, Creative IT 그룹</t>
    <phoneticPr fontId="1" type="noConversion"/>
  </si>
  <si>
    <t>(예) 무결점 시스템 구현</t>
    <phoneticPr fontId="1" type="noConversion"/>
  </si>
  <si>
    <t>(예) 영업지원 강화</t>
    <phoneticPr fontId="1" type="noConversion"/>
  </si>
  <si>
    <t>(예) 디지털 금융서비스 강화</t>
    <phoneticPr fontId="1" type="noConversion"/>
  </si>
  <si>
    <t>(예) 글로벌 인프라 구축</t>
    <phoneticPr fontId="1" type="noConversion"/>
  </si>
  <si>
    <t>(예) 노후 IT기기 교체</t>
    <phoneticPr fontId="1" type="noConversion"/>
  </si>
  <si>
    <t>2. 추진 전략</t>
    <phoneticPr fontId="1" type="noConversion"/>
  </si>
  <si>
    <t>구분</t>
    <phoneticPr fontId="1" type="noConversion"/>
  </si>
  <si>
    <t>전략 내용</t>
    <phoneticPr fontId="1" type="noConversion"/>
  </si>
  <si>
    <t>목표 내용</t>
    <phoneticPr fontId="1" type="noConversion"/>
  </si>
  <si>
    <t>상세전략ⓐ</t>
    <phoneticPr fontId="1" type="noConversion"/>
  </si>
  <si>
    <t>상세전략ⓑ</t>
    <phoneticPr fontId="1" type="noConversion"/>
  </si>
  <si>
    <t>상세전략ⓒ</t>
    <phoneticPr fontId="1" type="noConversion"/>
  </si>
  <si>
    <t>상세전략ⓓ</t>
    <phoneticPr fontId="1" type="noConversion"/>
  </si>
  <si>
    <t>정보기술</t>
    <phoneticPr fontId="1" type="noConversion"/>
  </si>
  <si>
    <t>진행중</t>
    <phoneticPr fontId="1" type="noConversion"/>
  </si>
  <si>
    <t>④수행기간(예정)</t>
    <phoneticPr fontId="1" type="noConversion"/>
  </si>
  <si>
    <t>시작년월</t>
    <phoneticPr fontId="1" type="noConversion"/>
  </si>
  <si>
    <t>종료년월</t>
    <phoneticPr fontId="1" type="noConversion"/>
  </si>
  <si>
    <t>⑥비고</t>
    <phoneticPr fontId="1" type="noConversion"/>
  </si>
  <si>
    <t>1. 인력현황 작성 기준일</t>
    <phoneticPr fontId="1" type="noConversion"/>
  </si>
  <si>
    <t>①기준일</t>
    <phoneticPr fontId="1" type="noConversion"/>
  </si>
  <si>
    <t>②총임직원(단위 : 명)</t>
    <phoneticPr fontId="1" type="noConversion"/>
  </si>
  <si>
    <t>구분</t>
    <phoneticPr fontId="1" type="noConversion"/>
  </si>
  <si>
    <t>③정보기술부문(단위 : 명)</t>
    <phoneticPr fontId="1" type="noConversion"/>
  </si>
  <si>
    <t>④정보보호부문(단위 : 명)</t>
    <phoneticPr fontId="1" type="noConversion"/>
  </si>
  <si>
    <t>계약직ⓑ</t>
    <phoneticPr fontId="1" type="noConversion"/>
  </si>
  <si>
    <t>정규직ⓐ</t>
    <phoneticPr fontId="1" type="noConversion"/>
  </si>
  <si>
    <t>3. 인력현황 : CIO 및 CISO 지정 현황</t>
    <phoneticPr fontId="1" type="noConversion"/>
  </si>
  <si>
    <t>2. 인력현황 : 총임직원, 정보기술부문 및 정보보호부문 현황</t>
    <phoneticPr fontId="1" type="noConversion"/>
  </si>
  <si>
    <t>성명</t>
    <phoneticPr fontId="1" type="noConversion"/>
  </si>
  <si>
    <t>소속</t>
    <phoneticPr fontId="1" type="noConversion"/>
  </si>
  <si>
    <t>직급(직책)</t>
    <phoneticPr fontId="1" type="noConversion"/>
  </si>
  <si>
    <t>임원여부</t>
    <phoneticPr fontId="1" type="noConversion"/>
  </si>
  <si>
    <t>겸직여부</t>
    <phoneticPr fontId="1" type="noConversion"/>
  </si>
  <si>
    <t>⑥CISO현황</t>
    <phoneticPr fontId="1" type="noConversion"/>
  </si>
  <si>
    <t>⑤CIO현황</t>
    <phoneticPr fontId="1" type="noConversion"/>
  </si>
  <si>
    <r>
      <t>2. 2번, 5번, 6번은 반드시 연도·월·일을 "</t>
    </r>
    <r>
      <rPr>
        <b/>
        <sz val="13"/>
        <rFont val="맑은 고딕"/>
        <family val="3"/>
        <charset val="129"/>
        <scheme val="minor"/>
      </rPr>
      <t>YYYY-MM-DD</t>
    </r>
    <r>
      <rPr>
        <sz val="13"/>
        <rFont val="맑은 고딕"/>
        <family val="3"/>
        <charset val="129"/>
        <scheme val="minor"/>
      </rPr>
      <t>" 형식(</t>
    </r>
    <r>
      <rPr>
        <u/>
        <sz val="13"/>
        <rFont val="맑은 고딕"/>
        <family val="3"/>
        <charset val="129"/>
        <scheme val="minor"/>
      </rPr>
      <t>숫자 8자리를 '-'기호로 구분)</t>
    </r>
    <r>
      <rPr>
        <sz val="13"/>
        <rFont val="맑은 고딕"/>
        <family val="3"/>
        <charset val="129"/>
        <scheme val="minor"/>
      </rPr>
      <t>으로 작성</t>
    </r>
    <r>
      <rPr>
        <i/>
        <sz val="13"/>
        <rFont val="맑은 고딕"/>
        <family val="3"/>
        <charset val="129"/>
        <scheme val="minor"/>
      </rPr>
      <t>(예시: 2021-01-01)</t>
    </r>
    <phoneticPr fontId="1" type="noConversion"/>
  </si>
  <si>
    <t>4. CISO의 임원지정 및 겸직금직 필수여부 판단 근거(전자금융거래법 시행령 제11조의3 관련)</t>
    <phoneticPr fontId="1" type="noConversion"/>
  </si>
  <si>
    <t>⑧상시 종업원 수(단위 : 명)</t>
    <phoneticPr fontId="1" type="noConversion"/>
  </si>
  <si>
    <r>
      <t xml:space="preserve">2. '②총임직원'은 </t>
    </r>
    <r>
      <rPr>
        <b/>
        <sz val="13"/>
        <color theme="1"/>
        <rFont val="맑은 고딕"/>
        <family val="3"/>
        <charset val="129"/>
        <scheme val="minor"/>
      </rPr>
      <t>회사 전체 임직원 수</t>
    </r>
    <r>
      <rPr>
        <sz val="13"/>
        <color theme="1"/>
        <rFont val="맑은 고딕"/>
        <family val="3"/>
        <charset val="129"/>
        <scheme val="minor"/>
      </rPr>
      <t>를 작성</t>
    </r>
    <phoneticPr fontId="1" type="noConversion"/>
  </si>
  <si>
    <t>5-1. 정보기술부문 인력현황(현황)</t>
    <phoneticPr fontId="1" type="noConversion"/>
  </si>
  <si>
    <t>5-2. 정보기술부문 인력현황(조직도)</t>
    <phoneticPr fontId="1" type="noConversion"/>
  </si>
  <si>
    <t>4. '⑦총자산' 및 '⑧상시 종업원 수'는 직전 사업연도 말을 기준으로 하며, 작성에 관한 사항은 전자금융거래법 시행령 제11조의3 등을 참조</t>
    <phoneticPr fontId="1" type="noConversion"/>
  </si>
  <si>
    <t>③
정보기술
관련 예산
상세내역</t>
    <phoneticPr fontId="1" type="noConversion"/>
  </si>
  <si>
    <t>사이버 침해사고 대책</t>
    <phoneticPr fontId="1" type="noConversion"/>
  </si>
  <si>
    <t>임직원 정보보안 인식제고 및 보안문화 정착</t>
    <phoneticPr fontId="1" type="noConversion"/>
  </si>
  <si>
    <t>새로운 기술 및 다양한 규모에 맞출 수 있는 기술 제공</t>
    <phoneticPr fontId="1" type="noConversion"/>
  </si>
  <si>
    <t>고객 중심의 사고방식</t>
    <phoneticPr fontId="1" type="noConversion"/>
  </si>
  <si>
    <t>고객 접속체계 고도화</t>
    <phoneticPr fontId="1" type="noConversion"/>
  </si>
  <si>
    <t>웹  개발 플랫폼 도입</t>
    <phoneticPr fontId="1" type="noConversion"/>
  </si>
  <si>
    <t>변경/사고 관리 등 리스크 점검</t>
    <phoneticPr fontId="1" type="noConversion"/>
  </si>
  <si>
    <t>새로운 업무 잠재 리스크 점검</t>
    <phoneticPr fontId="1" type="noConversion"/>
  </si>
  <si>
    <t>비즈니스에 영향을 미치는 위험 관리</t>
    <phoneticPr fontId="1" type="noConversion"/>
  </si>
  <si>
    <t>지속적인 관찰</t>
    <phoneticPr fontId="1" type="noConversion"/>
  </si>
  <si>
    <t>영업지원(예)
(업무 효율,
비용 절감,
고객만족도 제고)</t>
    <phoneticPr fontId="1" type="noConversion"/>
  </si>
  <si>
    <r>
      <t xml:space="preserve">1. 동 사업 키워드 분류는 이해를 돕기위한 </t>
    </r>
    <r>
      <rPr>
        <b/>
        <i/>
        <sz val="13"/>
        <rFont val="맑은 고딕"/>
        <family val="3"/>
        <charset val="129"/>
        <scheme val="minor"/>
      </rPr>
      <t>예시</t>
    </r>
    <r>
      <rPr>
        <sz val="13"/>
        <rFont val="맑은 고딕"/>
        <family val="3"/>
        <charset val="129"/>
        <scheme val="minor"/>
      </rPr>
      <t>일뿐이며 실제 내용은 각 회사 사정에 맞게 적의 판단하여 작성</t>
    </r>
    <phoneticPr fontId="1" type="noConversion"/>
  </si>
  <si>
    <t>사업 키워드(예)</t>
    <phoneticPr fontId="1" type="noConversion"/>
  </si>
  <si>
    <t>분류(예)</t>
    <phoneticPr fontId="1" type="noConversion"/>
  </si>
  <si>
    <t>보안강화</t>
    <phoneticPr fontId="1" type="noConversion"/>
  </si>
  <si>
    <t>인프라, 시스템
개선</t>
    <phoneticPr fontId="1" type="noConversion"/>
  </si>
  <si>
    <t>운영 안전성</t>
    <phoneticPr fontId="1" type="noConversion"/>
  </si>
  <si>
    <t>신규사업 지원</t>
    <phoneticPr fontId="1" type="noConversion"/>
  </si>
  <si>
    <t>임직원 역량강화</t>
    <phoneticPr fontId="1" type="noConversion"/>
  </si>
  <si>
    <t>신기술 도입</t>
    <phoneticPr fontId="1" type="noConversion"/>
  </si>
  <si>
    <t>기관명</t>
  </si>
  <si>
    <t>부서</t>
  </si>
  <si>
    <t>직위</t>
  </si>
  <si>
    <t>성명</t>
  </si>
  <si>
    <t>전화번호</t>
  </si>
  <si>
    <t>이메일</t>
  </si>
  <si>
    <r>
      <t xml:space="preserve">1. 각 </t>
    </r>
    <r>
      <rPr>
        <b/>
        <u/>
        <sz val="13"/>
        <color rgb="FFFF0000"/>
        <rFont val="맑은 고딕"/>
        <family val="3"/>
        <charset val="129"/>
        <scheme val="minor"/>
      </rPr>
      <t>Sheet(동 표지 포함 8개 Sheet(0~7))의 유의사항</t>
    </r>
    <r>
      <rPr>
        <sz val="13"/>
        <rFont val="맑은 고딕"/>
        <family val="3"/>
        <charset val="129"/>
        <scheme val="minor"/>
      </rPr>
      <t>을 반드시 확인하시고 작성하시기 바랍니다.</t>
    </r>
    <phoneticPr fontId="1" type="noConversion"/>
  </si>
  <si>
    <t>①총예산</t>
    <phoneticPr fontId="1" type="noConversion"/>
  </si>
  <si>
    <t>②정보기술 관련 예산</t>
    <phoneticPr fontId="1" type="noConversion"/>
  </si>
  <si>
    <t>0. 정보기술부문 계획서 표지</t>
    <phoneticPr fontId="1" type="noConversion"/>
  </si>
  <si>
    <r>
      <t>1. '①기준일'은 반드시 연도·월·일을 "</t>
    </r>
    <r>
      <rPr>
        <b/>
        <sz val="13"/>
        <rFont val="맑은 고딕"/>
        <family val="3"/>
        <charset val="129"/>
        <scheme val="minor"/>
      </rPr>
      <t>YYYY-MM-DD</t>
    </r>
    <r>
      <rPr>
        <sz val="13"/>
        <rFont val="맑은 고딕"/>
        <family val="3"/>
        <charset val="129"/>
        <scheme val="minor"/>
      </rPr>
      <t>" 형식(</t>
    </r>
    <r>
      <rPr>
        <u/>
        <sz val="13"/>
        <rFont val="맑은 고딕"/>
        <family val="3"/>
        <charset val="129"/>
        <scheme val="minor"/>
      </rPr>
      <t>숫자 8자리를 '-'기호로 구분)</t>
    </r>
    <r>
      <rPr>
        <sz val="13"/>
        <rFont val="맑은 고딕"/>
        <family val="3"/>
        <charset val="129"/>
        <scheme val="minor"/>
      </rPr>
      <t>으로 작성</t>
    </r>
    <r>
      <rPr>
        <i/>
        <sz val="13"/>
        <rFont val="맑은 고딕"/>
        <family val="3"/>
        <charset val="129"/>
        <scheme val="minor"/>
      </rPr>
      <t>(예시: 2022-01-01)</t>
    </r>
    <phoneticPr fontId="1" type="noConversion"/>
  </si>
  <si>
    <t>Win11 업그레이드</t>
    <phoneticPr fontId="1" type="noConversion"/>
  </si>
  <si>
    <t>정보기술관련 인건비</t>
  </si>
  <si>
    <t>정보처리시스템 구입비 및 임차료</t>
  </si>
  <si>
    <t>정보처리시스템 유지보수비</t>
  </si>
  <si>
    <t>정보기술 서비스 이용료</t>
  </si>
  <si>
    <t>정보기술 외주 용역비</t>
  </si>
  <si>
    <t>정보기술 컨설팅 비용</t>
  </si>
  <si>
    <t>정보기술 교육, 훈련비</t>
  </si>
  <si>
    <t>통신회선 이용료</t>
  </si>
  <si>
    <t>기타</t>
    <phoneticPr fontId="1" type="noConversion"/>
  </si>
  <si>
    <t>정보보호관련 인건비</t>
  </si>
  <si>
    <t>정보보호시스템 구입비 및 임차료</t>
  </si>
  <si>
    <t>정보보호시스템 유지보수비</t>
  </si>
  <si>
    <t>정보보호서비스 이용료</t>
  </si>
  <si>
    <t>정보보호 관련 외주 용역비</t>
  </si>
  <si>
    <t>정보보호 관련 컨설팅 비용</t>
  </si>
  <si>
    <t>정보보호 관련 교육, 훈련비</t>
  </si>
  <si>
    <t>정보보호 관련 통신회선 이용료</t>
  </si>
  <si>
    <t>④정보보호 관련 예산</t>
    <phoneticPr fontId="1" type="noConversion"/>
  </si>
  <si>
    <t>⑤
정보보호
관련 예산
상세내역</t>
    <phoneticPr fontId="1" type="noConversion"/>
  </si>
  <si>
    <t>내부인력</t>
    <phoneticPr fontId="1" type="noConversion"/>
  </si>
  <si>
    <t>외주인력</t>
    <phoneticPr fontId="1" type="noConversion"/>
  </si>
  <si>
    <t>인원(ⓐ+ⓑ+ⓒ+ⓓ)</t>
    <phoneticPr fontId="1" type="noConversion"/>
  </si>
  <si>
    <t>CISO</t>
    <phoneticPr fontId="1" type="noConversion"/>
  </si>
  <si>
    <t>인력 현황</t>
    <phoneticPr fontId="1" type="noConversion"/>
  </si>
  <si>
    <t>정보기술 부문</t>
    <phoneticPr fontId="1" type="noConversion"/>
  </si>
  <si>
    <t>정보보호 부문</t>
    <phoneticPr fontId="1" type="noConversion"/>
  </si>
  <si>
    <t>조직도</t>
    <phoneticPr fontId="1" type="noConversion"/>
  </si>
  <si>
    <t>작성 여부</t>
    <phoneticPr fontId="1" type="noConversion"/>
  </si>
  <si>
    <t>1. 인력현황(조직도) 작성 기준</t>
    <phoneticPr fontId="1" type="noConversion"/>
  </si>
  <si>
    <t>4. 정보기술부문 '23년도 추진 계획</t>
    <phoneticPr fontId="1" type="noConversion"/>
  </si>
  <si>
    <t>3. 정보기술부문 '22년도 추진 실적</t>
    <phoneticPr fontId="1" type="noConversion"/>
  </si>
  <si>
    <t>2. '23년도 정보기술부문 추진목표 및 추진전략</t>
    <phoneticPr fontId="1" type="noConversion"/>
  </si>
  <si>
    <t>6. 정보기술부문의 직전('22년) 및 당해 연도('23년) 예산</t>
    <phoneticPr fontId="1" type="noConversion"/>
  </si>
  <si>
    <t>대표이사</t>
    <phoneticPr fontId="1" type="noConversion"/>
  </si>
  <si>
    <t>서명여부</t>
    <phoneticPr fontId="1" type="noConversion"/>
  </si>
  <si>
    <t>②'22년도 계획 포함 여부</t>
    <phoneticPr fontId="1" type="noConversion"/>
  </si>
  <si>
    <t>③사업범위</t>
    <phoneticPr fontId="1" type="noConversion"/>
  </si>
  <si>
    <t>④사업명</t>
    <phoneticPr fontId="1" type="noConversion"/>
  </si>
  <si>
    <t>⑤수행기간(예정)</t>
    <phoneticPr fontId="1" type="noConversion"/>
  </si>
  <si>
    <t>⑥상세추진내용</t>
    <phoneticPr fontId="1" type="noConversion"/>
  </si>
  <si>
    <t>⑦이행여부</t>
    <phoneticPr fontId="1" type="noConversion"/>
  </si>
  <si>
    <t>1. 표지 첨부 여부</t>
    <phoneticPr fontId="1" type="noConversion"/>
  </si>
  <si>
    <t>파일 첨부 여부</t>
    <phoneticPr fontId="1" type="noConversion"/>
  </si>
  <si>
    <t>2. 대표자 확인 서명 여부</t>
    <phoneticPr fontId="1" type="noConversion"/>
  </si>
  <si>
    <t>1. 양식 절대 변경 불가</t>
    <phoneticPr fontId="1" type="noConversion"/>
  </si>
  <si>
    <t xml:space="preserve"> 2-1. 심의 의결 증빙 제출 여부</t>
    <phoneticPr fontId="1" type="noConversion"/>
  </si>
  <si>
    <t xml:space="preserve">    * 파일명 : 정보보호위원회 심의의결 증빙(회사명)</t>
    <phoneticPr fontId="1" type="noConversion"/>
  </si>
  <si>
    <t>4. 4번은 사업연도 결산월을 01~12 중 선택</t>
    <phoneticPr fontId="1" type="noConversion"/>
  </si>
  <si>
    <t>비고</t>
    <phoneticPr fontId="1" type="noConversion"/>
  </si>
  <si>
    <t>O</t>
  </si>
  <si>
    <t>작성여부</t>
    <phoneticPr fontId="1" type="noConversion"/>
  </si>
  <si>
    <t>(예시)</t>
    <phoneticPr fontId="1" type="noConversion"/>
  </si>
  <si>
    <t>목표 1</t>
    <phoneticPr fontId="1" type="noConversion"/>
  </si>
  <si>
    <t>목표 2</t>
    <phoneticPr fontId="1" type="noConversion"/>
  </si>
  <si>
    <t>목표 3</t>
    <phoneticPr fontId="1" type="noConversion"/>
  </si>
  <si>
    <t>목표 4</t>
    <phoneticPr fontId="1" type="noConversion"/>
  </si>
  <si>
    <t>목표 5</t>
    <phoneticPr fontId="1" type="noConversion"/>
  </si>
  <si>
    <t>전략 1</t>
    <phoneticPr fontId="1" type="noConversion"/>
  </si>
  <si>
    <t>전략 2</t>
    <phoneticPr fontId="1" type="noConversion"/>
  </si>
  <si>
    <t>전략 3</t>
  </si>
  <si>
    <t>전략 4</t>
  </si>
  <si>
    <t>전략 5</t>
  </si>
  <si>
    <t>전략 6</t>
  </si>
  <si>
    <t>전략 7</t>
  </si>
  <si>
    <t>전략 8</t>
  </si>
  <si>
    <t>전략 9</t>
  </si>
  <si>
    <t>전략 10</t>
  </si>
  <si>
    <t>목표</t>
    <phoneticPr fontId="1" type="noConversion"/>
  </si>
  <si>
    <t>전략</t>
    <phoneticPr fontId="1" type="noConversion"/>
  </si>
  <si>
    <t>확인 필요 사항</t>
    <phoneticPr fontId="1" type="noConversion"/>
  </si>
  <si>
    <r>
      <t xml:space="preserve">본 (예시)는 이해를 돕기위한 </t>
    </r>
    <r>
      <rPr>
        <b/>
        <i/>
        <sz val="13"/>
        <color rgb="FFFF0000"/>
        <rFont val="맑은 고딕"/>
        <family val="3"/>
        <charset val="129"/>
        <scheme val="minor"/>
      </rPr>
      <t>예시</t>
    </r>
    <r>
      <rPr>
        <sz val="13"/>
        <rFont val="맑은 고딕"/>
        <family val="3"/>
        <charset val="129"/>
        <scheme val="minor"/>
      </rPr>
      <t>일뿐이며 실제 내용은 각 회사 사정에 맞게 적의 판단하여 작성</t>
    </r>
    <phoneticPr fontId="1" type="noConversion"/>
  </si>
  <si>
    <r>
      <t xml:space="preserve">1. '①구분'은 </t>
    </r>
    <r>
      <rPr>
        <b/>
        <sz val="13"/>
        <color theme="1"/>
        <rFont val="맑은 고딕"/>
        <family val="3"/>
        <charset val="129"/>
        <scheme val="minor"/>
      </rPr>
      <t>정보기술 / 정보보안</t>
    </r>
    <r>
      <rPr>
        <sz val="13"/>
        <color theme="1"/>
        <rFont val="맑은 고딕"/>
        <family val="3"/>
        <charset val="129"/>
        <scheme val="minor"/>
      </rPr>
      <t xml:space="preserve"> 중 선택</t>
    </r>
    <phoneticPr fontId="1" type="noConversion"/>
  </si>
  <si>
    <t>핀테크 도입</t>
  </si>
  <si>
    <t>디지털 플랫폼 구축</t>
  </si>
  <si>
    <t>혁신적 플랫폼 구축을 통한 디지털라이제이션 달성</t>
  </si>
  <si>
    <t xml:space="preserve"> 5-1. 미착수 : 22년도 계획에 포함되어 있으나 계획이 미루어져 미착수 상태 (23년 계획에 포함) / 폐기 : 22년도 계획에 포함되어 있으나, 진행하지 않기로 함</t>
    <phoneticPr fontId="1" type="noConversion"/>
  </si>
  <si>
    <t>2. '② 22년도 정보기술부문 계획서 상 추진계획에 포함 여부</t>
    <phoneticPr fontId="1" type="noConversion"/>
  </si>
  <si>
    <r>
      <t xml:space="preserve">3. </t>
    </r>
    <r>
      <rPr>
        <sz val="13"/>
        <color rgb="FFC00000"/>
        <rFont val="맑은 고딕"/>
        <family val="3"/>
        <charset val="129"/>
        <scheme val="minor"/>
      </rPr>
      <t>'③사업범위'는 '</t>
    </r>
    <r>
      <rPr>
        <b/>
        <sz val="13"/>
        <color rgb="FFFF0000"/>
        <rFont val="맑은 고딕"/>
        <family val="3"/>
        <charset val="129"/>
        <scheme val="minor"/>
      </rPr>
      <t>(참고)사업 키워드' 시트를 참고하되, 내용은 각 회사별로 적의판단하여 작성</t>
    </r>
    <phoneticPr fontId="1" type="noConversion"/>
  </si>
  <si>
    <r>
      <t>4. '⑤수행기간(예정)'의 시작년월과 종료년월은 반드시 "</t>
    </r>
    <r>
      <rPr>
        <b/>
        <sz val="13"/>
        <color theme="1"/>
        <rFont val="맑은 고딕"/>
        <family val="3"/>
        <charset val="129"/>
        <scheme val="minor"/>
      </rPr>
      <t>OO년OO월</t>
    </r>
    <r>
      <rPr>
        <sz val="13"/>
        <color theme="1"/>
        <rFont val="맑은 고딕"/>
        <family val="3"/>
        <charset val="129"/>
        <scheme val="minor"/>
      </rPr>
      <t>" 형식으로 작성</t>
    </r>
    <r>
      <rPr>
        <i/>
        <sz val="13"/>
        <color theme="1"/>
        <rFont val="맑은 고딕"/>
        <family val="3"/>
        <charset val="129"/>
        <scheme val="minor"/>
      </rPr>
      <t>(예시: 19년03월)</t>
    </r>
    <phoneticPr fontId="1" type="noConversion"/>
  </si>
  <si>
    <r>
      <t xml:space="preserve">5. '⑦이행여부'는 </t>
    </r>
    <r>
      <rPr>
        <b/>
        <sz val="13"/>
        <color theme="1"/>
        <rFont val="맑은 고딕"/>
        <family val="3"/>
        <charset val="129"/>
        <scheme val="minor"/>
      </rPr>
      <t>완료 / 진행중 / 미착수 / 폐기</t>
    </r>
    <r>
      <rPr>
        <sz val="13"/>
        <color theme="1"/>
        <rFont val="맑은 고딕"/>
        <family val="3"/>
        <charset val="129"/>
        <scheme val="minor"/>
      </rPr>
      <t xml:space="preserve"> 중 선택</t>
    </r>
    <phoneticPr fontId="1" type="noConversion"/>
  </si>
  <si>
    <t>검증</t>
    <phoneticPr fontId="1" type="noConversion"/>
  </si>
  <si>
    <r>
      <t xml:space="preserve">2. </t>
    </r>
    <r>
      <rPr>
        <sz val="13"/>
        <color rgb="FFC00000"/>
        <rFont val="맑은 고딕"/>
        <family val="3"/>
        <charset val="129"/>
        <scheme val="minor"/>
      </rPr>
      <t xml:space="preserve">'②사업범위'는 </t>
    </r>
    <r>
      <rPr>
        <b/>
        <sz val="13"/>
        <color rgb="FFFF0000"/>
        <rFont val="맑은 고딕"/>
        <family val="3"/>
        <charset val="129"/>
        <scheme val="minor"/>
      </rPr>
      <t>(참고) 시트를 참고하되, 내용은 각 회사별로 적의판단하여 작성</t>
    </r>
    <phoneticPr fontId="1" type="noConversion"/>
  </si>
  <si>
    <r>
      <t>3. '④수행기간(예정)'의 시작년월과 종료년월은 반드시 "</t>
    </r>
    <r>
      <rPr>
        <b/>
        <sz val="13"/>
        <color theme="1"/>
        <rFont val="맑은 고딕"/>
        <family val="3"/>
        <charset val="129"/>
        <scheme val="minor"/>
      </rPr>
      <t>OO년OO월</t>
    </r>
    <r>
      <rPr>
        <sz val="13"/>
        <color theme="1"/>
        <rFont val="맑은 고딕"/>
        <family val="3"/>
        <charset val="129"/>
        <scheme val="minor"/>
      </rPr>
      <t>" 형식으로 작성</t>
    </r>
    <r>
      <rPr>
        <i/>
        <sz val="13"/>
        <color theme="1"/>
        <rFont val="맑은 고딕"/>
        <family val="3"/>
        <charset val="129"/>
        <scheme val="minor"/>
      </rPr>
      <t>(예시: 19년03월)</t>
    </r>
    <phoneticPr fontId="1" type="noConversion"/>
  </si>
  <si>
    <r>
      <t xml:space="preserve">4. '⑥비고'는 </t>
    </r>
    <r>
      <rPr>
        <b/>
        <sz val="13"/>
        <color theme="1"/>
        <rFont val="맑은 고딕"/>
        <family val="3"/>
        <charset val="129"/>
        <scheme val="minor"/>
      </rPr>
      <t>완료 / 진행중 / 미착수</t>
    </r>
    <r>
      <rPr>
        <sz val="13"/>
        <color theme="1"/>
        <rFont val="맑은 고딕"/>
        <family val="3"/>
        <charset val="129"/>
        <scheme val="minor"/>
      </rPr>
      <t xml:space="preserve"> 중 선택</t>
    </r>
    <phoneticPr fontId="1" type="noConversion"/>
  </si>
  <si>
    <t>23년01월</t>
    <phoneticPr fontId="1" type="noConversion"/>
  </si>
  <si>
    <t>22년01월</t>
    <phoneticPr fontId="1" type="noConversion"/>
  </si>
  <si>
    <t>23년03월</t>
    <phoneticPr fontId="1" type="noConversion"/>
  </si>
  <si>
    <t>25년03월</t>
    <phoneticPr fontId="1" type="noConversion"/>
  </si>
  <si>
    <r>
      <t xml:space="preserve">2. 위 조직도는 이해를 돕기위한 </t>
    </r>
    <r>
      <rPr>
        <b/>
        <i/>
        <sz val="13"/>
        <rFont val="맑은 고딕"/>
        <family val="3"/>
        <charset val="129"/>
        <scheme val="minor"/>
      </rPr>
      <t>예시</t>
    </r>
    <r>
      <rPr>
        <sz val="13"/>
        <rFont val="맑은 고딕"/>
        <family val="3"/>
        <charset val="129"/>
        <scheme val="minor"/>
      </rPr>
      <t xml:space="preserve">일뿐이며, 실제 내용은 각 회사 사정에 맞게 </t>
    </r>
    <r>
      <rPr>
        <b/>
        <u/>
        <sz val="13"/>
        <color rgb="FFFF0000"/>
        <rFont val="맑은 고딕"/>
        <family val="3"/>
        <charset val="129"/>
        <scheme val="minor"/>
      </rPr>
      <t>스캔본을 별도 파일로 첨부</t>
    </r>
    <r>
      <rPr>
        <sz val="13"/>
        <rFont val="맑은 고딕"/>
        <family val="3"/>
        <charset val="129"/>
        <scheme val="minor"/>
      </rPr>
      <t xml:space="preserve"> </t>
    </r>
    <r>
      <rPr>
        <b/>
        <sz val="13"/>
        <rFont val="맑은 고딕"/>
        <family val="3"/>
        <charset val="129"/>
        <scheme val="minor"/>
      </rPr>
      <t>(엑셀파일에 첨부시 불인정)</t>
    </r>
    <phoneticPr fontId="1" type="noConversion"/>
  </si>
  <si>
    <t xml:space="preserve">    * 파일명 : 정보기술부문 인력현황 조직도(회사명)</t>
    <phoneticPr fontId="1" type="noConversion"/>
  </si>
  <si>
    <t xml:space="preserve"> 5-1. 정규직ⓐ = IT017 정규직(①)</t>
    <phoneticPr fontId="1" type="noConversion"/>
  </si>
  <si>
    <t xml:space="preserve"> 5-2. 계약직ⓑ = IT017 계약직(②)</t>
    <phoneticPr fontId="1" type="noConversion"/>
  </si>
  <si>
    <t xml:space="preserve"> 5-4. 인정 상주ⓓ = IT017 인정 상주 외주인력(⑨)</t>
    <phoneticPr fontId="1" type="noConversion"/>
  </si>
  <si>
    <t xml:space="preserve"> 5-3. 전산 자회사ⓒ = IT017 전산자회사 상주인력 (⑧=③+④)</t>
    <phoneticPr fontId="1" type="noConversion"/>
  </si>
  <si>
    <t>전산 자회사ⓒ</t>
    <phoneticPr fontId="1" type="noConversion"/>
  </si>
  <si>
    <t>인정 상주ⓓ</t>
    <phoneticPr fontId="1" type="noConversion"/>
  </si>
  <si>
    <r>
      <t xml:space="preserve">5. </t>
    </r>
    <r>
      <rPr>
        <b/>
        <sz val="13"/>
        <color theme="1"/>
        <rFont val="맑은 고딕"/>
        <family val="3"/>
        <charset val="129"/>
        <scheme val="minor"/>
      </rPr>
      <t>전자금융업무보고서(</t>
    </r>
    <r>
      <rPr>
        <b/>
        <u/>
        <sz val="13"/>
        <color theme="1"/>
        <rFont val="맑은 고딕"/>
        <family val="3"/>
        <charset val="129"/>
        <scheme val="minor"/>
      </rPr>
      <t>IT017 - 정보기술 및 정보보호부문 인력현황 참조</t>
    </r>
    <r>
      <rPr>
        <b/>
        <sz val="13"/>
        <color theme="1"/>
        <rFont val="맑은 고딕"/>
        <family val="3"/>
        <charset val="129"/>
        <scheme val="minor"/>
      </rPr>
      <t>) 작성 기준과 동일하게 작성</t>
    </r>
    <phoneticPr fontId="1" type="noConversion"/>
  </si>
  <si>
    <t>1. 직전연도 예산은 '편성'액과 '집행'액을 구분하여 작성 요망</t>
    <phoneticPr fontId="1" type="noConversion"/>
  </si>
  <si>
    <t>정보보호 관련 예산 비율</t>
    <phoneticPr fontId="1" type="noConversion"/>
  </si>
  <si>
    <t>6. (예시) 인터넷 뱅킹, 텔레뱅킹, 모바일 뱅킹 등</t>
    <phoneticPr fontId="1" type="noConversion"/>
  </si>
  <si>
    <t>전년 예산 (배정액)</t>
    <phoneticPr fontId="1" type="noConversion"/>
  </si>
  <si>
    <t>전년 예산 (집행액)</t>
    <phoneticPr fontId="1" type="noConversion"/>
  </si>
  <si>
    <t>금년 예산 (배정액)</t>
    <phoneticPr fontId="1" type="noConversion"/>
  </si>
  <si>
    <t>자체점검 항목</t>
    <phoneticPr fontId="1" type="noConversion"/>
  </si>
  <si>
    <t>점검결과</t>
    <phoneticPr fontId="1" type="noConversion"/>
  </si>
  <si>
    <t>점검근거</t>
    <phoneticPr fontId="1" type="noConversion"/>
  </si>
  <si>
    <t>1. 대표자 확인·서명</t>
    <phoneticPr fontId="1" type="noConversion"/>
  </si>
  <si>
    <t>2. 제출 기한 준수</t>
    <phoneticPr fontId="1" type="noConversion"/>
  </si>
  <si>
    <t>3. 정보보호위원회 심의 의결</t>
    <phoneticPr fontId="1" type="noConversion"/>
  </si>
  <si>
    <t>4. 추진 목표 및 전략</t>
    <phoneticPr fontId="1" type="noConversion"/>
  </si>
  <si>
    <t>5. 직전 연도 추진 실적</t>
    <phoneticPr fontId="1" type="noConversion"/>
  </si>
  <si>
    <t>6. 당해 연도 추진 계획</t>
    <phoneticPr fontId="1" type="noConversion"/>
  </si>
  <si>
    <t>7. 조직 등 운영 현황</t>
    <phoneticPr fontId="1" type="noConversion"/>
  </si>
  <si>
    <t>8. 전년 및 금년 예산</t>
    <phoneticPr fontId="1" type="noConversion"/>
  </si>
  <si>
    <t xml:space="preserve">1. 자체 점검을 수행함으로써 정보기술부문계획서 작성의 충실도를 높이고자 하는 목적입니다. </t>
    <phoneticPr fontId="1" type="noConversion"/>
  </si>
  <si>
    <t xml:space="preserve">2. 점검 결과 "X"로 표기되는 부문은 보고서상 누락사항이 없는지 재 확인 부탁드립니다. </t>
    <phoneticPr fontId="1" type="noConversion"/>
  </si>
  <si>
    <t xml:space="preserve">3. 본 양식은 자동계산 양식입니다. (0.~7. sheet 내용에 따라 자동 반영) </t>
    <phoneticPr fontId="1" type="noConversion"/>
  </si>
  <si>
    <t>[ 금융회사 자체점검]</t>
    <phoneticPr fontId="1" type="noConversion"/>
  </si>
  <si>
    <t>자동 계산</t>
    <phoneticPr fontId="1" type="noConversion"/>
  </si>
  <si>
    <t>필요시 입력 가능</t>
    <phoneticPr fontId="1" type="noConversion"/>
  </si>
  <si>
    <t>4. 점검 결과가 "X"로 표기되는 경우 상세사유를 I열(비고)에 입력 부탁드립니다.</t>
    <phoneticPr fontId="1" type="noConversion"/>
  </si>
  <si>
    <t>②연수대상</t>
    <phoneticPr fontId="1" type="noConversion"/>
  </si>
  <si>
    <t>③연수명</t>
    <phoneticPr fontId="1" type="noConversion"/>
  </si>
  <si>
    <t>④연수방식</t>
    <phoneticPr fontId="1" type="noConversion"/>
  </si>
  <si>
    <t>2. '① 구분' 은 연수 목적에 따라 '정보기술' 과 '정보보호'로 구분</t>
    <phoneticPr fontId="1" type="noConversion"/>
  </si>
  <si>
    <r>
      <t xml:space="preserve">3. </t>
    </r>
    <r>
      <rPr>
        <sz val="13"/>
        <color rgb="FFC00000"/>
        <rFont val="맑은 고딕"/>
        <family val="3"/>
        <charset val="129"/>
        <scheme val="minor"/>
      </rPr>
      <t>'② 연수대상 : 전직원 / 정보기술인력 / 정보보호인력 중 택</t>
    </r>
    <phoneticPr fontId="1" type="noConversion"/>
  </si>
  <si>
    <t>⑥이수시간
(단위 : 시간)</t>
    <phoneticPr fontId="1" type="noConversion"/>
  </si>
  <si>
    <t>⑤필수여부</t>
    <phoneticPr fontId="1" type="noConversion"/>
  </si>
  <si>
    <t>IT 인력 연수 계획</t>
    <phoneticPr fontId="1" type="noConversion"/>
  </si>
  <si>
    <t>ⓐ'22년도 예산 편성액
(단위 : 천원)</t>
    <phoneticPr fontId="1" type="noConversion"/>
  </si>
  <si>
    <t>ⓑ22년도 예산 집행액
(단위 : 천원)</t>
    <phoneticPr fontId="1" type="noConversion"/>
  </si>
  <si>
    <t>집행률
(ⓑ/ⓐ%)</t>
    <phoneticPr fontId="1" type="noConversion"/>
  </si>
  <si>
    <t>ⓒ'23년도 예산 편성액
(단위 : 천원)</t>
    <phoneticPr fontId="1" type="noConversion"/>
  </si>
  <si>
    <t>목표 1</t>
  </si>
  <si>
    <t>목표 2</t>
  </si>
  <si>
    <t>목표 3</t>
  </si>
  <si>
    <t>전략 1</t>
  </si>
  <si>
    <t>전략 2</t>
  </si>
  <si>
    <r>
      <t xml:space="preserve">3. 왼쪽에 제시된 표지는 예시(작성안내 한글파일에 포함)이며, 각 회사의 사정 맞게 작성하여 </t>
    </r>
    <r>
      <rPr>
        <b/>
        <u/>
        <sz val="13"/>
        <rFont val="맑은 고딕"/>
        <family val="3"/>
        <charset val="129"/>
        <scheme val="minor"/>
      </rPr>
      <t>스캔본을 별도 파일로 첨부</t>
    </r>
    <r>
      <rPr>
        <i/>
        <sz val="12"/>
        <rFont val="맑은 고딕"/>
        <family val="3"/>
        <charset val="129"/>
        <scheme val="minor"/>
      </rPr>
      <t>(예시된 표지는 동 안내문서 한글 파일에 포함)</t>
    </r>
    <phoneticPr fontId="1" type="noConversion"/>
  </si>
  <si>
    <r>
      <t xml:space="preserve">3. 2-1. 정보보호위원회 심의의결 증빙자료 제출 여부 (증빙을 </t>
    </r>
    <r>
      <rPr>
        <b/>
        <u/>
        <sz val="13"/>
        <rFont val="맑은 고딕"/>
        <family val="3"/>
        <charset val="129"/>
        <scheme val="minor"/>
      </rPr>
      <t>반드시 별도 파일로 첨부</t>
    </r>
    <r>
      <rPr>
        <sz val="13"/>
        <rFont val="맑은 고딕"/>
        <family val="3"/>
        <charset val="129"/>
        <scheme val="minor"/>
      </rPr>
      <t xml:space="preserve">하고, </t>
    </r>
    <r>
      <rPr>
        <b/>
        <u/>
        <sz val="13"/>
        <rFont val="맑은 고딕"/>
        <family val="3"/>
        <charset val="129"/>
        <scheme val="minor"/>
      </rPr>
      <t>파일명 준수</t>
    </r>
    <r>
      <rPr>
        <sz val="13"/>
        <rFont val="맑은 고딕"/>
        <family val="3"/>
        <charset val="129"/>
        <scheme val="minor"/>
      </rPr>
      <t>)</t>
    </r>
    <phoneticPr fontId="1" type="noConversion"/>
  </si>
  <si>
    <t>5. 7번은 전자금융거래법 제2조제1호 등을 참고하여 OX 중 선택(제출 대상 예외 여부는 전자금융거래법 제3조제3항 및 시행령 제5조제2항 등에 따라 판단)</t>
    <phoneticPr fontId="1" type="noConversion"/>
  </si>
  <si>
    <r>
      <t xml:space="preserve">1. 목표 및 전략이 5~10행을 초과하는 경우는 </t>
    </r>
    <r>
      <rPr>
        <b/>
        <u/>
        <sz val="13"/>
        <color theme="1"/>
        <rFont val="맑은 고딕"/>
        <family val="3"/>
        <charset val="129"/>
        <scheme val="minor"/>
      </rPr>
      <t>중점 목표(5개), 전략(10개)만 본 시트에 작성</t>
    </r>
    <r>
      <rPr>
        <sz val="13"/>
        <color theme="1"/>
        <rFont val="맑은 고딕"/>
        <family val="3"/>
        <charset val="129"/>
        <scheme val="minor"/>
      </rPr>
      <t>하고,</t>
    </r>
    <r>
      <rPr>
        <b/>
        <sz val="13"/>
        <color theme="1"/>
        <rFont val="맑은 고딕"/>
        <family val="3"/>
        <charset val="129"/>
        <scheme val="minor"/>
      </rPr>
      <t xml:space="preserve"> </t>
    </r>
    <r>
      <rPr>
        <sz val="13"/>
        <color theme="1"/>
        <rFont val="맑은 고딕"/>
        <family val="3"/>
        <charset val="129"/>
        <scheme val="minor"/>
      </rPr>
      <t>그 외는 별도 파일로 제출</t>
    </r>
    <phoneticPr fontId="1" type="noConversion"/>
  </si>
  <si>
    <r>
      <t xml:space="preserve">6. 추진실적이 30행을 초과하는 경우는 </t>
    </r>
    <r>
      <rPr>
        <b/>
        <u/>
        <sz val="13"/>
        <color theme="1"/>
        <rFont val="맑은 고딕"/>
        <family val="3"/>
        <charset val="129"/>
        <scheme val="minor"/>
      </rPr>
      <t>주요 실적(30개)만 본 시트에 작성하</t>
    </r>
    <r>
      <rPr>
        <sz val="13"/>
        <color theme="1"/>
        <rFont val="맑은 고딕"/>
        <family val="3"/>
        <charset val="129"/>
        <scheme val="minor"/>
      </rPr>
      <t>고, 그 외는 별도 파일로 제출</t>
    </r>
    <phoneticPr fontId="1" type="noConversion"/>
  </si>
  <si>
    <r>
      <t xml:space="preserve">5. 추진계획이 30행을 초과하는 경우는 </t>
    </r>
    <r>
      <rPr>
        <b/>
        <u/>
        <sz val="13"/>
        <color theme="1"/>
        <rFont val="맑은 고딕"/>
        <family val="3"/>
        <charset val="129"/>
        <scheme val="minor"/>
      </rPr>
      <t>주요 추진계획(30개)만 본 시트에 작성</t>
    </r>
    <r>
      <rPr>
        <sz val="13"/>
        <color theme="1"/>
        <rFont val="맑은 고딕"/>
        <family val="3"/>
        <charset val="129"/>
        <scheme val="minor"/>
      </rPr>
      <t>하고, 그 외는 별도 파일로 제출</t>
    </r>
    <phoneticPr fontId="1" type="noConversion"/>
  </si>
  <si>
    <t>3. '⑤CIO현황'과 '⑥CISO현황'의 '임원여부' 및 '겸직여부'는  ○ / X 중 선택하고, '겸직여부'는 CISO의 CIO 겸직여부로 판단하며, 작성에 관한 사항은 전자금융거래법 제21조의2 등을 참조</t>
    <phoneticPr fontId="1" type="noConversion"/>
  </si>
  <si>
    <t xml:space="preserve">    근거규정은 전자금융감독규정 제8조 제1항 제3호를 참조</t>
    <phoneticPr fontId="1" type="noConversion"/>
  </si>
  <si>
    <t>5-3. '23년도 전산 관련 교육 및 연수프로그램 운영 계획</t>
    <phoneticPr fontId="1" type="noConversion"/>
  </si>
  <si>
    <t xml:space="preserve">4. '④ 연수방식 : 내부(내부강사 활용), 외부(외부 교육 전문기관 등) </t>
    <phoneticPr fontId="1" type="noConversion"/>
  </si>
  <si>
    <t>5. '⑤ 필수여부 : 필수/선택 중 택1</t>
    <phoneticPr fontId="1" type="noConversion"/>
  </si>
  <si>
    <r>
      <t xml:space="preserve">6. 작성 대상 교육 및 연수 계획이 30행을 초과하는 경우 </t>
    </r>
    <r>
      <rPr>
        <b/>
        <u/>
        <sz val="13"/>
        <color theme="1"/>
        <rFont val="맑은 고딕"/>
        <family val="3"/>
        <charset val="129"/>
        <scheme val="minor"/>
      </rPr>
      <t>주요 계획(30개)만 적시</t>
    </r>
    <phoneticPr fontId="1" type="noConversion"/>
  </si>
  <si>
    <t>1. "6.예산" sheet "정보기술 교육, 훈련비" 및 "정보보호 교육 훈련비" 항목에 예산 편성 또는 집행된 교육 및 연수에 한정하여 기재 요망,</t>
    <phoneticPr fontId="1" type="noConversion"/>
  </si>
  <si>
    <t>2. '③정보기술 관련 예산 상세내역' 및 '⑤정보보호 관련 예산 상세내역'을 반드시 작성 요망(총액만 작성하지 말것)</t>
    <phoneticPr fontId="1" type="noConversion"/>
  </si>
  <si>
    <r>
      <t xml:space="preserve">3. </t>
    </r>
    <r>
      <rPr>
        <b/>
        <u/>
        <sz val="13"/>
        <color rgb="FFFF0000"/>
        <rFont val="맑은 고딕"/>
        <family val="3"/>
        <charset val="129"/>
        <scheme val="minor"/>
      </rPr>
      <t>금액 단위(천원)를 준수</t>
    </r>
    <r>
      <rPr>
        <sz val="13"/>
        <color theme="1"/>
        <rFont val="맑은 고딕"/>
        <family val="3"/>
        <charset val="129"/>
        <scheme val="minor"/>
      </rPr>
      <t>하여 작성 요망</t>
    </r>
    <phoneticPr fontId="1" type="noConversion"/>
  </si>
  <si>
    <r>
      <t xml:space="preserve">4. </t>
    </r>
    <r>
      <rPr>
        <b/>
        <sz val="13"/>
        <color theme="1"/>
        <rFont val="맑은 고딕"/>
        <family val="3"/>
        <charset val="129"/>
        <scheme val="minor"/>
      </rPr>
      <t>전자금융업무보고서(</t>
    </r>
    <r>
      <rPr>
        <b/>
        <u/>
        <sz val="13"/>
        <color theme="1"/>
        <rFont val="맑은 고딕"/>
        <family val="3"/>
        <charset val="129"/>
        <scheme val="minor"/>
      </rPr>
      <t>IT018 - 정보기술 및 정보보호부문 예산현황 참조</t>
    </r>
    <r>
      <rPr>
        <b/>
        <sz val="13"/>
        <color theme="1"/>
        <rFont val="맑은 고딕"/>
        <family val="3"/>
        <charset val="129"/>
        <scheme val="minor"/>
      </rPr>
      <t>) 작성 기준과 동일하게 작성</t>
    </r>
    <phoneticPr fontId="1" type="noConversion"/>
  </si>
  <si>
    <t xml:space="preserve">2. 대표이사(대표자) 등의 서명이 포함된 연간계획서 표지 사본(스캔본) 또는 대표이사(대표자)가 전자결재한 공문 사본(스캔본)을 반드시 별도 파일로 첨부하시기 바랍니다. </t>
    <phoneticPr fontId="1" type="noConversion"/>
  </si>
  <si>
    <r>
      <t xml:space="preserve">   </t>
    </r>
    <r>
      <rPr>
        <b/>
        <sz val="13"/>
        <rFont val="맑은 고딕"/>
        <family val="3"/>
        <charset val="129"/>
        <scheme val="minor"/>
      </rPr>
      <t xml:space="preserve">(엑셀파일에 첨부시 불인정, 파일명 준수) </t>
    </r>
    <r>
      <rPr>
        <sz val="13"/>
        <rFont val="맑은 고딕"/>
        <family val="3"/>
        <charset val="129"/>
        <scheme val="minor"/>
      </rPr>
      <t xml:space="preserve"> * 파일명 : 정보기술부문 연간계획서 표지(회사명)</t>
    </r>
    <phoneticPr fontId="1" type="noConversion"/>
  </si>
  <si>
    <t>목표 내용</t>
    <phoneticPr fontId="1" type="noConversion"/>
  </si>
  <si>
    <t>증감률
((ⓒ-ⓐ)/ⓐ%)</t>
    <phoneticPr fontId="1" type="noConversion"/>
  </si>
  <si>
    <r>
      <t>⑦총자산</t>
    </r>
    <r>
      <rPr>
        <b/>
        <sz val="11"/>
        <color rgb="FFFF0000"/>
        <rFont val="맑은 고딕"/>
        <family val="3"/>
        <charset val="129"/>
        <scheme val="minor"/>
      </rPr>
      <t>(단위 : 억원)</t>
    </r>
    <phoneticPr fontId="1" type="noConversion"/>
  </si>
  <si>
    <t>①주요 추진 목표</t>
    <phoneticPr fontId="1" type="noConversion"/>
  </si>
  <si>
    <t>②주요 추진 전략</t>
    <phoneticPr fontId="1" type="noConversion"/>
  </si>
  <si>
    <t xml:space="preserve">5. ①주요 추진 목표은  "2.목표 및 전략" sheet의 "1. 추진목표" 표에서 상위 3개가 자동 입력됩니다. </t>
    <phoneticPr fontId="1" type="noConversion"/>
  </si>
  <si>
    <t xml:space="preserve">6. ②주요 추진 전략은  "2.목표 및 전략" sheet의 "2. 추진실적" 표에서 상위 3개가 자동 입력됩니다. </t>
    <phoneticPr fontId="1" type="noConversion"/>
  </si>
  <si>
    <r>
      <t xml:space="preserve">7. ⓐ 키워드의 경우 각각 주요 추진목표와 주요추진전략에 대한 키워드를 </t>
    </r>
    <r>
      <rPr>
        <b/>
        <u/>
        <sz val="12"/>
        <color theme="1"/>
        <rFont val="맑은 고딕"/>
        <family val="3"/>
        <charset val="129"/>
        <scheme val="minor"/>
      </rPr>
      <t>직접 입력</t>
    </r>
    <r>
      <rPr>
        <sz val="12"/>
        <color theme="1"/>
        <rFont val="맑은 고딕"/>
        <family val="3"/>
        <charset val="129"/>
        <scheme val="minor"/>
      </rPr>
      <t xml:space="preserve"> 부탁드립니다.</t>
    </r>
    <phoneticPr fontId="1" type="noConversion"/>
  </si>
  <si>
    <t xml:space="preserve">   예시) 리스크헤지, 금융보안교육강화, 인공지능 등 </t>
    <phoneticPr fontId="1" type="noConversion"/>
  </si>
  <si>
    <t>ⓐ키워드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</si>
</sst>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5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i/>
      <sz val="13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i/>
      <sz val="13"/>
      <name val="맑은 고딕"/>
      <family val="3"/>
      <charset val="129"/>
      <scheme val="minor"/>
    </font>
    <font>
      <u/>
      <sz val="13"/>
      <name val="맑은 고딕"/>
      <family val="3"/>
      <charset val="129"/>
      <scheme val="minor"/>
    </font>
    <font>
      <i/>
      <sz val="13"/>
      <name val="맑은 고딕"/>
      <family val="3"/>
      <charset val="129"/>
      <scheme val="minor"/>
    </font>
    <font>
      <b/>
      <u/>
      <sz val="13"/>
      <color rgb="FFFF0000"/>
      <name val="맑은 고딕"/>
      <family val="3"/>
      <charset val="129"/>
      <scheme val="minor"/>
    </font>
    <font>
      <i/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i/>
      <sz val="11"/>
      <color theme="2" tint="-0.499984740745262"/>
      <name val="맑은 고딕"/>
      <family val="3"/>
      <charset val="129"/>
      <scheme val="minor"/>
    </font>
    <font>
      <b/>
      <i/>
      <sz val="9"/>
      <color theme="2" tint="-0.499984740745262"/>
      <name val="맑은 고딕"/>
      <family val="2"/>
      <charset val="129"/>
      <scheme val="minor"/>
    </font>
    <font>
      <b/>
      <i/>
      <sz val="9"/>
      <color theme="2" tint="-0.499984740745262"/>
      <name val="맑은 고딕"/>
      <family val="3"/>
      <charset val="129"/>
      <scheme val="minor"/>
    </font>
    <font>
      <b/>
      <i/>
      <sz val="13"/>
      <color rgb="FFFF0000"/>
      <name val="맑은 고딕"/>
      <family val="3"/>
      <charset val="129"/>
      <scheme val="minor"/>
    </font>
    <font>
      <i/>
      <sz val="11"/>
      <color theme="1" tint="0.499984740745262"/>
      <name val="맑은 고딕"/>
      <family val="3"/>
      <charset val="129"/>
      <scheme val="minor"/>
    </font>
    <font>
      <sz val="13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u/>
      <sz val="11"/>
      <color indexed="81"/>
      <name val="Tahoma"/>
      <family val="2"/>
    </font>
    <font>
      <b/>
      <u/>
      <sz val="11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i/>
      <sz val="13"/>
      <color theme="2" tint="-0.499984740745262"/>
      <name val="맑은 고딕"/>
      <family val="3"/>
      <charset val="129"/>
      <scheme val="minor"/>
    </font>
    <font>
      <b/>
      <u/>
      <sz val="13"/>
      <name val="맑은 고딕"/>
      <family val="3"/>
      <charset val="129"/>
      <scheme val="minor"/>
    </font>
    <font>
      <sz val="9"/>
      <color indexed="81"/>
      <name val="Tahoma"/>
      <family val="2"/>
    </font>
    <font>
      <sz val="11"/>
      <color theme="2" tint="-0.49998474074526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</cellStyleXfs>
  <cellXfs count="230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7" fillId="0" borderId="0" xfId="0" applyFont="1" applyAlignment="1">
      <alignment horizontal="right" vertical="center"/>
    </xf>
    <xf numFmtId="0" fontId="0" fillId="2" borderId="3" xfId="0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3" borderId="8" xfId="0" applyFont="1" applyFill="1" applyBorder="1" applyAlignment="1">
      <alignment horizontal="left" vertical="center"/>
    </xf>
    <xf numFmtId="0" fontId="0" fillId="3" borderId="9" xfId="0" applyFill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0" borderId="0" xfId="0" applyAlignment="1">
      <alignment horizontal="right" vertical="center"/>
    </xf>
    <xf numFmtId="0" fontId="14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0" fillId="2" borderId="11" xfId="0" applyFill="1" applyBorder="1">
      <alignment vertical="center"/>
    </xf>
    <xf numFmtId="0" fontId="5" fillId="2" borderId="1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8" fillId="3" borderId="4" xfId="0" applyFont="1" applyFill="1" applyBorder="1">
      <alignment vertical="center"/>
    </xf>
    <xf numFmtId="0" fontId="8" fillId="3" borderId="12" xfId="0" applyFont="1" applyFill="1" applyBorder="1">
      <alignment vertical="center"/>
    </xf>
    <xf numFmtId="0" fontId="8" fillId="3" borderId="5" xfId="0" applyFont="1" applyFill="1" applyBorder="1">
      <alignment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25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29" fillId="0" borderId="1" xfId="0" applyFont="1" applyBorder="1" applyAlignment="1">
      <alignment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29" fillId="5" borderId="1" xfId="0" applyFont="1" applyFill="1" applyBorder="1" applyAlignment="1">
      <alignment horizontal="center" vertical="center" wrapText="1"/>
    </xf>
    <xf numFmtId="176" fontId="25" fillId="7" borderId="1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0" fillId="6" borderId="1" xfId="0" applyFont="1" applyFill="1" applyBorder="1">
      <alignment vertical="center"/>
    </xf>
    <xf numFmtId="0" fontId="10" fillId="6" borderId="1" xfId="0" applyFont="1" applyFill="1" applyBorder="1" applyAlignment="1">
      <alignment vertical="center" wrapText="1"/>
    </xf>
    <xf numFmtId="0" fontId="33" fillId="3" borderId="1" xfId="0" quotePrefix="1" applyFont="1" applyFill="1" applyBorder="1" applyAlignment="1">
      <alignment horizontal="center" vertical="center" wrapText="1"/>
    </xf>
    <xf numFmtId="0" fontId="32" fillId="2" borderId="3" xfId="0" applyFont="1" applyFill="1" applyBorder="1">
      <alignment vertical="center"/>
    </xf>
    <xf numFmtId="0" fontId="35" fillId="2" borderId="2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41" fontId="25" fillId="8" borderId="1" xfId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6" fillId="0" borderId="1" xfId="0" applyFont="1" applyBorder="1">
      <alignment vertical="center"/>
    </xf>
    <xf numFmtId="41" fontId="25" fillId="0" borderId="1" xfId="1" applyFont="1" applyBorder="1" applyAlignment="1" applyProtection="1">
      <alignment horizontal="center" vertical="center"/>
      <protection locked="0"/>
    </xf>
    <xf numFmtId="0" fontId="42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176" fontId="44" fillId="7" borderId="14" xfId="0" applyNumberFormat="1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48" fillId="0" borderId="1" xfId="0" applyFont="1" applyBorder="1" applyProtection="1">
      <alignment vertical="center"/>
      <protection locked="0"/>
    </xf>
    <xf numFmtId="14" fontId="48" fillId="0" borderId="1" xfId="0" applyNumberFormat="1" applyFont="1" applyBorder="1" applyProtection="1">
      <alignment vertical="center"/>
      <protection locked="0"/>
    </xf>
    <xf numFmtId="0" fontId="48" fillId="0" borderId="1" xfId="0" applyFont="1" applyBorder="1" applyAlignment="1" applyProtection="1">
      <alignment vertical="center" wrapText="1"/>
      <protection locked="0"/>
    </xf>
    <xf numFmtId="14" fontId="48" fillId="9" borderId="1" xfId="0" applyNumberFormat="1" applyFont="1" applyFill="1" applyBorder="1" applyProtection="1">
      <alignment vertical="center"/>
      <protection locked="0"/>
    </xf>
    <xf numFmtId="0" fontId="48" fillId="9" borderId="1" xfId="0" applyFont="1" applyFill="1" applyBorder="1" applyAlignment="1" applyProtection="1">
      <alignment horizontal="center" vertical="center"/>
      <protection locked="0"/>
    </xf>
    <xf numFmtId="0" fontId="0" fillId="11" borderId="0" xfId="0" applyFill="1">
      <alignment vertical="center"/>
    </xf>
    <xf numFmtId="0" fontId="15" fillId="11" borderId="0" xfId="0" applyFont="1" applyFill="1">
      <alignment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7" fillId="11" borderId="1" xfId="0" applyFont="1" applyFill="1" applyBorder="1" applyAlignment="1">
      <alignment vertical="center" wrapText="1"/>
    </xf>
    <xf numFmtId="0" fontId="47" fillId="11" borderId="1" xfId="0" applyFont="1" applyFill="1" applyBorder="1">
      <alignment vertical="center"/>
    </xf>
    <xf numFmtId="0" fontId="10" fillId="11" borderId="1" xfId="0" applyFont="1" applyFill="1" applyBorder="1">
      <alignment vertical="center"/>
    </xf>
    <xf numFmtId="0" fontId="13" fillId="11" borderId="0" xfId="0" applyFont="1" applyFill="1">
      <alignment vertical="center"/>
    </xf>
    <xf numFmtId="0" fontId="49" fillId="5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14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11" borderId="0" xfId="0" applyFont="1" applyFill="1">
      <alignment vertical="center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4" fillId="9" borderId="1" xfId="0" applyFont="1" applyFill="1" applyBorder="1" applyProtection="1">
      <alignment vertical="center"/>
      <protection locked="0"/>
    </xf>
    <xf numFmtId="0" fontId="14" fillId="0" borderId="1" xfId="0" applyFont="1" applyBorder="1" applyProtection="1">
      <alignment vertical="center"/>
      <protection locked="0"/>
    </xf>
    <xf numFmtId="0" fontId="10" fillId="0" borderId="1" xfId="0" applyFont="1" applyBorder="1" applyProtection="1">
      <alignment vertical="center"/>
      <protection locked="0"/>
    </xf>
    <xf numFmtId="14" fontId="12" fillId="0" borderId="1" xfId="0" applyNumberFormat="1" applyFont="1" applyBorder="1" applyAlignment="1" applyProtection="1">
      <alignment horizontal="center" vertical="center"/>
      <protection locked="0"/>
    </xf>
    <xf numFmtId="176" fontId="25" fillId="0" borderId="1" xfId="0" applyNumberFormat="1" applyFont="1" applyBorder="1" applyAlignment="1" applyProtection="1">
      <alignment horizontal="center" vertical="center"/>
      <protection locked="0"/>
    </xf>
    <xf numFmtId="176" fontId="10" fillId="0" borderId="1" xfId="0" applyNumberFormat="1" applyFont="1" applyBorder="1" applyAlignment="1" applyProtection="1">
      <alignment horizontal="center" vertical="center"/>
      <protection locked="0"/>
    </xf>
    <xf numFmtId="0" fontId="33" fillId="3" borderId="12" xfId="0" applyFont="1" applyFill="1" applyBorder="1" applyAlignment="1">
      <alignment horizontal="center" vertical="center" wrapText="1"/>
    </xf>
    <xf numFmtId="9" fontId="25" fillId="8" borderId="1" xfId="2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9" borderId="1" xfId="0" applyFill="1" applyBorder="1" applyProtection="1">
      <alignment vertical="center"/>
      <protection locked="0"/>
    </xf>
    <xf numFmtId="0" fontId="10" fillId="5" borderId="1" xfId="0" applyFont="1" applyFill="1" applyBorder="1" applyAlignment="1" applyProtection="1">
      <alignment vertical="center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  <protection locked="0" hidden="1"/>
    </xf>
    <xf numFmtId="0" fontId="10" fillId="5" borderId="1" xfId="0" applyFont="1" applyFill="1" applyBorder="1" applyAlignment="1" applyProtection="1">
      <alignment vertical="center" wrapText="1"/>
      <protection locked="0" hidden="1"/>
    </xf>
    <xf numFmtId="0" fontId="10" fillId="0" borderId="1" xfId="0" applyFont="1" applyBorder="1" applyAlignment="1" applyProtection="1">
      <alignment vertical="center" wrapText="1"/>
      <protection locked="0" hidden="1"/>
    </xf>
    <xf numFmtId="0" fontId="10" fillId="0" borderId="1" xfId="0" applyFont="1" applyFill="1" applyBorder="1" applyAlignment="1" applyProtection="1">
      <alignment horizontal="center" vertical="center" wrapText="1"/>
      <protection locked="0" hidden="1"/>
    </xf>
    <xf numFmtId="0" fontId="10" fillId="12" borderId="1" xfId="0" applyFont="1" applyFill="1" applyBorder="1" applyAlignment="1" applyProtection="1">
      <alignment horizontal="center" vertical="center"/>
      <protection hidden="1"/>
    </xf>
    <xf numFmtId="0" fontId="10" fillId="0" borderId="1" xfId="0" applyFont="1" applyFill="1" applyBorder="1" applyProtection="1">
      <alignment vertical="center"/>
      <protection hidden="1"/>
    </xf>
    <xf numFmtId="0" fontId="10" fillId="0" borderId="31" xfId="0" applyFont="1" applyFill="1" applyBorder="1" applyProtection="1">
      <alignment vertical="center"/>
      <protection hidden="1"/>
    </xf>
    <xf numFmtId="14" fontId="10" fillId="12" borderId="1" xfId="0" applyNumberFormat="1" applyFont="1" applyFill="1" applyBorder="1" applyAlignment="1" applyProtection="1">
      <alignment horizontal="center" vertical="center"/>
      <protection hidden="1"/>
    </xf>
    <xf numFmtId="0" fontId="10" fillId="12" borderId="20" xfId="0" applyFont="1" applyFill="1" applyBorder="1" applyAlignment="1" applyProtection="1">
      <alignment horizontal="center" vertical="center"/>
      <protection hidden="1"/>
    </xf>
    <xf numFmtId="0" fontId="10" fillId="0" borderId="20" xfId="0" applyFont="1" applyFill="1" applyBorder="1" applyProtection="1">
      <alignment vertical="center"/>
      <protection hidden="1"/>
    </xf>
    <xf numFmtId="0" fontId="10" fillId="0" borderId="33" xfId="0" applyFont="1" applyFill="1" applyBorder="1" applyProtection="1">
      <alignment vertical="center"/>
      <protection hidden="1"/>
    </xf>
    <xf numFmtId="0" fontId="10" fillId="12" borderId="23" xfId="0" applyFont="1" applyFill="1" applyBorder="1" applyAlignment="1" applyProtection="1">
      <alignment horizontal="center" vertical="center"/>
      <protection hidden="1"/>
    </xf>
    <xf numFmtId="0" fontId="10" fillId="0" borderId="23" xfId="0" applyFont="1" applyFill="1" applyBorder="1" applyProtection="1">
      <alignment vertical="center"/>
      <protection hidden="1"/>
    </xf>
    <xf numFmtId="0" fontId="10" fillId="0" borderId="35" xfId="0" applyFont="1" applyFill="1" applyBorder="1" applyProtection="1">
      <alignment vertical="center"/>
      <protection hidden="1"/>
    </xf>
    <xf numFmtId="0" fontId="5" fillId="14" borderId="20" xfId="0" applyFont="1" applyFill="1" applyBorder="1" applyProtection="1">
      <alignment vertical="center"/>
      <protection hidden="1"/>
    </xf>
    <xf numFmtId="0" fontId="5" fillId="14" borderId="24" xfId="0" applyFont="1" applyFill="1" applyBorder="1" applyAlignment="1" applyProtection="1">
      <alignment vertical="center"/>
      <protection hidden="1"/>
    </xf>
    <xf numFmtId="0" fontId="10" fillId="12" borderId="24" xfId="0" applyFont="1" applyFill="1" applyBorder="1" applyAlignment="1" applyProtection="1">
      <alignment horizontal="center" vertical="center"/>
      <protection hidden="1"/>
    </xf>
    <xf numFmtId="0" fontId="10" fillId="8" borderId="24" xfId="0" applyFont="1" applyFill="1" applyBorder="1" applyProtection="1">
      <alignment vertical="center"/>
      <protection hidden="1"/>
    </xf>
    <xf numFmtId="9" fontId="10" fillId="0" borderId="24" xfId="0" applyNumberFormat="1" applyFont="1" applyFill="1" applyBorder="1" applyProtection="1">
      <alignment vertical="center"/>
      <protection hidden="1"/>
    </xf>
    <xf numFmtId="14" fontId="10" fillId="0" borderId="36" xfId="0" applyNumberFormat="1" applyFont="1" applyFill="1" applyBorder="1" applyProtection="1">
      <alignment vertical="center"/>
      <protection hidden="1"/>
    </xf>
    <xf numFmtId="0" fontId="5" fillId="14" borderId="23" xfId="0" applyFont="1" applyFill="1" applyBorder="1" applyAlignment="1" applyProtection="1">
      <alignment vertical="center"/>
      <protection hidden="1"/>
    </xf>
    <xf numFmtId="0" fontId="10" fillId="8" borderId="23" xfId="0" applyFont="1" applyFill="1" applyBorder="1" applyProtection="1">
      <alignment vertical="center"/>
      <protection hidden="1"/>
    </xf>
    <xf numFmtId="9" fontId="10" fillId="0" borderId="23" xfId="0" applyNumberFormat="1" applyFont="1" applyFill="1" applyBorder="1" applyProtection="1">
      <alignment vertical="center"/>
      <protection hidden="1"/>
    </xf>
    <xf numFmtId="14" fontId="10" fillId="0" borderId="35" xfId="0" applyNumberFormat="1" applyFont="1" applyFill="1" applyBorder="1" applyProtection="1">
      <alignment vertical="center"/>
      <protection hidden="1"/>
    </xf>
    <xf numFmtId="0" fontId="5" fillId="14" borderId="20" xfId="0" applyFont="1" applyFill="1" applyBorder="1" applyAlignment="1" applyProtection="1">
      <alignment vertical="center"/>
      <protection hidden="1"/>
    </xf>
    <xf numFmtId="0" fontId="5" fillId="14" borderId="15" xfId="0" applyFont="1" applyFill="1" applyBorder="1" applyAlignment="1" applyProtection="1">
      <alignment vertical="center"/>
      <protection hidden="1"/>
    </xf>
    <xf numFmtId="0" fontId="5" fillId="14" borderId="41" xfId="0" applyFont="1" applyFill="1" applyBorder="1" applyAlignment="1" applyProtection="1">
      <alignment vertical="center"/>
      <protection hidden="1"/>
    </xf>
    <xf numFmtId="0" fontId="10" fillId="12" borderId="12" xfId="0" applyFont="1" applyFill="1" applyBorder="1" applyAlignment="1" applyProtection="1">
      <alignment horizontal="center" vertical="center"/>
      <protection hidden="1"/>
    </xf>
    <xf numFmtId="0" fontId="10" fillId="0" borderId="12" xfId="0" applyFont="1" applyFill="1" applyBorder="1" applyProtection="1">
      <alignment vertical="center"/>
      <protection hidden="1"/>
    </xf>
    <xf numFmtId="0" fontId="10" fillId="0" borderId="42" xfId="0" applyFont="1" applyFill="1" applyBorder="1" applyProtection="1">
      <alignment vertical="center"/>
      <protection hidden="1"/>
    </xf>
    <xf numFmtId="0" fontId="10" fillId="0" borderId="24" xfId="0" applyFont="1" applyFill="1" applyBorder="1" applyProtection="1">
      <alignment vertical="center"/>
      <protection hidden="1"/>
    </xf>
    <xf numFmtId="0" fontId="10" fillId="0" borderId="36" xfId="0" applyFont="1" applyFill="1" applyBorder="1" applyProtection="1">
      <alignment vertical="center"/>
      <protection hidden="1"/>
    </xf>
    <xf numFmtId="0" fontId="10" fillId="12" borderId="39" xfId="0" applyFont="1" applyFill="1" applyBorder="1" applyAlignment="1" applyProtection="1">
      <alignment horizontal="center" vertical="center"/>
      <protection hidden="1"/>
    </xf>
    <xf numFmtId="0" fontId="10" fillId="8" borderId="39" xfId="0" applyFont="1" applyFill="1" applyBorder="1" applyProtection="1">
      <alignment vertical="center"/>
      <protection hidden="1"/>
    </xf>
    <xf numFmtId="9" fontId="10" fillId="0" borderId="39" xfId="0" applyNumberFormat="1" applyFont="1" applyFill="1" applyBorder="1" applyProtection="1">
      <alignment vertical="center"/>
      <protection hidden="1"/>
    </xf>
    <xf numFmtId="0" fontId="10" fillId="0" borderId="40" xfId="0" applyFont="1" applyFill="1" applyBorder="1" applyProtection="1">
      <alignment vertical="center"/>
      <protection hidden="1"/>
    </xf>
    <xf numFmtId="0" fontId="0" fillId="0" borderId="3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2" borderId="2" xfId="0" applyFill="1" applyBorder="1">
      <alignment vertical="center"/>
    </xf>
    <xf numFmtId="0" fontId="53" fillId="0" borderId="0" xfId="0" applyFont="1">
      <alignment vertical="center"/>
    </xf>
    <xf numFmtId="41" fontId="25" fillId="8" borderId="1" xfId="1" applyFont="1" applyFill="1" applyBorder="1" applyAlignment="1" applyProtection="1">
      <alignment horizontal="center" vertical="center"/>
      <protection hidden="1"/>
    </xf>
    <xf numFmtId="9" fontId="25" fillId="8" borderId="1" xfId="2" applyFont="1" applyFill="1" applyBorder="1" applyAlignment="1" applyProtection="1">
      <alignment horizontal="center" vertical="center"/>
      <protection hidden="1"/>
    </xf>
    <xf numFmtId="0" fontId="25" fillId="8" borderId="1" xfId="2" applyNumberFormat="1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76" fontId="10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vertical="center"/>
    </xf>
    <xf numFmtId="176" fontId="10" fillId="0" borderId="1" xfId="0" applyNumberFormat="1" applyFont="1" applyFill="1" applyBorder="1" applyAlignment="1" applyProtection="1">
      <alignment horizontal="right" vertical="center"/>
      <protection locked="0"/>
    </xf>
    <xf numFmtId="176" fontId="12" fillId="0" borderId="1" xfId="0" applyNumberFormat="1" applyFont="1" applyBorder="1" applyAlignment="1" applyProtection="1">
      <alignment horizontal="right" vertical="center"/>
      <protection locked="0"/>
    </xf>
    <xf numFmtId="176" fontId="12" fillId="7" borderId="14" xfId="0" applyNumberFormat="1" applyFont="1" applyFill="1" applyBorder="1" applyAlignment="1">
      <alignment horizontal="right" vertical="center"/>
    </xf>
    <xf numFmtId="0" fontId="12" fillId="0" borderId="1" xfId="0" applyFont="1" applyBorder="1" applyAlignment="1" applyProtection="1">
      <alignment horizontal="right" vertical="center"/>
      <protection locked="0"/>
    </xf>
    <xf numFmtId="176" fontId="12" fillId="0" borderId="1" xfId="0" applyNumberFormat="1" applyFont="1" applyFill="1" applyBorder="1" applyAlignment="1" applyProtection="1">
      <alignment vertical="center"/>
      <protection locked="0"/>
    </xf>
    <xf numFmtId="176" fontId="12" fillId="0" borderId="5" xfId="0" applyNumberFormat="1" applyFont="1" applyBorder="1" applyAlignment="1" applyProtection="1">
      <alignment vertical="center"/>
      <protection locked="0"/>
    </xf>
    <xf numFmtId="176" fontId="0" fillId="8" borderId="1" xfId="0" applyNumberFormat="1" applyFill="1" applyBorder="1" applyProtection="1">
      <alignment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5" fillId="13" borderId="1" xfId="0" applyFont="1" applyFill="1" applyBorder="1" applyAlignment="1" applyProtection="1">
      <alignment horizontal="center" vertical="center"/>
      <protection hidden="1"/>
    </xf>
    <xf numFmtId="0" fontId="5" fillId="13" borderId="31" xfId="0" applyFont="1" applyFill="1" applyBorder="1" applyAlignment="1" applyProtection="1">
      <alignment horizontal="center" vertical="center"/>
      <protection hidden="1"/>
    </xf>
    <xf numFmtId="0" fontId="5" fillId="13" borderId="6" xfId="0" applyFont="1" applyFill="1" applyBorder="1" applyAlignment="1" applyProtection="1">
      <alignment horizontal="center" vertical="center"/>
      <protection hidden="1"/>
    </xf>
    <xf numFmtId="0" fontId="10" fillId="0" borderId="6" xfId="0" applyFont="1" applyFill="1" applyBorder="1" applyProtection="1">
      <alignment vertical="center"/>
      <protection locked="0" hidden="1"/>
    </xf>
    <xf numFmtId="0" fontId="10" fillId="0" borderId="19" xfId="0" applyFont="1" applyFill="1" applyBorder="1" applyProtection="1">
      <alignment vertical="center"/>
      <protection locked="0" hidden="1"/>
    </xf>
    <xf numFmtId="0" fontId="10" fillId="0" borderId="22" xfId="0" applyFont="1" applyFill="1" applyBorder="1" applyProtection="1">
      <alignment vertical="center"/>
      <protection locked="0" hidden="1"/>
    </xf>
    <xf numFmtId="14" fontId="10" fillId="0" borderId="26" xfId="0" applyNumberFormat="1" applyFont="1" applyFill="1" applyBorder="1" applyProtection="1">
      <alignment vertical="center"/>
      <protection locked="0" hidden="1"/>
    </xf>
    <xf numFmtId="14" fontId="10" fillId="0" borderId="22" xfId="0" applyNumberFormat="1" applyFont="1" applyFill="1" applyBorder="1" applyProtection="1">
      <alignment vertical="center"/>
      <protection locked="0" hidden="1"/>
    </xf>
    <xf numFmtId="0" fontId="10" fillId="0" borderId="41" xfId="0" applyFont="1" applyFill="1" applyBorder="1" applyProtection="1">
      <alignment vertical="center"/>
      <protection locked="0" hidden="1"/>
    </xf>
    <xf numFmtId="0" fontId="10" fillId="0" borderId="26" xfId="0" applyFont="1" applyFill="1" applyBorder="1" applyProtection="1">
      <alignment vertical="center"/>
      <protection locked="0" hidden="1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Fill="1" applyProtection="1">
      <alignment vertical="center"/>
      <protection hidden="1"/>
    </xf>
    <xf numFmtId="0" fontId="42" fillId="0" borderId="0" xfId="0" applyFont="1" applyProtection="1">
      <alignment vertical="center"/>
      <protection hidden="1"/>
    </xf>
    <xf numFmtId="0" fontId="8" fillId="10" borderId="44" xfId="0" applyFont="1" applyFill="1" applyBorder="1" applyAlignment="1" applyProtection="1">
      <alignment horizontal="center" vertical="center"/>
      <protection hidden="1"/>
    </xf>
    <xf numFmtId="0" fontId="43" fillId="10" borderId="5" xfId="0" applyFont="1" applyFill="1" applyBorder="1" applyAlignment="1" applyProtection="1">
      <alignment horizontal="center" vertical="center"/>
      <protection hidden="1"/>
    </xf>
    <xf numFmtId="0" fontId="43" fillId="0" borderId="5" xfId="0" applyFont="1" applyBorder="1" applyProtection="1">
      <alignment vertical="center"/>
      <protection locked="0" hidden="1"/>
    </xf>
    <xf numFmtId="0" fontId="43" fillId="10" borderId="1" xfId="0" applyFont="1" applyFill="1" applyBorder="1" applyAlignment="1" applyProtection="1">
      <alignment horizontal="center" vertical="center"/>
      <protection hidden="1"/>
    </xf>
    <xf numFmtId="0" fontId="43" fillId="0" borderId="1" xfId="0" applyFont="1" applyBorder="1" applyProtection="1">
      <alignment vertical="center"/>
      <protection locked="0" hidden="1"/>
    </xf>
    <xf numFmtId="0" fontId="43" fillId="0" borderId="0" xfId="0" applyFont="1" applyAlignment="1" applyProtection="1">
      <alignment horizontal="left" vertical="center"/>
      <protection hidden="1"/>
    </xf>
    <xf numFmtId="0" fontId="43" fillId="0" borderId="0" xfId="0" applyFont="1" applyProtection="1">
      <alignment vertical="center"/>
      <protection hidden="1"/>
    </xf>
    <xf numFmtId="0" fontId="43" fillId="0" borderId="0" xfId="0" applyFont="1" applyFill="1" applyProtection="1">
      <alignment vertical="center"/>
      <protection hidden="1"/>
    </xf>
    <xf numFmtId="0" fontId="43" fillId="2" borderId="0" xfId="0" applyFont="1" applyFill="1" applyAlignment="1" applyProtection="1">
      <alignment horizontal="left" vertical="center"/>
      <protection hidden="1"/>
    </xf>
    <xf numFmtId="0" fontId="43" fillId="2" borderId="0" xfId="0" applyFont="1" applyFill="1" applyProtection="1">
      <alignment vertical="center"/>
      <protection hidden="1"/>
    </xf>
    <xf numFmtId="0" fontId="43" fillId="2" borderId="0" xfId="0" applyFont="1" applyFill="1" applyAlignment="1" applyProtection="1">
      <alignment horizontal="center" vertical="center"/>
      <protection hidden="1"/>
    </xf>
    <xf numFmtId="41" fontId="25" fillId="0" borderId="1" xfId="1" applyFont="1" applyFill="1" applyBorder="1" applyAlignment="1" applyProtection="1">
      <alignment horizontal="center" vertical="center"/>
      <protection locked="0" hidden="1"/>
    </xf>
    <xf numFmtId="0" fontId="43" fillId="8" borderId="5" xfId="0" applyFont="1" applyFill="1" applyBorder="1" applyAlignment="1" applyProtection="1">
      <alignment horizontal="left" vertical="center"/>
      <protection hidden="1"/>
    </xf>
    <xf numFmtId="0" fontId="8" fillId="10" borderId="44" xfId="0" applyFont="1" applyFill="1" applyBorder="1" applyAlignment="1" applyProtection="1">
      <alignment horizontal="center" vertical="center"/>
      <protection hidden="1"/>
    </xf>
    <xf numFmtId="0" fontId="5" fillId="14" borderId="34" xfId="0" applyFont="1" applyFill="1" applyBorder="1" applyAlignment="1" applyProtection="1">
      <alignment horizontal="left" vertical="center"/>
      <protection hidden="1"/>
    </xf>
    <xf numFmtId="0" fontId="5" fillId="14" borderId="37" xfId="0" applyFont="1" applyFill="1" applyBorder="1" applyAlignment="1" applyProtection="1">
      <alignment horizontal="left" vertical="center"/>
      <protection hidden="1"/>
    </xf>
    <xf numFmtId="0" fontId="5" fillId="14" borderId="38" xfId="0" applyFont="1" applyFill="1" applyBorder="1" applyAlignment="1" applyProtection="1">
      <alignment horizontal="left" vertical="center"/>
      <protection hidden="1"/>
    </xf>
    <xf numFmtId="0" fontId="5" fillId="14" borderId="32" xfId="0" applyFont="1" applyFill="1" applyBorder="1" applyAlignment="1" applyProtection="1">
      <alignment horizontal="left" vertical="center"/>
      <protection hidden="1"/>
    </xf>
    <xf numFmtId="0" fontId="5" fillId="14" borderId="7" xfId="0" applyFont="1" applyFill="1" applyBorder="1" applyAlignment="1" applyProtection="1">
      <alignment horizontal="left" vertical="center"/>
      <protection hidden="1"/>
    </xf>
    <xf numFmtId="0" fontId="5" fillId="14" borderId="6" xfId="0" applyFont="1" applyFill="1" applyBorder="1" applyAlignment="1" applyProtection="1">
      <alignment horizontal="left" vertical="center"/>
      <protection hidden="1"/>
    </xf>
    <xf numFmtId="0" fontId="5" fillId="14" borderId="18" xfId="0" applyFont="1" applyFill="1" applyBorder="1" applyAlignment="1" applyProtection="1">
      <alignment horizontal="left" vertical="center"/>
      <protection hidden="1"/>
    </xf>
    <xf numFmtId="0" fontId="5" fillId="14" borderId="19" xfId="0" applyFont="1" applyFill="1" applyBorder="1" applyAlignment="1" applyProtection="1">
      <alignment horizontal="left" vertical="center"/>
      <protection hidden="1"/>
    </xf>
    <xf numFmtId="0" fontId="5" fillId="14" borderId="21" xfId="0" applyFont="1" applyFill="1" applyBorder="1" applyAlignment="1" applyProtection="1">
      <alignment horizontal="left" vertical="center"/>
      <protection hidden="1"/>
    </xf>
    <xf numFmtId="0" fontId="5" fillId="14" borderId="22" xfId="0" applyFont="1" applyFill="1" applyBorder="1" applyAlignment="1" applyProtection="1">
      <alignment horizontal="left" vertical="center"/>
      <protection hidden="1"/>
    </xf>
    <xf numFmtId="0" fontId="5" fillId="14" borderId="18" xfId="0" applyFont="1" applyFill="1" applyBorder="1" applyAlignment="1" applyProtection="1">
      <alignment vertical="center"/>
      <protection hidden="1"/>
    </xf>
    <xf numFmtId="0" fontId="5" fillId="14" borderId="19" xfId="0" applyFont="1" applyFill="1" applyBorder="1" applyAlignment="1" applyProtection="1">
      <alignment vertical="center"/>
      <protection hidden="1"/>
    </xf>
    <xf numFmtId="0" fontId="5" fillId="14" borderId="25" xfId="0" applyFont="1" applyFill="1" applyBorder="1" applyAlignment="1" applyProtection="1">
      <alignment vertical="center"/>
      <protection hidden="1"/>
    </xf>
    <xf numFmtId="0" fontId="5" fillId="14" borderId="26" xfId="0" applyFont="1" applyFill="1" applyBorder="1" applyAlignment="1" applyProtection="1">
      <alignment vertical="center"/>
      <protection hidden="1"/>
    </xf>
    <xf numFmtId="0" fontId="5" fillId="14" borderId="39" xfId="0" applyFont="1" applyFill="1" applyBorder="1" applyAlignment="1" applyProtection="1">
      <alignment vertical="center"/>
      <protection hidden="1"/>
    </xf>
    <xf numFmtId="0" fontId="5" fillId="14" borderId="30" xfId="0" applyFont="1" applyFill="1" applyBorder="1" applyAlignment="1" applyProtection="1">
      <alignment horizontal="left" vertical="center"/>
      <protection hidden="1"/>
    </xf>
    <xf numFmtId="0" fontId="5" fillId="14" borderId="1" xfId="0" applyFont="1" applyFill="1" applyBorder="1" applyAlignment="1" applyProtection="1">
      <alignment vertical="center"/>
      <protection hidden="1"/>
    </xf>
    <xf numFmtId="0" fontId="5" fillId="13" borderId="30" xfId="0" applyFont="1" applyFill="1" applyBorder="1" applyAlignment="1" applyProtection="1">
      <alignment horizontal="center" vertical="center"/>
      <protection hidden="1"/>
    </xf>
    <xf numFmtId="0" fontId="5" fillId="13" borderId="1" xfId="0" applyFont="1" applyFill="1" applyBorder="1" applyAlignment="1" applyProtection="1">
      <alignment horizontal="center" vertical="center"/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0" fontId="10" fillId="0" borderId="28" xfId="0" applyFont="1" applyBorder="1" applyAlignment="1" applyProtection="1">
      <alignment horizontal="center" vertical="center"/>
      <protection hidden="1"/>
    </xf>
    <xf numFmtId="0" fontId="10" fillId="0" borderId="29" xfId="0" applyFont="1" applyBorder="1" applyAlignment="1" applyProtection="1">
      <alignment horizontal="center" vertical="center"/>
      <protection hidden="1"/>
    </xf>
    <xf numFmtId="0" fontId="5" fillId="14" borderId="34" xfId="0" applyFont="1" applyFill="1" applyBorder="1" applyAlignment="1" applyProtection="1">
      <alignment horizontal="center" vertical="center"/>
      <protection hidden="1"/>
    </xf>
    <xf numFmtId="0" fontId="5" fillId="14" borderId="37" xfId="0" applyFont="1" applyFill="1" applyBorder="1" applyAlignment="1" applyProtection="1">
      <alignment horizontal="center" vertical="center"/>
      <protection hidden="1"/>
    </xf>
    <xf numFmtId="0" fontId="5" fillId="14" borderId="43" xfId="0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658858</xdr:colOff>
      <xdr:row>5</xdr:row>
      <xdr:rowOff>17689</xdr:rowOff>
    </xdr:from>
    <xdr:to>
      <xdr:col>7</xdr:col>
      <xdr:colOff>13608</xdr:colOff>
      <xdr:row>29</xdr:row>
      <xdr:rowOff>99060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506BB76-A501-4A37-AF23-D785E676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58" y="1283153"/>
          <a:ext cx="4403000" cy="6150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505369</xdr:colOff>
      <xdr:row>7</xdr:row>
      <xdr:rowOff>119101</xdr:rowOff>
    </xdr:from>
    <xdr:to>
      <xdr:col>12</xdr:col>
      <xdr:colOff>256776</xdr:colOff>
      <xdr:row>21</xdr:row>
      <xdr:rowOff>42105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736F0-EB04-41E3-A2B8-633C1B59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5726" y="1928851"/>
          <a:ext cx="10160871" cy="3352004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19&#45380;%20&#51221;&#48372;&#44592;&#49696;&#48512;&#47928;&#44228;&#54925;&#49436;\19&#45380;%20&#51221;&#48372;&#44592;&#49696;&#48512;&#47928;(&#44033;%20&#54016;%20&#48372;&#44256;&#49436;)\19&#45380;_&#51221;&#48372;&#44592;&#49696;&#48512;&#47928;&#44228;&#54925;&#49436;_&#51473;&#49548;&#49436;&#48124;&#44160;&#49324;&#54016;_(&#52712;&#54633;F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SS_NT371B5L/Desktop/&#44160;&#49324;&#44592;&#54925;&#54016;%20&#50629;&#47924;/19&#45380;%20&#51221;&#48372;&#44592;&#49696;&#48512;&#47928;&#44228;&#54925;&#49436;/19&#45380;%20&#51221;&#48372;&#44592;&#49696;&#48512;&#47928;(&#48372;&#44256;&#49436;&#50857;)/done/19&#45380;_&#51221;&#48372;&#44592;&#49696;&#48512;&#47928;&#44228;&#54925;&#49436;_&#51473;&#49548;&#49436;&#48124;&#44160;&#49324;&#54016;_&#51089;&#50629;&#50857;(&#52380;&#50980;&#51221;_&#51089;&#50629;&#51473;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성성 판단"/>
      <sheetName val="1목표"/>
      <sheetName val="2실적"/>
      <sheetName val="3계획"/>
      <sheetName val="4인력"/>
      <sheetName val="5예산"/>
      <sheetName val="6기타"/>
      <sheetName val="점수 변환"/>
      <sheetName val="점수표"/>
      <sheetName val="전금업자목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1">
          <cell r="L1" t="str">
            <v>O</v>
          </cell>
          <cell r="M1" t="str">
            <v>P</v>
          </cell>
          <cell r="N1" t="str">
            <v>P</v>
          </cell>
        </row>
        <row r="2">
          <cell r="L2" t="str">
            <v>X</v>
          </cell>
          <cell r="M2" t="str">
            <v>D</v>
          </cell>
          <cell r="N2" t="str">
            <v>D</v>
          </cell>
        </row>
        <row r="3">
          <cell r="M3" t="str">
            <v>X</v>
          </cell>
          <cell r="N3" t="str">
            <v>X</v>
          </cell>
        </row>
        <row r="4">
          <cell r="M4" t="str">
            <v>△</v>
          </cell>
          <cell r="N4" t="str">
            <v>V</v>
          </cell>
        </row>
        <row r="5">
          <cell r="N5" t="str">
            <v>△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성성 판단"/>
      <sheetName val="1목표"/>
      <sheetName val="2실적"/>
      <sheetName val="3계획"/>
      <sheetName val="4인력"/>
      <sheetName val="5예산"/>
      <sheetName val="6기타"/>
      <sheetName val="점수 변환"/>
      <sheetName val="전금업자목록"/>
      <sheetName val="연락처"/>
      <sheetName val="점수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N1" t="str">
            <v>P</v>
          </cell>
        </row>
        <row r="2">
          <cell r="N2" t="str">
            <v>D</v>
          </cell>
        </row>
        <row r="3">
          <cell r="N3" t="str">
            <v>X</v>
          </cell>
        </row>
        <row r="4">
          <cell r="N4" t="str">
            <v>V</v>
          </cell>
        </row>
        <row r="5">
          <cell r="N5" t="str">
            <v>△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5C0D-8F44-4638-8C56-2523FC8D0D82}">
  <sheetPr>
    <pageSetUpPr fitToPage="1"/>
  </sheetPr>
  <dimension ref="B2:I41"/>
  <sheetViews>
    <sheetView tabSelected="1" zoomScale="85" zoomScaleNormal="85" workbookViewId="0">
      <selection activeCell="I16" sqref="I16"/>
    </sheetView>
  </sheetViews>
  <sheetFormatPr defaultRowHeight="26.25" customHeight="1" x14ac:dyDescent="0.3"/>
  <cols>
    <col min="1" max="1" width="11" style="59" bestFit="1" customWidth="1"/>
    <col min="2" max="2" width="21.75" style="95" bestFit="1" customWidth="1"/>
    <col min="3" max="3" width="8.625" style="38" bestFit="1" customWidth="1"/>
    <col min="4" max="4" width="17.875" style="38" bestFit="1" customWidth="1"/>
    <col min="5" max="5" width="9.75" style="97" bestFit="1" customWidth="1"/>
    <col min="6" max="6" width="19.125" style="96" hidden="1" customWidth="1"/>
    <col min="7" max="7" width="9" style="96" hidden="1" customWidth="1"/>
    <col min="8" max="8" width="68.375" style="38" bestFit="1" customWidth="1"/>
    <col min="9" max="9" width="33" style="59" bestFit="1" customWidth="1"/>
    <col min="10" max="16384" width="9" style="59"/>
  </cols>
  <sheetData>
    <row r="2" spans="2:9" ht="26.25" customHeight="1" x14ac:dyDescent="0.3">
      <c r="B2" s="98" t="s">
        <v>302</v>
      </c>
    </row>
    <row r="3" spans="2:9" ht="26.25" customHeight="1" thickBot="1" x14ac:dyDescent="0.35">
      <c r="B3" s="98"/>
    </row>
    <row r="4" spans="2:9" ht="26.25" customHeight="1" x14ac:dyDescent="0.3">
      <c r="B4" s="205" t="s">
        <v>303</v>
      </c>
      <c r="C4" s="206"/>
      <c r="D4" s="206"/>
      <c r="E4" s="206"/>
      <c r="F4" s="206"/>
      <c r="G4" s="206"/>
      <c r="H4" s="207"/>
      <c r="I4" s="156" t="s">
        <v>304</v>
      </c>
    </row>
    <row r="5" spans="2:9" ht="26.25" customHeight="1" x14ac:dyDescent="0.3">
      <c r="B5" s="203" t="s">
        <v>288</v>
      </c>
      <c r="C5" s="204"/>
      <c r="D5" s="204"/>
      <c r="E5" s="157" t="s">
        <v>289</v>
      </c>
      <c r="F5" s="107" t="s">
        <v>290</v>
      </c>
      <c r="G5" s="107" t="s">
        <v>290</v>
      </c>
      <c r="H5" s="158" t="s">
        <v>254</v>
      </c>
      <c r="I5" s="159" t="s">
        <v>233</v>
      </c>
    </row>
    <row r="6" spans="2:9" ht="26.25" customHeight="1" x14ac:dyDescent="0.3">
      <c r="B6" s="189" t="s">
        <v>291</v>
      </c>
      <c r="C6" s="190"/>
      <c r="D6" s="191"/>
      <c r="E6" s="106" t="str">
        <f>IF(AND('0. 표지'!I8="O",'0. 표지'!N15="O"),"O","X")</f>
        <v>X</v>
      </c>
      <c r="F6" s="107"/>
      <c r="G6" s="107"/>
      <c r="H6" s="108" t="str">
        <f>IF(E6="X",IF('0. 표지'!N15="O"," 파일 첨부 확인",IF('0. 표지'!I8="O","대표자 서명 확인"," 미기재 (0. 표지)")))</f>
        <v xml:space="preserve"> 미기재 (0. 표지)</v>
      </c>
      <c r="I6" s="160"/>
    </row>
    <row r="7" spans="2:9" ht="26.25" customHeight="1" x14ac:dyDescent="0.3">
      <c r="B7" s="189" t="s">
        <v>292</v>
      </c>
      <c r="C7" s="190"/>
      <c r="D7" s="191"/>
      <c r="E7" s="109" t="str">
        <f>IF(COUNTA('1.개요'!$C$6:$C$7)=2,IF(AND('99.자체점검결과'!F7&gt;='99.자체점검결과'!G7,'99.자체점검결과'!F7&lt;='99.자체점검결과'!G7+2),"O","X"),"X")</f>
        <v>X</v>
      </c>
      <c r="F7" s="107">
        <f>MONTH('1.개요'!$C$6)</f>
        <v>1</v>
      </c>
      <c r="G7" s="107">
        <f>MOD('1.개요'!$C$7,12)+1</f>
        <v>1</v>
      </c>
      <c r="H7" s="108" t="str">
        <f>IF(COUNTA('1.개요'!$C$6:$C$7)&lt;&gt;2," 미기재 항목 존재 (1. 개요 - 제출일 또는 결산월)",IF($E$7="X"," 기한 미준수 사유 작성(비고)",""))</f>
        <v xml:space="preserve"> 미기재 항목 존재 (1. 개요 - 제출일 또는 결산월)</v>
      </c>
      <c r="I7" s="160"/>
    </row>
    <row r="8" spans="2:9" ht="26.25" customHeight="1" x14ac:dyDescent="0.3">
      <c r="B8" s="189" t="s">
        <v>293</v>
      </c>
      <c r="C8" s="190"/>
      <c r="D8" s="191"/>
      <c r="E8" s="106" t="str">
        <f>IF(AND('1.개요'!$C$4&gt;0,'1.개요'!$C$5="O"),"O","X")</f>
        <v>X</v>
      </c>
      <c r="F8" s="107"/>
      <c r="G8" s="107"/>
      <c r="H8" s="108" t="str">
        <f>IF($E$8="X"," 미기재(오기재) 항목 존재(1. 개요 - 심의의결 관련)","")</f>
        <v xml:space="preserve"> 미기재(오기재) 항목 존재(1. 개요 - 심의의결 관련)</v>
      </c>
      <c r="I8" s="160"/>
    </row>
    <row r="9" spans="2:9" ht="26.25" customHeight="1" x14ac:dyDescent="0.3">
      <c r="B9" s="201" t="s">
        <v>294</v>
      </c>
      <c r="C9" s="192" t="s">
        <v>252</v>
      </c>
      <c r="D9" s="193"/>
      <c r="E9" s="110" t="str">
        <f>IF(F9&gt;0,"O","X")</f>
        <v>X</v>
      </c>
      <c r="F9" s="111">
        <f>COUNTA('2. 목표 및 전략'!$C$5:$C$9)</f>
        <v>0</v>
      </c>
      <c r="G9" s="111"/>
      <c r="H9" s="112" t="str">
        <f>IF($F$9=0," 미기재 (2. 목표 및 전략 - 추진 목표)","")</f>
        <v xml:space="preserve"> 미기재 (2. 목표 및 전략 - 추진 목표)</v>
      </c>
      <c r="I9" s="161"/>
    </row>
    <row r="10" spans="2:9" ht="26.25" customHeight="1" x14ac:dyDescent="0.3">
      <c r="B10" s="186"/>
      <c r="C10" s="194" t="s">
        <v>253</v>
      </c>
      <c r="D10" s="195"/>
      <c r="E10" s="113" t="str">
        <f>IF(AND(F10&gt;0,G10&gt;0),"O","X")</f>
        <v>X</v>
      </c>
      <c r="F10" s="114">
        <f>COUNTA('2. 목표 및 전략'!$C$14:$C$23)</f>
        <v>0</v>
      </c>
      <c r="G10" s="114">
        <f>COUNTA('2. 목표 및 전략'!$D$14:$D$23)</f>
        <v>0</v>
      </c>
      <c r="H10" s="115" t="str">
        <f>IF($F$10=0," 미기재 (2. 목표 및 전략 - 전략 내용) ","") &amp; IF($G$10=0,"미기재 (2. 목표 및 전략 - 상세전략)","")</f>
        <v xml:space="preserve"> 미기재 (2. 목표 및 전략 - 전략 내용) 미기재 (2. 목표 및 전략 - 상세전략)</v>
      </c>
      <c r="I10" s="162"/>
    </row>
    <row r="11" spans="2:9" ht="26.25" customHeight="1" x14ac:dyDescent="0.3">
      <c r="B11" s="189" t="s">
        <v>295</v>
      </c>
      <c r="C11" s="190"/>
      <c r="D11" s="191"/>
      <c r="E11" s="106" t="str">
        <f>IF($F$11&gt;0,"O","X")</f>
        <v>X</v>
      </c>
      <c r="F11" s="107">
        <f>SUM('3. 추진실적'!$J$5:$J$34)</f>
        <v>0</v>
      </c>
      <c r="G11" s="107"/>
      <c r="H11" s="108" t="str">
        <f>IF($F$11=0," 미기재 (3. 추진실적)","")</f>
        <v xml:space="preserve"> 미기재 (3. 추진실적)</v>
      </c>
      <c r="I11" s="160"/>
    </row>
    <row r="12" spans="2:9" ht="26.25" customHeight="1" x14ac:dyDescent="0.3">
      <c r="B12" s="189" t="s">
        <v>296</v>
      </c>
      <c r="C12" s="190"/>
      <c r="D12" s="191"/>
      <c r="E12" s="106" t="str">
        <f>IF($F$12&gt;0,"O","X")</f>
        <v>X</v>
      </c>
      <c r="F12" s="107">
        <f>SUM('4. 추진계획'!$I$5:$I$34)</f>
        <v>0</v>
      </c>
      <c r="G12" s="107"/>
      <c r="H12" s="108" t="str">
        <f>IF($F$12=0," 미기재 (4. 추진계획)","")</f>
        <v xml:space="preserve"> 미기재 (4. 추진계획)</v>
      </c>
      <c r="I12" s="160"/>
    </row>
    <row r="13" spans="2:9" ht="26.25" customHeight="1" x14ac:dyDescent="0.3">
      <c r="B13" s="208" t="s">
        <v>297</v>
      </c>
      <c r="C13" s="202" t="s">
        <v>208</v>
      </c>
      <c r="D13" s="116" t="s">
        <v>235</v>
      </c>
      <c r="E13" s="110" t="str">
        <f>IF($F$13=6,"O","X")</f>
        <v>X</v>
      </c>
      <c r="F13" s="111">
        <f>SUM('5-1.인력현황'!$J$5:$J$21)</f>
        <v>0</v>
      </c>
      <c r="G13" s="111"/>
      <c r="H13" s="112" t="str">
        <f>IF($E$13="X"," 시트 내 미작성 항목 유무 확인","")</f>
        <v xml:space="preserve"> 시트 내 미작성 항목 유무 확인</v>
      </c>
      <c r="I13" s="161"/>
    </row>
    <row r="14" spans="2:9" ht="26.25" customHeight="1" x14ac:dyDescent="0.3">
      <c r="B14" s="209"/>
      <c r="C14" s="202"/>
      <c r="D14" s="117" t="s">
        <v>209</v>
      </c>
      <c r="E14" s="118" t="str">
        <f>IF('5-1.인력현황'!$C$11&gt;0,"O","X")</f>
        <v>X</v>
      </c>
      <c r="F14" s="119" t="e">
        <f>'5-1.인력현황'!$C$11/'5-1.인력현황'!$C$10*100</f>
        <v>#DIV/0!</v>
      </c>
      <c r="G14" s="120">
        <v>0.05</v>
      </c>
      <c r="H14" s="121" t="str">
        <f>IF('5-1.인력현황'!$C$11=0," 정보기술부문 인력 미입력","")</f>
        <v xml:space="preserve"> 정보기술부문 인력 미입력</v>
      </c>
      <c r="I14" s="163"/>
    </row>
    <row r="15" spans="2:9" ht="26.25" customHeight="1" x14ac:dyDescent="0.3">
      <c r="B15" s="209"/>
      <c r="C15" s="202"/>
      <c r="D15" s="122" t="s">
        <v>210</v>
      </c>
      <c r="E15" s="113" t="str">
        <f>IF('5-1.인력현황'!$C$12&gt;0,"O","X")</f>
        <v>X</v>
      </c>
      <c r="F15" s="123" t="e">
        <f>'5-1.인력현황'!$C$12/'5-1.인력현황'!$C$11*100</f>
        <v>#DIV/0!</v>
      </c>
      <c r="G15" s="124">
        <v>0.05</v>
      </c>
      <c r="H15" s="125" t="str">
        <f>IF('5-1.인력현황'!$C$12=0," 정보보호부문 인력 미입력","")</f>
        <v xml:space="preserve"> 정보보호부문 인력 미입력</v>
      </c>
      <c r="I15" s="164"/>
    </row>
    <row r="16" spans="2:9" ht="26.25" customHeight="1" x14ac:dyDescent="0.3">
      <c r="B16" s="209"/>
      <c r="C16" s="202" t="s">
        <v>207</v>
      </c>
      <c r="D16" s="126" t="s">
        <v>141</v>
      </c>
      <c r="E16" s="110" t="str">
        <f>IF(OR(F16="O",F16="X"),IF(G16="O",(IF(G16=F16,"적정","부적정")),"적정"),"X")</f>
        <v>X</v>
      </c>
      <c r="F16" s="111">
        <f>'5-1.인력현황'!$F$17</f>
        <v>0</v>
      </c>
      <c r="G16" s="111" t="str">
        <f>IF(AND('5-1.인력현황'!$B$21&gt;=20000,'5-1.인력현황'!$C$21&gt;=300),"O","X")</f>
        <v>X</v>
      </c>
      <c r="H16" s="112" t="str">
        <f>IF(ISBLANK('5-1.인력현황'!$F$17)," 임원 여부 미입력","")</f>
        <v xml:space="preserve"> 임원 여부 미입력</v>
      </c>
      <c r="I16" s="161"/>
    </row>
    <row r="17" spans="2:9" ht="26.25" customHeight="1" x14ac:dyDescent="0.3">
      <c r="B17" s="209"/>
      <c r="C17" s="202"/>
      <c r="D17" s="122" t="s">
        <v>142</v>
      </c>
      <c r="E17" s="113" t="str">
        <f>IF(OR(F17="O",F17="X"),IF(G17="X",(IF(G17=F17,"적정","부적정")),"적정"),"X")</f>
        <v>X</v>
      </c>
      <c r="F17" s="114">
        <f>'5-1.인력현황'!$G$17</f>
        <v>0</v>
      </c>
      <c r="G17" s="114" t="str">
        <f>IF(AND('5-1.인력현황'!$B$21&gt;=100000,'5-1.인력현황'!$C$21&gt;=1000),"X","O")</f>
        <v>O</v>
      </c>
      <c r="H17" s="115" t="str">
        <f>IF(ISBLANK('5-1.인력현황'!$G$17)," 겸직 여부 미입력","")</f>
        <v xml:space="preserve"> 겸직 여부 미입력</v>
      </c>
      <c r="I17" s="162"/>
    </row>
    <row r="18" spans="2:9" ht="26.25" customHeight="1" x14ac:dyDescent="0.3">
      <c r="B18" s="209"/>
      <c r="C18" s="202" t="s">
        <v>211</v>
      </c>
      <c r="D18" s="202"/>
      <c r="E18" s="106" t="str">
        <f>IF(AND('5-2. 조직도'!$C$5="O",'5-2. 조직도'!$D$5="O"),"O","X")</f>
        <v>X</v>
      </c>
      <c r="F18" s="107"/>
      <c r="G18" s="107"/>
      <c r="H18" s="108" t="str">
        <f>IF($E$18="X"," 파일첨부여부 항목 확인")</f>
        <v xml:space="preserve"> 파일첨부여부 항목 확인</v>
      </c>
      <c r="I18" s="160"/>
    </row>
    <row r="19" spans="2:9" ht="26.25" customHeight="1" x14ac:dyDescent="0.3">
      <c r="B19" s="210"/>
      <c r="C19" s="127" t="s">
        <v>313</v>
      </c>
      <c r="D19" s="128"/>
      <c r="E19" s="129" t="str">
        <f>IF($F$19&gt;0,"O","X")</f>
        <v>X</v>
      </c>
      <c r="F19" s="130">
        <f>SUM('5-3. IT인력 연수 계획'!$I$4:$I$33)</f>
        <v>0</v>
      </c>
      <c r="G19" s="130"/>
      <c r="H19" s="131" t="str">
        <f>IF(E19="X","연수계획 미수립 사유 작성(비고)","")</f>
        <v>연수계획 미수립 사유 작성(비고)</v>
      </c>
      <c r="I19" s="165"/>
    </row>
    <row r="20" spans="2:9" ht="26.25" customHeight="1" x14ac:dyDescent="0.3">
      <c r="B20" s="186" t="s">
        <v>298</v>
      </c>
      <c r="C20" s="196" t="s">
        <v>285</v>
      </c>
      <c r="D20" s="197"/>
      <c r="E20" s="110" t="str">
        <f>IF(AND('6.예산'!$D$4&gt;0,'6.예산'!$D$5&gt;0,'6.예산'!$D$15&gt;0),"O","X")</f>
        <v>X</v>
      </c>
      <c r="F20" s="111"/>
      <c r="G20" s="111"/>
      <c r="H20" s="112"/>
      <c r="I20" s="161"/>
    </row>
    <row r="21" spans="2:9" ht="26.25" customHeight="1" x14ac:dyDescent="0.3">
      <c r="B21" s="187"/>
      <c r="C21" s="198" t="s">
        <v>286</v>
      </c>
      <c r="D21" s="199"/>
      <c r="E21" s="118" t="str">
        <f>IF(AND('6.예산'!$E$4&gt;0,'6.예산'!$E$5&gt;0,'6.예산'!$E$15&gt;0),"O","X")</f>
        <v>X</v>
      </c>
      <c r="F21" s="132"/>
      <c r="G21" s="132"/>
      <c r="H21" s="133"/>
      <c r="I21" s="166"/>
    </row>
    <row r="22" spans="2:9" ht="26.25" customHeight="1" thickBot="1" x14ac:dyDescent="0.35">
      <c r="B22" s="188"/>
      <c r="C22" s="200" t="s">
        <v>287</v>
      </c>
      <c r="D22" s="200"/>
      <c r="E22" s="134" t="str">
        <f>IF(AND('6.예산'!$G$4&gt;0,'6.예산'!$G$5&gt;0,'6.예산'!$G$15&gt;0),"O","X")</f>
        <v>X</v>
      </c>
      <c r="F22" s="135" t="e">
        <f>'6.예산'!$G$15/'6.예산'!$G$5*100</f>
        <v>#DIV/0!</v>
      </c>
      <c r="G22" s="136">
        <v>7.0000000000000007E-2</v>
      </c>
      <c r="H22" s="137"/>
      <c r="I22" s="162"/>
    </row>
    <row r="23" spans="2:9" ht="26.25" customHeight="1" x14ac:dyDescent="0.3">
      <c r="B23" s="167"/>
      <c r="C23" s="168"/>
      <c r="D23" s="168"/>
      <c r="E23" s="169"/>
      <c r="F23" s="170"/>
      <c r="G23" s="170"/>
      <c r="H23" s="168"/>
      <c r="I23" s="171"/>
    </row>
    <row r="24" spans="2:9" s="142" customFormat="1" ht="26.25" customHeight="1" thickBot="1" x14ac:dyDescent="0.35">
      <c r="B24" s="185" t="s">
        <v>344</v>
      </c>
      <c r="C24" s="185"/>
      <c r="D24" s="185"/>
      <c r="E24" s="185"/>
      <c r="F24" s="185"/>
      <c r="G24" s="185"/>
      <c r="H24" s="185"/>
      <c r="I24" s="172" t="s">
        <v>350</v>
      </c>
    </row>
    <row r="25" spans="2:9" ht="26.25" customHeight="1" thickTop="1" x14ac:dyDescent="0.3">
      <c r="B25" s="173" t="s">
        <v>318</v>
      </c>
      <c r="C25" s="184">
        <f>IFERROR(VLOOKUP($B25,'2. 목표 및 전략'!$B$5:$C$9,2,0),"ERROR")</f>
        <v>0</v>
      </c>
      <c r="D25" s="184"/>
      <c r="E25" s="184"/>
      <c r="F25" s="184"/>
      <c r="G25" s="184"/>
      <c r="H25" s="184"/>
      <c r="I25" s="174"/>
    </row>
    <row r="26" spans="2:9" ht="26.25" customHeight="1" x14ac:dyDescent="0.3">
      <c r="B26" s="175" t="s">
        <v>319</v>
      </c>
      <c r="C26" s="184">
        <f>IFERROR(VLOOKUP($B26,'2. 목표 및 전략'!$B$5:$C$9,2,0),"ERROR")</f>
        <v>0</v>
      </c>
      <c r="D26" s="184"/>
      <c r="E26" s="184"/>
      <c r="F26" s="184"/>
      <c r="G26" s="184"/>
      <c r="H26" s="184"/>
      <c r="I26" s="176"/>
    </row>
    <row r="27" spans="2:9" ht="26.25" customHeight="1" x14ac:dyDescent="0.3">
      <c r="B27" s="175" t="s">
        <v>320</v>
      </c>
      <c r="C27" s="184">
        <f>IFERROR(VLOOKUP($B27,'2. 목표 및 전략'!$B$5:$C$9,2,0),"ERROR")</f>
        <v>0</v>
      </c>
      <c r="D27" s="184"/>
      <c r="E27" s="184"/>
      <c r="F27" s="184"/>
      <c r="G27" s="184"/>
      <c r="H27" s="184"/>
      <c r="I27" s="176"/>
    </row>
    <row r="28" spans="2:9" ht="26.25" customHeight="1" x14ac:dyDescent="0.3">
      <c r="B28" s="177"/>
      <c r="C28" s="178"/>
      <c r="D28" s="178"/>
      <c r="E28" s="156"/>
      <c r="F28" s="179"/>
      <c r="G28" s="179"/>
      <c r="H28" s="178"/>
      <c r="I28" s="178"/>
    </row>
    <row r="29" spans="2:9" ht="26.25" customHeight="1" thickBot="1" x14ac:dyDescent="0.35">
      <c r="B29" s="185" t="s">
        <v>345</v>
      </c>
      <c r="C29" s="185"/>
      <c r="D29" s="185"/>
      <c r="E29" s="185"/>
      <c r="F29" s="185"/>
      <c r="G29" s="185"/>
      <c r="H29" s="185"/>
      <c r="I29" s="172" t="s">
        <v>350</v>
      </c>
    </row>
    <row r="30" spans="2:9" ht="26.25" customHeight="1" thickTop="1" x14ac:dyDescent="0.3">
      <c r="B30" s="173" t="s">
        <v>321</v>
      </c>
      <c r="C30" s="184">
        <f>IFERROR(VLOOKUP($B30,'2. 목표 및 전략'!$B$13:$C$23,2,0),"ERROR")</f>
        <v>0</v>
      </c>
      <c r="D30" s="184"/>
      <c r="E30" s="184"/>
      <c r="F30" s="184"/>
      <c r="G30" s="184"/>
      <c r="H30" s="184"/>
      <c r="I30" s="174"/>
    </row>
    <row r="31" spans="2:9" ht="26.25" customHeight="1" x14ac:dyDescent="0.3">
      <c r="B31" s="175" t="s">
        <v>322</v>
      </c>
      <c r="C31" s="184">
        <f>IFERROR(VLOOKUP($B31,'2. 목표 및 전략'!$B$13:$C$23,2,0),"ERROR")</f>
        <v>0</v>
      </c>
      <c r="D31" s="184"/>
      <c r="E31" s="184"/>
      <c r="F31" s="184"/>
      <c r="G31" s="184"/>
      <c r="H31" s="184"/>
      <c r="I31" s="176"/>
    </row>
    <row r="32" spans="2:9" ht="26.25" customHeight="1" x14ac:dyDescent="0.3">
      <c r="B32" s="175" t="s">
        <v>244</v>
      </c>
      <c r="C32" s="184">
        <f>IFERROR(VLOOKUP($B32,'2. 목표 및 전략'!$B$13:$C$23,2,0),"ERROR")</f>
        <v>0</v>
      </c>
      <c r="D32" s="184"/>
      <c r="E32" s="184"/>
      <c r="F32" s="184"/>
      <c r="G32" s="184"/>
      <c r="H32" s="184"/>
      <c r="I32" s="176"/>
    </row>
    <row r="33" spans="2:9" ht="26.25" customHeight="1" x14ac:dyDescent="0.3">
      <c r="B33" s="167"/>
      <c r="C33" s="168"/>
      <c r="D33" s="168"/>
      <c r="E33" s="169"/>
      <c r="F33" s="170"/>
      <c r="G33" s="170"/>
      <c r="H33" s="168"/>
      <c r="I33" s="171"/>
    </row>
    <row r="34" spans="2:9" ht="26.25" customHeight="1" x14ac:dyDescent="0.3">
      <c r="B34" s="180" t="s">
        <v>299</v>
      </c>
      <c r="C34" s="181"/>
      <c r="D34" s="181"/>
      <c r="E34" s="182"/>
      <c r="F34" s="181"/>
      <c r="G34" s="181"/>
      <c r="H34" s="181"/>
      <c r="I34" s="181"/>
    </row>
    <row r="35" spans="2:9" ht="26.25" customHeight="1" x14ac:dyDescent="0.3">
      <c r="B35" s="180" t="s">
        <v>300</v>
      </c>
      <c r="C35" s="181"/>
      <c r="D35" s="181"/>
      <c r="E35" s="182"/>
      <c r="F35" s="181"/>
      <c r="G35" s="181"/>
      <c r="H35" s="181"/>
      <c r="I35" s="181"/>
    </row>
    <row r="36" spans="2:9" ht="26.25" customHeight="1" x14ac:dyDescent="0.3">
      <c r="B36" s="180" t="s">
        <v>301</v>
      </c>
      <c r="C36" s="181"/>
      <c r="D36" s="181"/>
      <c r="E36" s="182"/>
      <c r="F36" s="181"/>
      <c r="G36" s="181"/>
      <c r="H36" s="181"/>
      <c r="I36" s="181"/>
    </row>
    <row r="37" spans="2:9" ht="26.25" customHeight="1" x14ac:dyDescent="0.3">
      <c r="B37" s="180" t="s">
        <v>305</v>
      </c>
      <c r="C37" s="181"/>
      <c r="D37" s="181"/>
      <c r="E37" s="182"/>
      <c r="F37" s="181"/>
      <c r="G37" s="181"/>
      <c r="H37" s="181"/>
      <c r="I37" s="181"/>
    </row>
    <row r="38" spans="2:9" ht="26.25" customHeight="1" x14ac:dyDescent="0.3">
      <c r="B38" s="180" t="s">
        <v>346</v>
      </c>
      <c r="C38" s="181"/>
      <c r="D38" s="181"/>
      <c r="E38" s="182"/>
      <c r="F38" s="181"/>
      <c r="G38" s="181"/>
      <c r="H38" s="181"/>
      <c r="I38" s="181"/>
    </row>
    <row r="39" spans="2:9" ht="26.25" customHeight="1" x14ac:dyDescent="0.3">
      <c r="B39" s="180" t="s">
        <v>347</v>
      </c>
      <c r="C39" s="181"/>
      <c r="D39" s="181"/>
      <c r="E39" s="182"/>
      <c r="F39" s="181"/>
      <c r="G39" s="181"/>
      <c r="H39" s="181"/>
      <c r="I39" s="181"/>
    </row>
    <row r="40" spans="2:9" ht="26.25" customHeight="1" x14ac:dyDescent="0.3">
      <c r="B40" s="180" t="s">
        <v>348</v>
      </c>
      <c r="C40" s="181"/>
      <c r="D40" s="181"/>
      <c r="E40" s="182"/>
      <c r="F40" s="181"/>
      <c r="G40" s="181"/>
      <c r="H40" s="181"/>
      <c r="I40" s="181"/>
    </row>
    <row r="41" spans="2:9" ht="26.25" customHeight="1" x14ac:dyDescent="0.3">
      <c r="B41" s="180" t="s">
        <v>349</v>
      </c>
      <c r="C41" s="181"/>
      <c r="D41" s="181"/>
      <c r="E41" s="182"/>
      <c r="F41" s="181"/>
      <c r="G41" s="181"/>
      <c r="H41" s="181"/>
      <c r="I41" s="181"/>
    </row>
  </sheetData>
  <sheetProtection password="DE44" sheet="1" objects="1" scenarios="1" formatRows="0"/>
  <mergeCells count="26">
    <mergeCell ref="B5:D5"/>
    <mergeCell ref="B4:H4"/>
    <mergeCell ref="C16:C17"/>
    <mergeCell ref="C18:D18"/>
    <mergeCell ref="B13:B19"/>
    <mergeCell ref="B20:B22"/>
    <mergeCell ref="B6:D6"/>
    <mergeCell ref="B7:D7"/>
    <mergeCell ref="B8:D8"/>
    <mergeCell ref="C9:D9"/>
    <mergeCell ref="C10:D10"/>
    <mergeCell ref="B11:D11"/>
    <mergeCell ref="B12:D12"/>
    <mergeCell ref="C20:D20"/>
    <mergeCell ref="C21:D21"/>
    <mergeCell ref="C22:D22"/>
    <mergeCell ref="B9:B10"/>
    <mergeCell ref="C13:C15"/>
    <mergeCell ref="C32:H32"/>
    <mergeCell ref="B24:H24"/>
    <mergeCell ref="B29:H29"/>
    <mergeCell ref="C25:H25"/>
    <mergeCell ref="C26:H26"/>
    <mergeCell ref="C27:H27"/>
    <mergeCell ref="C30:H30"/>
    <mergeCell ref="C31:H31"/>
  </mergeCells>
  <phoneticPr fontId="1" type="noConversion"/>
  <pageMargins left="0.25" right="0.25" top="0.75" bottom="0.75" header="0.3" footer="0.3"/>
  <pageSetup paperSize="9" scale="4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6"/>
  <sheetViews>
    <sheetView zoomScale="70" zoomScaleNormal="70" workbookViewId="0">
      <selection activeCell="K34" sqref="K34"/>
    </sheetView>
  </sheetViews>
  <sheetFormatPr defaultRowHeight="16.5" x14ac:dyDescent="0.3"/>
  <cols>
    <col min="2" max="2" width="16.5" customWidth="1"/>
    <col min="4" max="4" width="6" customWidth="1"/>
    <col min="9" max="15" width="20.75" customWidth="1"/>
    <col min="16" max="16" width="24.5" customWidth="1"/>
    <col min="17" max="17" width="0" hidden="1" customWidth="1"/>
    <col min="18" max="28" width="9" style="140"/>
  </cols>
  <sheetData>
    <row r="1" spans="1:28" s="138" customFormat="1" ht="27" thickBot="1" x14ac:dyDescent="0.35">
      <c r="A1" s="4" t="s">
        <v>182</v>
      </c>
      <c r="B1" s="14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20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28" ht="17.25" thickBot="1" x14ac:dyDescent="0.35"/>
    <row r="3" spans="1:28" ht="21" thickBot="1" x14ac:dyDescent="0.35">
      <c r="B3" s="13" t="s">
        <v>91</v>
      </c>
      <c r="C3" s="14"/>
      <c r="D3" s="16"/>
    </row>
    <row r="6" spans="1:28" ht="19.5" x14ac:dyDescent="0.3">
      <c r="I6" s="39" t="s">
        <v>226</v>
      </c>
      <c r="J6" s="63"/>
      <c r="K6" s="63"/>
      <c r="L6" s="63"/>
      <c r="M6" s="63"/>
      <c r="N6" s="63"/>
      <c r="O6" s="63"/>
      <c r="P6" s="63"/>
    </row>
    <row r="7" spans="1:28" ht="19.5" x14ac:dyDescent="0.3">
      <c r="I7" s="15" t="s">
        <v>227</v>
      </c>
      <c r="J7" s="63"/>
      <c r="K7" s="63"/>
      <c r="L7" s="63"/>
      <c r="M7" s="63"/>
      <c r="N7" s="63"/>
      <c r="O7" s="63"/>
      <c r="P7" s="63"/>
    </row>
    <row r="8" spans="1:28" ht="19.5" x14ac:dyDescent="0.3">
      <c r="I8" s="87"/>
      <c r="J8" s="63"/>
      <c r="K8" s="63"/>
      <c r="L8" s="63"/>
      <c r="M8" s="63"/>
      <c r="N8" s="63"/>
      <c r="O8" s="63"/>
      <c r="P8" s="63"/>
    </row>
    <row r="9" spans="1:28" ht="19.5" x14ac:dyDescent="0.3">
      <c r="I9" s="63"/>
      <c r="J9" s="63"/>
      <c r="K9" s="63"/>
      <c r="L9" s="63"/>
      <c r="M9" s="63"/>
      <c r="N9" s="63"/>
      <c r="O9" s="63"/>
      <c r="P9" s="63"/>
    </row>
    <row r="10" spans="1:28" ht="19.5" x14ac:dyDescent="0.3">
      <c r="I10" s="39"/>
      <c r="J10" s="63"/>
      <c r="K10" s="63"/>
      <c r="L10" s="63"/>
      <c r="M10" s="63"/>
      <c r="N10" s="63"/>
      <c r="O10" s="63"/>
      <c r="P10" s="63"/>
    </row>
    <row r="11" spans="1:28" ht="19.5" x14ac:dyDescent="0.3">
      <c r="I11" s="63"/>
      <c r="J11" s="63"/>
      <c r="K11" s="63"/>
      <c r="L11" s="63"/>
      <c r="M11" s="63"/>
      <c r="N11" s="63"/>
      <c r="O11" s="63"/>
      <c r="P11" s="63"/>
    </row>
    <row r="12" spans="1:28" ht="19.5" x14ac:dyDescent="0.3">
      <c r="I12" s="63"/>
      <c r="J12" s="63"/>
      <c r="K12" s="63"/>
      <c r="L12" s="63"/>
      <c r="M12" s="63"/>
      <c r="N12" s="63"/>
      <c r="O12" s="63"/>
      <c r="P12" s="63"/>
    </row>
    <row r="13" spans="1:28" ht="19.5" x14ac:dyDescent="0.3">
      <c r="I13" s="39" t="s">
        <v>228</v>
      </c>
      <c r="J13" s="63"/>
      <c r="K13" s="63"/>
      <c r="L13" s="63"/>
      <c r="M13" s="63"/>
      <c r="N13" s="63"/>
      <c r="O13" s="63"/>
      <c r="P13" s="63"/>
    </row>
    <row r="14" spans="1:28" ht="19.5" x14ac:dyDescent="0.3">
      <c r="I14" s="15" t="s">
        <v>0</v>
      </c>
      <c r="J14" s="15" t="s">
        <v>173</v>
      </c>
      <c r="K14" s="15" t="s">
        <v>174</v>
      </c>
      <c r="L14" s="15" t="s">
        <v>175</v>
      </c>
      <c r="M14" s="15" t="s">
        <v>176</v>
      </c>
      <c r="N14" s="15" t="s">
        <v>219</v>
      </c>
      <c r="O14" s="15" t="s">
        <v>177</v>
      </c>
      <c r="P14" s="15" t="s">
        <v>178</v>
      </c>
    </row>
    <row r="15" spans="1:28" ht="19.5" x14ac:dyDescent="0.3">
      <c r="I15" s="15" t="s">
        <v>218</v>
      </c>
      <c r="J15" s="88"/>
      <c r="K15" s="88"/>
      <c r="L15" s="88"/>
      <c r="M15" s="88"/>
      <c r="N15" s="87"/>
      <c r="O15" s="64"/>
      <c r="P15" s="64"/>
    </row>
    <row r="16" spans="1:28" ht="19.5" x14ac:dyDescent="0.3">
      <c r="I16" s="15" t="s">
        <v>89</v>
      </c>
      <c r="J16" s="88"/>
      <c r="K16" s="88"/>
      <c r="L16" s="88"/>
      <c r="M16" s="88"/>
      <c r="N16" s="87"/>
      <c r="O16" s="88"/>
      <c r="P16" s="88"/>
    </row>
    <row r="17" spans="9:16" ht="19.5" x14ac:dyDescent="0.3">
      <c r="I17" s="15" t="s">
        <v>88</v>
      </c>
      <c r="J17" s="88"/>
      <c r="K17" s="88"/>
      <c r="L17" s="88"/>
      <c r="M17" s="88"/>
      <c r="N17" s="87"/>
      <c r="O17" s="88"/>
      <c r="P17" s="88"/>
    </row>
    <row r="18" spans="9:16" ht="19.5" x14ac:dyDescent="0.3">
      <c r="I18" s="63"/>
      <c r="J18" s="63"/>
      <c r="K18" s="63"/>
      <c r="L18" s="63"/>
      <c r="M18" s="63"/>
      <c r="N18" s="63"/>
      <c r="O18" s="63"/>
      <c r="P18" s="63"/>
    </row>
    <row r="19" spans="9:16" ht="19.5" x14ac:dyDescent="0.3">
      <c r="I19" s="63"/>
      <c r="J19" s="63"/>
      <c r="K19" s="63"/>
      <c r="L19" s="63"/>
      <c r="M19" s="63"/>
      <c r="N19" s="63"/>
      <c r="O19" s="63"/>
      <c r="P19" s="63"/>
    </row>
    <row r="20" spans="9:16" ht="19.5" x14ac:dyDescent="0.3">
      <c r="I20" s="63"/>
      <c r="J20" s="63"/>
      <c r="K20" s="63"/>
      <c r="L20" s="63"/>
      <c r="M20" s="63"/>
      <c r="N20" s="63"/>
      <c r="O20" s="63"/>
      <c r="P20" s="63"/>
    </row>
    <row r="22" spans="9:16" ht="17.25" x14ac:dyDescent="0.3">
      <c r="I22" s="11" t="s">
        <v>106</v>
      </c>
      <c r="J22" s="12"/>
      <c r="K22" s="12"/>
      <c r="L22" s="12"/>
      <c r="M22" s="12"/>
      <c r="N22" s="12"/>
      <c r="O22" s="12"/>
      <c r="P22" s="12"/>
    </row>
    <row r="23" spans="9:16" ht="19.5" x14ac:dyDescent="0.3">
      <c r="I23" s="19" t="s">
        <v>179</v>
      </c>
      <c r="J23" s="12"/>
      <c r="K23" s="12"/>
      <c r="L23" s="12"/>
      <c r="M23" s="12"/>
      <c r="N23" s="12"/>
      <c r="O23" s="12"/>
      <c r="P23" s="12"/>
    </row>
    <row r="24" spans="9:16" ht="19.5" x14ac:dyDescent="0.3">
      <c r="I24" s="19" t="s">
        <v>339</v>
      </c>
      <c r="J24" s="12"/>
      <c r="K24" s="12"/>
      <c r="L24" s="12"/>
      <c r="M24" s="12"/>
      <c r="N24" s="12"/>
      <c r="O24" s="12"/>
      <c r="P24" s="12"/>
    </row>
    <row r="25" spans="9:16" ht="19.5" x14ac:dyDescent="0.3">
      <c r="I25" s="19" t="s">
        <v>340</v>
      </c>
      <c r="J25" s="12"/>
      <c r="K25" s="12"/>
      <c r="L25" s="12"/>
      <c r="M25" s="12"/>
      <c r="N25" s="12"/>
      <c r="O25" s="12"/>
      <c r="P25" s="12"/>
    </row>
    <row r="26" spans="9:16" ht="19.5" x14ac:dyDescent="0.3">
      <c r="I26" s="19" t="s">
        <v>323</v>
      </c>
      <c r="J26" s="12"/>
      <c r="K26" s="12"/>
      <c r="L26" s="12"/>
      <c r="M26" s="12"/>
      <c r="N26" s="12"/>
      <c r="O26" s="12"/>
      <c r="P26" s="12"/>
    </row>
  </sheetData>
  <sheetProtection password="DE44" sheet="1" objects="1" scenarios="1"/>
  <phoneticPr fontId="1" type="noConversion"/>
  <dataValidations count="2">
    <dataValidation type="list" allowBlank="1" showInputMessage="1" showErrorMessage="1" sqref="N15:N17" xr:uid="{546696C2-9197-4747-BC8C-2E8405C26A51}">
      <formula1>"O,X"</formula1>
    </dataValidation>
    <dataValidation type="list" allowBlank="1" showInputMessage="1" showErrorMessage="1" error="작성 양식 오류" prompt="(예) O" sqref="I8" xr:uid="{D9F50BF7-329D-4E47-B550-0810AF88E89E}">
      <formula1>"O,X"</formula1>
    </dataValidation>
  </dataValidations>
  <pageMargins left="0.25" right="0.25" top="0.75" bottom="0.75" header="0.3" footer="0.3"/>
  <pageSetup paperSize="9"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6"/>
  <sheetViews>
    <sheetView zoomScale="85" zoomScaleNormal="85" workbookViewId="0">
      <selection activeCell="C18" sqref="C18"/>
    </sheetView>
  </sheetViews>
  <sheetFormatPr defaultRowHeight="16.5" x14ac:dyDescent="0.3"/>
  <cols>
    <col min="2" max="2" width="30.75" customWidth="1"/>
    <col min="3" max="3" width="40.75" customWidth="1"/>
    <col min="4" max="4" width="91.25" bestFit="1" customWidth="1"/>
  </cols>
  <sheetData>
    <row r="1" spans="1:4" ht="27" thickBot="1" x14ac:dyDescent="0.35">
      <c r="A1" s="4" t="s">
        <v>1</v>
      </c>
      <c r="B1" s="7"/>
      <c r="C1" s="7"/>
      <c r="D1" s="20"/>
    </row>
    <row r="2" spans="1:4" ht="19.899999999999999" customHeight="1" x14ac:dyDescent="0.3"/>
    <row r="3" spans="1:4" ht="19.899999999999999" customHeight="1" x14ac:dyDescent="0.3">
      <c r="B3" s="9" t="s">
        <v>4</v>
      </c>
      <c r="C3" s="67"/>
      <c r="D3" s="25"/>
    </row>
    <row r="4" spans="1:4" ht="19.899999999999999" customHeight="1" x14ac:dyDescent="0.3">
      <c r="A4" s="17" t="s">
        <v>93</v>
      </c>
      <c r="B4" s="10" t="s">
        <v>105</v>
      </c>
      <c r="C4" s="68"/>
      <c r="D4" s="26"/>
    </row>
    <row r="5" spans="1:4" ht="19.899999999999999" customHeight="1" x14ac:dyDescent="0.3">
      <c r="A5" s="17"/>
      <c r="B5" s="10" t="s">
        <v>230</v>
      </c>
      <c r="C5" s="70"/>
      <c r="D5" s="26"/>
    </row>
    <row r="6" spans="1:4" ht="19.899999999999999" customHeight="1" x14ac:dyDescent="0.3">
      <c r="B6" s="9" t="s">
        <v>3</v>
      </c>
      <c r="C6" s="68"/>
      <c r="D6" s="26"/>
    </row>
    <row r="7" spans="1:4" ht="19.899999999999999" customHeight="1" x14ac:dyDescent="0.3">
      <c r="B7" s="9" t="s">
        <v>2</v>
      </c>
      <c r="C7" s="71"/>
      <c r="D7" s="26"/>
    </row>
    <row r="8" spans="1:4" ht="19.899999999999999" customHeight="1" x14ac:dyDescent="0.3">
      <c r="A8" s="17" t="s">
        <v>93</v>
      </c>
      <c r="B8" s="9" t="s">
        <v>5</v>
      </c>
      <c r="C8" s="68"/>
      <c r="D8" s="27"/>
    </row>
    <row r="9" spans="1:4" ht="19.899999999999999" customHeight="1" x14ac:dyDescent="0.3">
      <c r="A9" s="17" t="s">
        <v>93</v>
      </c>
      <c r="B9" s="9" t="s">
        <v>6</v>
      </c>
      <c r="C9" s="68"/>
      <c r="D9" s="27"/>
    </row>
    <row r="10" spans="1:4" ht="19.899999999999999" customHeight="1" x14ac:dyDescent="0.3">
      <c r="B10" s="9" t="s">
        <v>7</v>
      </c>
      <c r="C10" s="71"/>
      <c r="D10" s="28"/>
    </row>
    <row r="11" spans="1:4" ht="19.899999999999999" customHeight="1" x14ac:dyDescent="0.3">
      <c r="B11" s="30"/>
      <c r="C11" s="69"/>
      <c r="D11" s="29"/>
    </row>
    <row r="12" spans="1:4" ht="19.899999999999999" customHeight="1" x14ac:dyDescent="0.3">
      <c r="B12" s="31"/>
      <c r="C12" s="69"/>
      <c r="D12" s="29"/>
    </row>
    <row r="13" spans="1:4" ht="19.899999999999999" customHeight="1" x14ac:dyDescent="0.3">
      <c r="B13" s="31"/>
      <c r="C13" s="69"/>
      <c r="D13" s="29"/>
    </row>
    <row r="14" spans="1:4" ht="19.899999999999999" customHeight="1" x14ac:dyDescent="0.3">
      <c r="B14" s="31"/>
      <c r="C14" s="69"/>
      <c r="D14" s="29"/>
    </row>
    <row r="15" spans="1:4" ht="19.899999999999999" customHeight="1" x14ac:dyDescent="0.3">
      <c r="B15" s="31"/>
      <c r="C15" s="69"/>
      <c r="D15" s="29"/>
    </row>
    <row r="16" spans="1:4" ht="19.899999999999999" customHeight="1" x14ac:dyDescent="0.3">
      <c r="B16" s="31"/>
      <c r="C16" s="69"/>
      <c r="D16" s="29"/>
    </row>
    <row r="17" spans="2:4" ht="19.899999999999999" customHeight="1" x14ac:dyDescent="0.3">
      <c r="B17" s="31"/>
      <c r="C17" s="69"/>
      <c r="D17" s="29"/>
    </row>
    <row r="18" spans="2:4" ht="19.899999999999999" customHeight="1" x14ac:dyDescent="0.3">
      <c r="B18" s="31" t="s">
        <v>107</v>
      </c>
      <c r="C18" s="69"/>
      <c r="D18" s="29"/>
    </row>
    <row r="19" spans="2:4" ht="19.899999999999999" customHeight="1" x14ac:dyDescent="0.3">
      <c r="B19" s="31"/>
      <c r="C19" s="69"/>
      <c r="D19" s="29"/>
    </row>
    <row r="20" spans="2:4" ht="19.899999999999999" customHeight="1" x14ac:dyDescent="0.3">
      <c r="B20" s="31"/>
      <c r="C20" s="69"/>
      <c r="D20" s="29"/>
    </row>
    <row r="21" spans="2:4" ht="19.899999999999999" customHeight="1" x14ac:dyDescent="0.3">
      <c r="B21" s="31"/>
      <c r="C21" s="69"/>
      <c r="D21" s="29"/>
    </row>
    <row r="22" spans="2:4" ht="19.899999999999999" customHeight="1" x14ac:dyDescent="0.3">
      <c r="B22" s="31"/>
      <c r="C22" s="69"/>
      <c r="D22" s="29"/>
    </row>
    <row r="23" spans="2:4" ht="19.899999999999999" customHeight="1" x14ac:dyDescent="0.3">
      <c r="B23" s="31"/>
      <c r="C23" s="69"/>
      <c r="D23" s="29"/>
    </row>
    <row r="24" spans="2:4" ht="19.899999999999999" customHeight="1" x14ac:dyDescent="0.3">
      <c r="B24" s="31"/>
      <c r="C24" s="69"/>
      <c r="D24" s="29"/>
    </row>
    <row r="25" spans="2:4" ht="19.899999999999999" customHeight="1" x14ac:dyDescent="0.3">
      <c r="B25" s="32"/>
      <c r="C25" s="69"/>
      <c r="D25" s="29"/>
    </row>
    <row r="26" spans="2:4" ht="19.899999999999999" customHeight="1" x14ac:dyDescent="0.3">
      <c r="C26" s="37"/>
      <c r="D26" s="29"/>
    </row>
    <row r="27" spans="2:4" ht="19.899999999999999" customHeight="1" x14ac:dyDescent="0.3">
      <c r="C27" s="37"/>
      <c r="D27" s="29"/>
    </row>
    <row r="28" spans="2:4" ht="19.899999999999999" customHeight="1" x14ac:dyDescent="0.3"/>
    <row r="29" spans="2:4" ht="19.899999999999999" customHeight="1" x14ac:dyDescent="0.3">
      <c r="B29" s="11" t="s">
        <v>106</v>
      </c>
      <c r="C29" s="1"/>
      <c r="D29" s="1"/>
    </row>
    <row r="30" spans="2:4" ht="19.899999999999999" customHeight="1" x14ac:dyDescent="0.3">
      <c r="B30" s="65" t="s">
        <v>229</v>
      </c>
      <c r="C30" s="1"/>
      <c r="D30" s="1"/>
    </row>
    <row r="31" spans="2:4" ht="19.899999999999999" customHeight="1" x14ac:dyDescent="0.3">
      <c r="B31" s="19" t="s">
        <v>145</v>
      </c>
      <c r="C31" s="1"/>
      <c r="D31" s="1"/>
    </row>
    <row r="32" spans="2:4" ht="19.899999999999999" customHeight="1" x14ac:dyDescent="0.3">
      <c r="B32" s="19" t="s">
        <v>324</v>
      </c>
      <c r="C32" s="1"/>
      <c r="D32" s="1"/>
    </row>
    <row r="33" spans="2:4" ht="19.899999999999999" customHeight="1" x14ac:dyDescent="0.3">
      <c r="B33" s="19" t="s">
        <v>231</v>
      </c>
      <c r="C33" s="1"/>
      <c r="D33" s="1"/>
    </row>
    <row r="34" spans="2:4" ht="19.899999999999999" customHeight="1" x14ac:dyDescent="0.3">
      <c r="B34" s="19" t="s">
        <v>232</v>
      </c>
      <c r="C34" s="1"/>
      <c r="D34" s="1"/>
    </row>
    <row r="35" spans="2:4" ht="19.5" x14ac:dyDescent="0.3">
      <c r="B35" s="19" t="s">
        <v>325</v>
      </c>
      <c r="C35" s="1"/>
      <c r="D35" s="1"/>
    </row>
    <row r="36" spans="2:4" ht="19.5" x14ac:dyDescent="0.3">
      <c r="B36" s="19" t="s">
        <v>284</v>
      </c>
      <c r="C36" s="1"/>
      <c r="D36" s="1"/>
    </row>
  </sheetData>
  <sheetProtection password="DE44" sheet="1" objects="1" scenarios="1"/>
  <phoneticPr fontId="1" type="noConversion"/>
  <dataValidations count="5">
    <dataValidation type="list" allowBlank="1" showInputMessage="1" showErrorMessage="1" promptTitle="O, X로만 입력" prompt=" " sqref="C10" xr:uid="{00000000-0002-0000-0100-000000000000}">
      <formula1>"O, X"</formula1>
    </dataValidation>
    <dataValidation type="list" errorStyle="warning" allowBlank="1" showInputMessage="1" showErrorMessage="1" errorTitle="예) 1월" error="위와 같이 입력" promptTitle="1월~12월" prompt=" 1월: 01, 12월 : 12" sqref="C7" xr:uid="{00000000-0002-0000-0100-000001000000}">
      <formula1>"01,02,03,04,05,06,07,08,09,10,11,12"</formula1>
    </dataValidation>
    <dataValidation type="date" allowBlank="1" showInputMessage="1" showErrorMessage="1" error="양식 오류" prompt="(양식) YYYY-MM-DD_x000a_(예) 2022-01-01" sqref="C8:C9 C4" xr:uid="{7C03FAED-B15D-4DAE-AFBE-D68714FAB284}">
      <formula1>44743</formula1>
      <formula2>45291</formula2>
    </dataValidation>
    <dataValidation type="date" allowBlank="1" showInputMessage="1" showErrorMessage="1" error="양식 오류 or 값오류 (입력값 재확인 필요)" prompt="(양식) YYYY-MM-DD_x000a_(예) 2022-01-01" sqref="C6" xr:uid="{233AF06D-33F1-4387-A102-F1ED6016BADA}">
      <formula1>44927</formula1>
      <formula2>45291</formula2>
    </dataValidation>
    <dataValidation type="list" allowBlank="1" showInputMessage="1" showErrorMessage="1" error="양식 오류" prompt="증빙자료 첨부시 &quot;O&quot;_x000a_미첨부시 &quot;X&quot;" sqref="C5" xr:uid="{89851AAB-C349-4FFA-BD6A-779938C96FA1}">
      <formula1>"O,X"</formula1>
    </dataValidation>
  </dataValidations>
  <pageMargins left="0.7" right="0.7" top="0.75" bottom="0.75" header="0.3" footer="0.3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1"/>
  <sheetViews>
    <sheetView zoomScale="70" zoomScaleNormal="70" workbookViewId="0">
      <selection activeCell="K9" sqref="K9"/>
    </sheetView>
  </sheetViews>
  <sheetFormatPr defaultRowHeight="16.5" x14ac:dyDescent="0.3"/>
  <cols>
    <col min="2" max="2" width="15.75" customWidth="1"/>
    <col min="3" max="7" width="35.75" customWidth="1"/>
  </cols>
  <sheetData>
    <row r="1" spans="1:8" ht="27" thickBot="1" x14ac:dyDescent="0.35">
      <c r="A1" s="4" t="s">
        <v>216</v>
      </c>
      <c r="B1" s="7"/>
      <c r="C1" s="7"/>
      <c r="D1" s="7"/>
      <c r="E1" s="7"/>
      <c r="F1" s="7"/>
      <c r="G1" s="20"/>
      <c r="H1" s="33"/>
    </row>
    <row r="2" spans="1:8" ht="19.899999999999999" customHeight="1" x14ac:dyDescent="0.3"/>
    <row r="3" spans="1:8" ht="19.899999999999999" customHeight="1" x14ac:dyDescent="0.3">
      <c r="B3" s="39" t="s">
        <v>8</v>
      </c>
    </row>
    <row r="4" spans="1:8" ht="19.899999999999999" customHeight="1" x14ac:dyDescent="0.3">
      <c r="B4" s="22" t="s">
        <v>0</v>
      </c>
      <c r="C4" s="22" t="s">
        <v>341</v>
      </c>
    </row>
    <row r="5" spans="1:8" ht="19.899999999999999" customHeight="1" x14ac:dyDescent="0.3">
      <c r="B5" s="34" t="s">
        <v>237</v>
      </c>
      <c r="C5" s="89"/>
    </row>
    <row r="6" spans="1:8" ht="19.899999999999999" customHeight="1" x14ac:dyDescent="0.3">
      <c r="B6" s="35" t="s">
        <v>238</v>
      </c>
      <c r="C6" s="89"/>
    </row>
    <row r="7" spans="1:8" ht="19.899999999999999" customHeight="1" x14ac:dyDescent="0.3">
      <c r="B7" s="35" t="s">
        <v>239</v>
      </c>
      <c r="C7" s="89"/>
    </row>
    <row r="8" spans="1:8" ht="19.899999999999999" customHeight="1" x14ac:dyDescent="0.3">
      <c r="B8" s="35" t="s">
        <v>240</v>
      </c>
      <c r="C8" s="89"/>
    </row>
    <row r="9" spans="1:8" ht="19.899999999999999" customHeight="1" x14ac:dyDescent="0.3">
      <c r="B9" s="35" t="s">
        <v>241</v>
      </c>
      <c r="C9" s="89"/>
    </row>
    <row r="10" spans="1:8" ht="19.899999999999999" customHeight="1" x14ac:dyDescent="0.3"/>
    <row r="11" spans="1:8" ht="19.899999999999999" customHeight="1" x14ac:dyDescent="0.3"/>
    <row r="12" spans="1:8" ht="19.899999999999999" customHeight="1" x14ac:dyDescent="0.3">
      <c r="B12" s="39" t="s">
        <v>114</v>
      </c>
    </row>
    <row r="13" spans="1:8" ht="19.899999999999999" customHeight="1" x14ac:dyDescent="0.3">
      <c r="B13" s="22" t="s">
        <v>115</v>
      </c>
      <c r="C13" s="22" t="s">
        <v>116</v>
      </c>
      <c r="D13" s="22" t="s">
        <v>118</v>
      </c>
      <c r="E13" s="22" t="s">
        <v>119</v>
      </c>
      <c r="F13" s="22" t="s">
        <v>120</v>
      </c>
      <c r="G13" s="22" t="s">
        <v>121</v>
      </c>
    </row>
    <row r="14" spans="1:8" ht="19.5" customHeight="1" x14ac:dyDescent="0.3">
      <c r="B14" s="34" t="s">
        <v>242</v>
      </c>
      <c r="C14" s="89"/>
      <c r="D14" s="89"/>
      <c r="E14" s="89"/>
      <c r="F14" s="89"/>
      <c r="G14" s="89"/>
    </row>
    <row r="15" spans="1:8" ht="19.899999999999999" customHeight="1" x14ac:dyDescent="0.3">
      <c r="B15" s="34" t="s">
        <v>243</v>
      </c>
      <c r="C15" s="89"/>
      <c r="D15" s="89"/>
      <c r="E15" s="89"/>
      <c r="F15" s="89"/>
      <c r="G15" s="89"/>
    </row>
    <row r="16" spans="1:8" ht="19.899999999999999" customHeight="1" x14ac:dyDescent="0.3">
      <c r="B16" s="34" t="s">
        <v>244</v>
      </c>
      <c r="C16" s="89"/>
      <c r="D16" s="89"/>
      <c r="E16" s="89"/>
      <c r="F16" s="89"/>
      <c r="G16" s="89"/>
    </row>
    <row r="17" spans="2:7" ht="19.899999999999999" customHeight="1" x14ac:dyDescent="0.3">
      <c r="B17" s="34" t="s">
        <v>245</v>
      </c>
      <c r="C17" s="89"/>
      <c r="D17" s="89"/>
      <c r="E17" s="89"/>
      <c r="F17" s="89"/>
      <c r="G17" s="89"/>
    </row>
    <row r="18" spans="2:7" ht="19.899999999999999" customHeight="1" x14ac:dyDescent="0.3">
      <c r="B18" s="34" t="s">
        <v>246</v>
      </c>
      <c r="C18" s="89"/>
      <c r="D18" s="89"/>
      <c r="E18" s="89"/>
      <c r="F18" s="89"/>
      <c r="G18" s="89"/>
    </row>
    <row r="19" spans="2:7" ht="19.899999999999999" customHeight="1" x14ac:dyDescent="0.3">
      <c r="B19" s="34" t="s">
        <v>247</v>
      </c>
      <c r="C19" s="89"/>
      <c r="D19" s="89"/>
      <c r="E19" s="89"/>
      <c r="F19" s="89"/>
      <c r="G19" s="89"/>
    </row>
    <row r="20" spans="2:7" ht="19.899999999999999" customHeight="1" x14ac:dyDescent="0.3">
      <c r="B20" s="34" t="s">
        <v>248</v>
      </c>
      <c r="C20" s="89"/>
      <c r="D20" s="89"/>
      <c r="E20" s="89"/>
      <c r="F20" s="89"/>
      <c r="G20" s="89"/>
    </row>
    <row r="21" spans="2:7" ht="19.899999999999999" customHeight="1" x14ac:dyDescent="0.3">
      <c r="B21" s="34" t="s">
        <v>249</v>
      </c>
      <c r="C21" s="89"/>
      <c r="D21" s="89"/>
      <c r="E21" s="89"/>
      <c r="F21" s="89"/>
      <c r="G21" s="89"/>
    </row>
    <row r="22" spans="2:7" ht="19.899999999999999" customHeight="1" x14ac:dyDescent="0.3">
      <c r="B22" s="34" t="s">
        <v>250</v>
      </c>
      <c r="C22" s="89"/>
      <c r="D22" s="89"/>
      <c r="E22" s="89"/>
      <c r="F22" s="89"/>
      <c r="G22" s="89"/>
    </row>
    <row r="23" spans="2:7" ht="19.899999999999999" customHeight="1" x14ac:dyDescent="0.3">
      <c r="B23" s="34" t="s">
        <v>251</v>
      </c>
      <c r="C23" s="89"/>
      <c r="D23" s="89"/>
      <c r="E23" s="89"/>
      <c r="F23" s="89"/>
      <c r="G23" s="89"/>
    </row>
    <row r="24" spans="2:7" ht="19.899999999999999" customHeight="1" x14ac:dyDescent="0.3">
      <c r="B24" s="38"/>
      <c r="C24" s="38"/>
      <c r="D24" s="38"/>
      <c r="E24" s="38"/>
      <c r="F24" s="38"/>
      <c r="G24" s="38"/>
    </row>
    <row r="25" spans="2:7" ht="19.899999999999999" customHeight="1" x14ac:dyDescent="0.3"/>
    <row r="26" spans="2:7" ht="19.899999999999999" customHeight="1" x14ac:dyDescent="0.3">
      <c r="B26" s="11" t="s">
        <v>106</v>
      </c>
      <c r="C26" s="1"/>
      <c r="D26" s="1"/>
      <c r="E26" s="1"/>
      <c r="F26" s="1"/>
      <c r="G26" s="1"/>
    </row>
    <row r="27" spans="2:7" ht="19.899999999999999" customHeight="1" x14ac:dyDescent="0.3">
      <c r="B27" s="18" t="s">
        <v>326</v>
      </c>
      <c r="C27" s="1"/>
      <c r="D27" s="1"/>
      <c r="E27" s="1"/>
      <c r="F27" s="1"/>
      <c r="G27" s="1"/>
    </row>
    <row r="29" spans="2:7" ht="20.25" x14ac:dyDescent="0.3">
      <c r="B29" s="79" t="s">
        <v>236</v>
      </c>
      <c r="C29" s="72"/>
      <c r="D29" s="72"/>
      <c r="E29" s="72"/>
      <c r="F29" s="72"/>
      <c r="G29" s="72"/>
    </row>
    <row r="30" spans="2:7" x14ac:dyDescent="0.3">
      <c r="B30" s="72"/>
      <c r="C30" s="72"/>
      <c r="D30" s="72"/>
      <c r="E30" s="72"/>
      <c r="F30" s="72"/>
      <c r="G30" s="72"/>
    </row>
    <row r="31" spans="2:7" ht="19.5" x14ac:dyDescent="0.3">
      <c r="B31" s="73" t="s">
        <v>8</v>
      </c>
      <c r="C31" s="72"/>
      <c r="D31" s="72"/>
      <c r="E31" s="72"/>
      <c r="F31" s="72"/>
      <c r="G31" s="72"/>
    </row>
    <row r="32" spans="2:7" x14ac:dyDescent="0.3">
      <c r="B32" s="74" t="s">
        <v>0</v>
      </c>
      <c r="C32" s="74" t="s">
        <v>117</v>
      </c>
      <c r="D32" s="72"/>
      <c r="E32" s="72"/>
      <c r="F32" s="72"/>
      <c r="G32" s="72"/>
    </row>
    <row r="33" spans="2:7" x14ac:dyDescent="0.3">
      <c r="B33" s="75" t="s">
        <v>237</v>
      </c>
      <c r="C33" s="76" t="s">
        <v>108</v>
      </c>
      <c r="D33" s="72"/>
      <c r="E33" s="72"/>
      <c r="F33" s="72"/>
      <c r="G33" s="72"/>
    </row>
    <row r="34" spans="2:7" x14ac:dyDescent="0.3">
      <c r="B34" s="72"/>
      <c r="C34" s="72"/>
      <c r="D34" s="72"/>
      <c r="E34" s="72"/>
      <c r="F34" s="72"/>
      <c r="G34" s="72"/>
    </row>
    <row r="35" spans="2:7" ht="19.5" x14ac:dyDescent="0.3">
      <c r="B35" s="73" t="s">
        <v>114</v>
      </c>
      <c r="C35" s="72"/>
      <c r="D35" s="72"/>
      <c r="E35" s="72"/>
      <c r="F35" s="72"/>
      <c r="G35" s="72"/>
    </row>
    <row r="36" spans="2:7" x14ac:dyDescent="0.3">
      <c r="B36" s="74" t="s">
        <v>0</v>
      </c>
      <c r="C36" s="74" t="s">
        <v>116</v>
      </c>
      <c r="D36" s="74" t="s">
        <v>118</v>
      </c>
      <c r="E36" s="74" t="s">
        <v>119</v>
      </c>
      <c r="F36" s="74" t="s">
        <v>120</v>
      </c>
      <c r="G36" s="74" t="s">
        <v>121</v>
      </c>
    </row>
    <row r="37" spans="2:7" x14ac:dyDescent="0.3">
      <c r="B37" s="75" t="s">
        <v>242</v>
      </c>
      <c r="C37" s="77" t="s">
        <v>9</v>
      </c>
      <c r="D37" s="77" t="s">
        <v>109</v>
      </c>
      <c r="E37" s="77" t="s">
        <v>111</v>
      </c>
      <c r="F37" s="77" t="s">
        <v>113</v>
      </c>
      <c r="G37" s="78"/>
    </row>
    <row r="38" spans="2:7" x14ac:dyDescent="0.3">
      <c r="B38" s="75" t="s">
        <v>243</v>
      </c>
      <c r="C38" s="77" t="s">
        <v>92</v>
      </c>
      <c r="D38" s="77" t="s">
        <v>110</v>
      </c>
      <c r="E38" s="77" t="s">
        <v>112</v>
      </c>
      <c r="F38" s="77"/>
      <c r="G38" s="78"/>
    </row>
    <row r="39" spans="2:7" x14ac:dyDescent="0.3">
      <c r="B39" s="72"/>
      <c r="C39" s="72"/>
      <c r="D39" s="72"/>
      <c r="E39" s="72"/>
      <c r="F39" s="72"/>
      <c r="G39" s="72"/>
    </row>
    <row r="40" spans="2:7" ht="19.5" x14ac:dyDescent="0.3">
      <c r="B40" s="84" t="s">
        <v>255</v>
      </c>
      <c r="C40" s="84"/>
      <c r="D40" s="72"/>
      <c r="E40" s="72"/>
      <c r="F40" s="72"/>
      <c r="G40" s="72"/>
    </row>
    <row r="41" spans="2:7" x14ac:dyDescent="0.3">
      <c r="B41" s="72"/>
      <c r="C41" s="72"/>
      <c r="D41" s="72"/>
      <c r="E41" s="72"/>
      <c r="F41" s="72"/>
      <c r="G41" s="72"/>
    </row>
  </sheetData>
  <sheetProtection password="DE44" sheet="1" objects="1" scenarios="1" formatRows="0"/>
  <phoneticPr fontId="1" type="noConversion"/>
  <pageMargins left="0.7" right="0.7" top="0.75" bottom="0.75" header="0.3" footer="0.3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E0D9-38D6-4211-8C39-4B3D38FD0DF1}">
  <sheetPr>
    <pageSetUpPr fitToPage="1"/>
  </sheetPr>
  <dimension ref="A1:J54"/>
  <sheetViews>
    <sheetView zoomScale="70" zoomScaleNormal="70" workbookViewId="0">
      <selection activeCell="J1" sqref="J1:J1048576"/>
    </sheetView>
  </sheetViews>
  <sheetFormatPr defaultRowHeight="16.5" x14ac:dyDescent="0.3"/>
  <cols>
    <col min="2" max="2" width="12.75" customWidth="1"/>
    <col min="3" max="3" width="23.75" bestFit="1" customWidth="1"/>
    <col min="4" max="4" width="25.75" customWidth="1"/>
    <col min="5" max="5" width="30.75" customWidth="1"/>
    <col min="6" max="7" width="15.75" customWidth="1"/>
    <col min="8" max="8" width="50.75" customWidth="1"/>
    <col min="9" max="9" width="12.75" customWidth="1"/>
    <col min="10" max="10" width="9" hidden="1" customWidth="1"/>
  </cols>
  <sheetData>
    <row r="1" spans="1:10" ht="27" thickBot="1" x14ac:dyDescent="0.35">
      <c r="A1" s="4" t="s">
        <v>215</v>
      </c>
      <c r="B1" s="50"/>
      <c r="C1" s="50"/>
      <c r="D1" s="50"/>
      <c r="E1" s="7"/>
      <c r="F1" s="7"/>
      <c r="G1" s="7"/>
      <c r="H1" s="7"/>
      <c r="I1" s="20"/>
    </row>
    <row r="2" spans="1:10" ht="19.899999999999999" customHeight="1" x14ac:dyDescent="0.3"/>
    <row r="3" spans="1:10" ht="19.899999999999999" customHeight="1" x14ac:dyDescent="0.3">
      <c r="B3" s="211" t="s">
        <v>11</v>
      </c>
      <c r="C3" s="212" t="s">
        <v>220</v>
      </c>
      <c r="D3" s="211" t="s">
        <v>221</v>
      </c>
      <c r="E3" s="211" t="s">
        <v>222</v>
      </c>
      <c r="F3" s="214" t="s">
        <v>223</v>
      </c>
      <c r="G3" s="214"/>
      <c r="H3" s="211" t="s">
        <v>224</v>
      </c>
      <c r="I3" s="211" t="s">
        <v>225</v>
      </c>
    </row>
    <row r="4" spans="1:10" ht="19.899999999999999" customHeight="1" x14ac:dyDescent="0.3">
      <c r="B4" s="211"/>
      <c r="C4" s="213"/>
      <c r="D4" s="211"/>
      <c r="E4" s="211"/>
      <c r="F4" s="52" t="s">
        <v>125</v>
      </c>
      <c r="G4" s="52" t="s">
        <v>126</v>
      </c>
      <c r="H4" s="211"/>
      <c r="I4" s="211"/>
      <c r="J4" t="s">
        <v>265</v>
      </c>
    </row>
    <row r="5" spans="1:10" ht="19.899999999999999" customHeight="1" x14ac:dyDescent="0.3">
      <c r="B5" s="85"/>
      <c r="C5" s="85"/>
      <c r="D5" s="100"/>
      <c r="E5" s="86"/>
      <c r="F5" s="146"/>
      <c r="G5" s="146"/>
      <c r="H5" s="86"/>
      <c r="I5" s="85"/>
      <c r="J5">
        <f>IF(COUNTA($B5:$I5)=8,1,0)</f>
        <v>0</v>
      </c>
    </row>
    <row r="6" spans="1:10" ht="19.899999999999999" customHeight="1" x14ac:dyDescent="0.3">
      <c r="B6" s="85"/>
      <c r="C6" s="85"/>
      <c r="D6" s="100"/>
      <c r="E6" s="86"/>
      <c r="F6" s="146"/>
      <c r="G6" s="146"/>
      <c r="H6" s="86"/>
      <c r="I6" s="85"/>
      <c r="J6">
        <f t="shared" ref="J6:J13" si="0">IF(COUNTA($B6:$I6)=8,1,0)</f>
        <v>0</v>
      </c>
    </row>
    <row r="7" spans="1:10" ht="19.899999999999999" customHeight="1" x14ac:dyDescent="0.3">
      <c r="B7" s="85"/>
      <c r="C7" s="85"/>
      <c r="D7" s="100"/>
      <c r="E7" s="86"/>
      <c r="F7" s="146"/>
      <c r="G7" s="146"/>
      <c r="H7" s="86"/>
      <c r="I7" s="85"/>
      <c r="J7">
        <f t="shared" si="0"/>
        <v>0</v>
      </c>
    </row>
    <row r="8" spans="1:10" ht="19.899999999999999" customHeight="1" x14ac:dyDescent="0.3">
      <c r="B8" s="85"/>
      <c r="C8" s="85"/>
      <c r="D8" s="100"/>
      <c r="E8" s="86"/>
      <c r="F8" s="146"/>
      <c r="G8" s="146"/>
      <c r="H8" s="86"/>
      <c r="I8" s="85"/>
      <c r="J8">
        <f t="shared" si="0"/>
        <v>0</v>
      </c>
    </row>
    <row r="9" spans="1:10" ht="19.899999999999999" customHeight="1" x14ac:dyDescent="0.3">
      <c r="B9" s="85"/>
      <c r="C9" s="85"/>
      <c r="D9" s="100"/>
      <c r="E9" s="86"/>
      <c r="F9" s="146"/>
      <c r="G9" s="146"/>
      <c r="H9" s="86"/>
      <c r="I9" s="85"/>
      <c r="J9">
        <f t="shared" si="0"/>
        <v>0</v>
      </c>
    </row>
    <row r="10" spans="1:10" ht="19.899999999999999" customHeight="1" x14ac:dyDescent="0.3">
      <c r="B10" s="85"/>
      <c r="C10" s="85"/>
      <c r="D10" s="100"/>
      <c r="E10" s="86"/>
      <c r="F10" s="146"/>
      <c r="G10" s="146"/>
      <c r="H10" s="86"/>
      <c r="I10" s="85"/>
      <c r="J10">
        <f>IF(COUNTA($B10:$I10)=8,1,0)</f>
        <v>0</v>
      </c>
    </row>
    <row r="11" spans="1:10" ht="19.899999999999999" customHeight="1" x14ac:dyDescent="0.3">
      <c r="B11" s="85"/>
      <c r="C11" s="85"/>
      <c r="D11" s="100"/>
      <c r="E11" s="86"/>
      <c r="F11" s="146"/>
      <c r="G11" s="146"/>
      <c r="H11" s="86"/>
      <c r="I11" s="85"/>
      <c r="J11">
        <f t="shared" si="0"/>
        <v>0</v>
      </c>
    </row>
    <row r="12" spans="1:10" ht="19.899999999999999" customHeight="1" x14ac:dyDescent="0.3">
      <c r="B12" s="85"/>
      <c r="C12" s="85"/>
      <c r="D12" s="100"/>
      <c r="E12" s="86"/>
      <c r="F12" s="146"/>
      <c r="G12" s="146"/>
      <c r="H12" s="86"/>
      <c r="I12" s="85"/>
      <c r="J12">
        <f t="shared" si="0"/>
        <v>0</v>
      </c>
    </row>
    <row r="13" spans="1:10" ht="19.899999999999999" customHeight="1" x14ac:dyDescent="0.3">
      <c r="B13" s="85"/>
      <c r="C13" s="85"/>
      <c r="D13" s="100"/>
      <c r="E13" s="86"/>
      <c r="F13" s="146"/>
      <c r="G13" s="146"/>
      <c r="H13" s="86"/>
      <c r="I13" s="85"/>
      <c r="J13">
        <f t="shared" si="0"/>
        <v>0</v>
      </c>
    </row>
    <row r="14" spans="1:10" ht="19.899999999999999" customHeight="1" x14ac:dyDescent="0.3">
      <c r="B14" s="85"/>
      <c r="C14" s="85"/>
      <c r="D14" s="100"/>
      <c r="E14" s="86"/>
      <c r="F14" s="146"/>
      <c r="G14" s="146"/>
      <c r="H14" s="86"/>
      <c r="I14" s="85"/>
      <c r="J14">
        <f t="shared" ref="J14:J34" si="1">IF(COUNTA($B14:$I14)=8,1,0)</f>
        <v>0</v>
      </c>
    </row>
    <row r="15" spans="1:10" ht="19.899999999999999" customHeight="1" x14ac:dyDescent="0.3">
      <c r="B15" s="85"/>
      <c r="C15" s="85"/>
      <c r="D15" s="100"/>
      <c r="E15" s="86"/>
      <c r="F15" s="146"/>
      <c r="G15" s="146"/>
      <c r="H15" s="86"/>
      <c r="I15" s="85"/>
      <c r="J15">
        <f t="shared" si="1"/>
        <v>0</v>
      </c>
    </row>
    <row r="16" spans="1:10" ht="19.899999999999999" customHeight="1" x14ac:dyDescent="0.3">
      <c r="B16" s="85"/>
      <c r="C16" s="85"/>
      <c r="D16" s="100"/>
      <c r="E16" s="86"/>
      <c r="F16" s="146"/>
      <c r="G16" s="146"/>
      <c r="H16" s="86"/>
      <c r="I16" s="85"/>
      <c r="J16">
        <f t="shared" si="1"/>
        <v>0</v>
      </c>
    </row>
    <row r="17" spans="2:10" ht="19.899999999999999" customHeight="1" x14ac:dyDescent="0.3">
      <c r="B17" s="85"/>
      <c r="C17" s="85"/>
      <c r="D17" s="100"/>
      <c r="E17" s="86"/>
      <c r="F17" s="146"/>
      <c r="G17" s="146"/>
      <c r="H17" s="86"/>
      <c r="I17" s="85"/>
      <c r="J17">
        <f t="shared" si="1"/>
        <v>0</v>
      </c>
    </row>
    <row r="18" spans="2:10" ht="19.899999999999999" customHeight="1" x14ac:dyDescent="0.3">
      <c r="B18" s="85"/>
      <c r="C18" s="85"/>
      <c r="D18" s="100"/>
      <c r="E18" s="86"/>
      <c r="F18" s="146"/>
      <c r="G18" s="146"/>
      <c r="H18" s="86"/>
      <c r="I18" s="85"/>
      <c r="J18">
        <f t="shared" si="1"/>
        <v>0</v>
      </c>
    </row>
    <row r="19" spans="2:10" ht="19.899999999999999" customHeight="1" x14ac:dyDescent="0.3">
      <c r="B19" s="85"/>
      <c r="C19" s="85"/>
      <c r="D19" s="100"/>
      <c r="E19" s="86"/>
      <c r="F19" s="146"/>
      <c r="G19" s="146"/>
      <c r="H19" s="86"/>
      <c r="I19" s="85"/>
      <c r="J19">
        <f t="shared" si="1"/>
        <v>0</v>
      </c>
    </row>
    <row r="20" spans="2:10" ht="19.899999999999999" customHeight="1" x14ac:dyDescent="0.3">
      <c r="B20" s="85"/>
      <c r="C20" s="85"/>
      <c r="D20" s="100"/>
      <c r="E20" s="86"/>
      <c r="F20" s="146"/>
      <c r="G20" s="146"/>
      <c r="H20" s="86"/>
      <c r="I20" s="85"/>
      <c r="J20">
        <f t="shared" si="1"/>
        <v>0</v>
      </c>
    </row>
    <row r="21" spans="2:10" ht="19.899999999999999" customHeight="1" x14ac:dyDescent="0.3">
      <c r="B21" s="85"/>
      <c r="C21" s="85"/>
      <c r="D21" s="100"/>
      <c r="E21" s="86"/>
      <c r="F21" s="146"/>
      <c r="G21" s="146"/>
      <c r="H21" s="86"/>
      <c r="I21" s="85"/>
      <c r="J21">
        <f t="shared" si="1"/>
        <v>0</v>
      </c>
    </row>
    <row r="22" spans="2:10" ht="19.899999999999999" customHeight="1" x14ac:dyDescent="0.3">
      <c r="B22" s="85"/>
      <c r="C22" s="85"/>
      <c r="D22" s="100"/>
      <c r="E22" s="86"/>
      <c r="F22" s="146"/>
      <c r="G22" s="146"/>
      <c r="H22" s="86"/>
      <c r="I22" s="85"/>
      <c r="J22">
        <f t="shared" si="1"/>
        <v>0</v>
      </c>
    </row>
    <row r="23" spans="2:10" ht="19.899999999999999" customHeight="1" x14ac:dyDescent="0.3">
      <c r="B23" s="85"/>
      <c r="C23" s="85"/>
      <c r="D23" s="100"/>
      <c r="E23" s="86"/>
      <c r="F23" s="146"/>
      <c r="G23" s="146"/>
      <c r="H23" s="86"/>
      <c r="I23" s="85"/>
      <c r="J23">
        <f t="shared" si="1"/>
        <v>0</v>
      </c>
    </row>
    <row r="24" spans="2:10" ht="19.899999999999999" customHeight="1" x14ac:dyDescent="0.3">
      <c r="B24" s="85"/>
      <c r="C24" s="85"/>
      <c r="D24" s="100"/>
      <c r="E24" s="86"/>
      <c r="F24" s="146"/>
      <c r="G24" s="146"/>
      <c r="H24" s="86"/>
      <c r="I24" s="85"/>
      <c r="J24">
        <f t="shared" si="1"/>
        <v>0</v>
      </c>
    </row>
    <row r="25" spans="2:10" ht="19.899999999999999" customHeight="1" x14ac:dyDescent="0.3">
      <c r="B25" s="85"/>
      <c r="C25" s="85"/>
      <c r="D25" s="100"/>
      <c r="E25" s="86"/>
      <c r="F25" s="146"/>
      <c r="G25" s="146"/>
      <c r="H25" s="86"/>
      <c r="I25" s="85"/>
      <c r="J25">
        <f t="shared" si="1"/>
        <v>0</v>
      </c>
    </row>
    <row r="26" spans="2:10" ht="19.899999999999999" customHeight="1" x14ac:dyDescent="0.3">
      <c r="B26" s="85"/>
      <c r="C26" s="85"/>
      <c r="D26" s="100"/>
      <c r="E26" s="86"/>
      <c r="F26" s="146"/>
      <c r="G26" s="146"/>
      <c r="H26" s="86"/>
      <c r="I26" s="85"/>
      <c r="J26">
        <f t="shared" si="1"/>
        <v>0</v>
      </c>
    </row>
    <row r="27" spans="2:10" ht="19.899999999999999" customHeight="1" x14ac:dyDescent="0.3">
      <c r="B27" s="85"/>
      <c r="C27" s="85"/>
      <c r="D27" s="100"/>
      <c r="E27" s="86"/>
      <c r="F27" s="146"/>
      <c r="G27" s="146"/>
      <c r="H27" s="86"/>
      <c r="I27" s="85"/>
      <c r="J27">
        <f t="shared" si="1"/>
        <v>0</v>
      </c>
    </row>
    <row r="28" spans="2:10" ht="19.899999999999999" customHeight="1" x14ac:dyDescent="0.3">
      <c r="B28" s="85"/>
      <c r="C28" s="85"/>
      <c r="D28" s="100"/>
      <c r="E28" s="86"/>
      <c r="F28" s="146"/>
      <c r="G28" s="146"/>
      <c r="H28" s="86"/>
      <c r="I28" s="85"/>
      <c r="J28">
        <f t="shared" si="1"/>
        <v>0</v>
      </c>
    </row>
    <row r="29" spans="2:10" ht="19.899999999999999" customHeight="1" x14ac:dyDescent="0.3">
      <c r="B29" s="85"/>
      <c r="C29" s="85"/>
      <c r="D29" s="100"/>
      <c r="E29" s="86"/>
      <c r="F29" s="146"/>
      <c r="G29" s="146"/>
      <c r="H29" s="86"/>
      <c r="I29" s="85"/>
      <c r="J29">
        <f t="shared" si="1"/>
        <v>0</v>
      </c>
    </row>
    <row r="30" spans="2:10" ht="19.899999999999999" customHeight="1" x14ac:dyDescent="0.3">
      <c r="B30" s="85"/>
      <c r="C30" s="85"/>
      <c r="D30" s="100"/>
      <c r="E30" s="86"/>
      <c r="F30" s="146"/>
      <c r="G30" s="146"/>
      <c r="H30" s="86"/>
      <c r="I30" s="85"/>
      <c r="J30">
        <f t="shared" si="1"/>
        <v>0</v>
      </c>
    </row>
    <row r="31" spans="2:10" ht="19.899999999999999" customHeight="1" x14ac:dyDescent="0.3">
      <c r="B31" s="85"/>
      <c r="C31" s="85"/>
      <c r="D31" s="100"/>
      <c r="E31" s="86"/>
      <c r="F31" s="146"/>
      <c r="G31" s="146"/>
      <c r="H31" s="86"/>
      <c r="I31" s="85"/>
      <c r="J31">
        <f t="shared" si="1"/>
        <v>0</v>
      </c>
    </row>
    <row r="32" spans="2:10" ht="19.899999999999999" customHeight="1" x14ac:dyDescent="0.3">
      <c r="B32" s="85"/>
      <c r="C32" s="85"/>
      <c r="D32" s="100"/>
      <c r="E32" s="86"/>
      <c r="F32" s="146"/>
      <c r="G32" s="146"/>
      <c r="H32" s="86"/>
      <c r="I32" s="85"/>
      <c r="J32">
        <f t="shared" si="1"/>
        <v>0</v>
      </c>
    </row>
    <row r="33" spans="2:10" ht="19.899999999999999" customHeight="1" x14ac:dyDescent="0.3">
      <c r="B33" s="85"/>
      <c r="C33" s="85"/>
      <c r="D33" s="100"/>
      <c r="E33" s="86"/>
      <c r="F33" s="146"/>
      <c r="G33" s="146"/>
      <c r="H33" s="86"/>
      <c r="I33" s="85"/>
      <c r="J33">
        <f t="shared" si="1"/>
        <v>0</v>
      </c>
    </row>
    <row r="34" spans="2:10" ht="19.899999999999999" customHeight="1" x14ac:dyDescent="0.3">
      <c r="B34" s="85"/>
      <c r="C34" s="85"/>
      <c r="D34" s="100"/>
      <c r="E34" s="86"/>
      <c r="F34" s="146"/>
      <c r="G34" s="146"/>
      <c r="H34" s="86"/>
      <c r="I34" s="85"/>
      <c r="J34">
        <f t="shared" si="1"/>
        <v>0</v>
      </c>
    </row>
    <row r="35" spans="2:10" ht="19.899999999999999" customHeight="1" x14ac:dyDescent="0.3">
      <c r="B35" s="38"/>
      <c r="C35" s="38"/>
      <c r="D35" s="38"/>
      <c r="E35" s="38"/>
      <c r="F35" s="38"/>
      <c r="G35" s="38"/>
      <c r="H35" s="38"/>
      <c r="I35" s="38"/>
    </row>
    <row r="36" spans="2:10" ht="19.899999999999999" customHeight="1" x14ac:dyDescent="0.3">
      <c r="B36" s="38"/>
      <c r="C36" s="38"/>
      <c r="D36" s="38"/>
      <c r="E36" s="38"/>
      <c r="F36" s="38"/>
      <c r="G36" s="38"/>
      <c r="H36" s="38"/>
      <c r="I36" s="38"/>
    </row>
    <row r="37" spans="2:10" ht="19.899999999999999" customHeight="1" x14ac:dyDescent="0.3">
      <c r="B37" s="11" t="s">
        <v>106</v>
      </c>
      <c r="C37" s="11"/>
      <c r="D37" s="1"/>
      <c r="E37" s="1"/>
      <c r="F37" s="1"/>
      <c r="G37" s="1"/>
      <c r="H37" s="1"/>
      <c r="I37" s="1"/>
    </row>
    <row r="38" spans="2:10" ht="19.899999999999999" customHeight="1" x14ac:dyDescent="0.3">
      <c r="B38" s="18" t="s">
        <v>256</v>
      </c>
      <c r="C38" s="18"/>
      <c r="D38" s="1"/>
      <c r="E38" s="1"/>
      <c r="F38" s="1"/>
      <c r="G38" s="1"/>
      <c r="H38" s="1"/>
      <c r="I38" s="1"/>
    </row>
    <row r="39" spans="2:10" ht="19.899999999999999" customHeight="1" x14ac:dyDescent="0.3">
      <c r="B39" s="18" t="s">
        <v>261</v>
      </c>
      <c r="C39" s="18"/>
      <c r="D39" s="1"/>
      <c r="E39" s="1"/>
      <c r="F39" s="1"/>
      <c r="G39" s="1"/>
      <c r="H39" s="1"/>
      <c r="I39" s="1"/>
    </row>
    <row r="40" spans="2:10" ht="19.899999999999999" customHeight="1" x14ac:dyDescent="0.3">
      <c r="B40" s="18" t="s">
        <v>262</v>
      </c>
      <c r="C40" s="18"/>
      <c r="D40" s="1"/>
      <c r="E40" s="1"/>
      <c r="F40" s="1"/>
      <c r="G40" s="1"/>
      <c r="H40" s="1"/>
      <c r="I40" s="1"/>
    </row>
    <row r="41" spans="2:10" ht="19.899999999999999" customHeight="1" x14ac:dyDescent="0.3">
      <c r="B41" s="18" t="s">
        <v>263</v>
      </c>
      <c r="C41" s="18"/>
      <c r="D41" s="1"/>
      <c r="E41" s="1"/>
      <c r="F41" s="1"/>
      <c r="G41" s="1"/>
      <c r="H41" s="1"/>
      <c r="I41" s="1"/>
    </row>
    <row r="42" spans="2:10" ht="19.899999999999999" customHeight="1" x14ac:dyDescent="0.3">
      <c r="B42" s="18" t="s">
        <v>264</v>
      </c>
      <c r="C42" s="18"/>
      <c r="D42" s="1"/>
      <c r="E42" s="1"/>
      <c r="F42" s="1"/>
      <c r="G42" s="1"/>
      <c r="H42" s="1"/>
      <c r="I42" s="1"/>
    </row>
    <row r="43" spans="2:10" ht="19.899999999999999" customHeight="1" x14ac:dyDescent="0.3">
      <c r="B43" s="18" t="s">
        <v>260</v>
      </c>
      <c r="C43" s="18"/>
      <c r="D43" s="1"/>
      <c r="E43" s="1"/>
      <c r="F43" s="1"/>
      <c r="G43" s="1"/>
      <c r="H43" s="1"/>
      <c r="I43" s="1"/>
    </row>
    <row r="44" spans="2:10" ht="19.899999999999999" customHeight="1" x14ac:dyDescent="0.3">
      <c r="B44" s="18" t="s">
        <v>327</v>
      </c>
      <c r="C44" s="18"/>
      <c r="D44" s="1"/>
      <c r="E44" s="1"/>
      <c r="F44" s="1"/>
      <c r="G44" s="1"/>
      <c r="H44" s="1"/>
      <c r="I44" s="1"/>
    </row>
    <row r="46" spans="2:10" ht="20.25" x14ac:dyDescent="0.3">
      <c r="B46" s="79" t="s">
        <v>236</v>
      </c>
      <c r="C46" s="72"/>
      <c r="D46" s="72"/>
      <c r="E46" s="72"/>
      <c r="F46" s="72"/>
      <c r="G46" s="72"/>
      <c r="H46" s="72"/>
      <c r="I46" s="72"/>
    </row>
    <row r="47" spans="2:10" x14ac:dyDescent="0.3">
      <c r="B47" s="72"/>
      <c r="C47" s="72"/>
      <c r="D47" s="72"/>
      <c r="E47" s="72"/>
      <c r="F47" s="72"/>
      <c r="G47" s="72"/>
      <c r="H47" s="72"/>
      <c r="I47" s="72"/>
    </row>
    <row r="48" spans="2:10" x14ac:dyDescent="0.3">
      <c r="B48" s="211" t="s">
        <v>11</v>
      </c>
      <c r="C48" s="212" t="s">
        <v>220</v>
      </c>
      <c r="D48" s="211" t="s">
        <v>221</v>
      </c>
      <c r="E48" s="211" t="s">
        <v>222</v>
      </c>
      <c r="F48" s="214" t="s">
        <v>223</v>
      </c>
      <c r="G48" s="214"/>
      <c r="H48" s="211" t="s">
        <v>224</v>
      </c>
      <c r="I48" s="211" t="s">
        <v>225</v>
      </c>
    </row>
    <row r="49" spans="2:9" ht="17.25" x14ac:dyDescent="0.3">
      <c r="B49" s="211"/>
      <c r="C49" s="213"/>
      <c r="D49" s="211"/>
      <c r="E49" s="211"/>
      <c r="F49" s="60" t="s">
        <v>125</v>
      </c>
      <c r="G49" s="60" t="s">
        <v>126</v>
      </c>
      <c r="H49" s="211"/>
      <c r="I49" s="211"/>
    </row>
    <row r="50" spans="2:9" x14ac:dyDescent="0.3">
      <c r="B50" s="80" t="s">
        <v>122</v>
      </c>
      <c r="C50" s="80" t="s">
        <v>234</v>
      </c>
      <c r="D50" s="81" t="s">
        <v>257</v>
      </c>
      <c r="E50" s="81" t="s">
        <v>258</v>
      </c>
      <c r="F50" s="82" t="s">
        <v>270</v>
      </c>
      <c r="G50" s="83" t="s">
        <v>271</v>
      </c>
      <c r="H50" s="81" t="s">
        <v>259</v>
      </c>
      <c r="I50" s="80" t="s">
        <v>123</v>
      </c>
    </row>
    <row r="51" spans="2:9" x14ac:dyDescent="0.3">
      <c r="B51" s="80"/>
      <c r="C51" s="80"/>
      <c r="D51" s="81"/>
      <c r="E51" s="81"/>
      <c r="F51" s="82"/>
      <c r="G51" s="83"/>
      <c r="H51" s="81"/>
      <c r="I51" s="80"/>
    </row>
    <row r="52" spans="2:9" x14ac:dyDescent="0.3">
      <c r="B52" s="72"/>
      <c r="C52" s="72"/>
      <c r="D52" s="72"/>
      <c r="E52" s="72"/>
      <c r="F52" s="72"/>
      <c r="G52" s="72"/>
      <c r="H52" s="72"/>
      <c r="I52" s="72"/>
    </row>
    <row r="53" spans="2:9" ht="19.5" x14ac:dyDescent="0.3">
      <c r="B53" s="84" t="s">
        <v>255</v>
      </c>
      <c r="C53" s="84"/>
      <c r="D53" s="72"/>
      <c r="E53" s="72"/>
      <c r="F53" s="72"/>
      <c r="G53" s="72"/>
      <c r="H53" s="72"/>
      <c r="I53" s="72"/>
    </row>
    <row r="54" spans="2:9" x14ac:dyDescent="0.3">
      <c r="B54" s="72"/>
      <c r="C54" s="72"/>
      <c r="D54" s="72"/>
      <c r="E54" s="72"/>
      <c r="F54" s="72"/>
      <c r="G54" s="72"/>
      <c r="H54" s="72"/>
      <c r="I54" s="72"/>
    </row>
  </sheetData>
  <sheetProtection password="DE44" sheet="1" objects="1" scenarios="1" formatRows="0"/>
  <mergeCells count="14">
    <mergeCell ref="H3:H4"/>
    <mergeCell ref="I3:I4"/>
    <mergeCell ref="B48:B49"/>
    <mergeCell ref="C48:C49"/>
    <mergeCell ref="D48:D49"/>
    <mergeCell ref="E48:E49"/>
    <mergeCell ref="F48:G48"/>
    <mergeCell ref="H48:H49"/>
    <mergeCell ref="I48:I49"/>
    <mergeCell ref="C3:C4"/>
    <mergeCell ref="B3:B4"/>
    <mergeCell ref="D3:D4"/>
    <mergeCell ref="E3:E4"/>
    <mergeCell ref="F3:G3"/>
  </mergeCells>
  <phoneticPr fontId="1" type="noConversion"/>
  <dataValidations count="4">
    <dataValidation type="list" allowBlank="1" showInputMessage="1" showErrorMessage="1" sqref="D5:D35" xr:uid="{A1ED2B2A-3BC6-4A61-8AFA-AFA108464FB9}">
      <formula1>"법규준수, 보안강화, 인프라개선, 영업지원, 운영안정성, 신규사업지원, 신기술도입, 역량강화, 기타"</formula1>
    </dataValidation>
    <dataValidation type="list" allowBlank="1" showInputMessage="1" showErrorMessage="1" sqref="I50:I51 I5:I34" xr:uid="{C58373A5-D057-421C-BA0B-56D3D9388266}">
      <formula1>"완료, 진행중,미착수,폐기"</formula1>
    </dataValidation>
    <dataValidation type="list" allowBlank="1" showInputMessage="1" showErrorMessage="1" sqref="B50:B51 B5:B34" xr:uid="{BF2C5C84-E45D-445C-BC17-04F0926FCF01}">
      <formula1>"정보기술, 정보보안"</formula1>
    </dataValidation>
    <dataValidation type="list" allowBlank="1" showInputMessage="1" showErrorMessage="1" sqref="C50:C51 C5:C34" xr:uid="{A6577C5F-9ECB-417D-8A83-7B20E1E57F47}">
      <formula1>"O, X(신규)"</formula1>
    </dataValidation>
  </dataValidations>
  <pageMargins left="0.25" right="0.25" top="0.75" bottom="0.75" header="0.3" footer="0.3"/>
  <pageSetup paperSize="9" scale="4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2"/>
  <sheetViews>
    <sheetView zoomScale="70" zoomScaleNormal="70" workbookViewId="0">
      <selection activeCell="N17" sqref="N17"/>
    </sheetView>
  </sheetViews>
  <sheetFormatPr defaultRowHeight="16.5" x14ac:dyDescent="0.3"/>
  <cols>
    <col min="2" max="2" width="12.75" customWidth="1"/>
    <col min="3" max="3" width="25.75" customWidth="1"/>
    <col min="4" max="4" width="30.75" customWidth="1"/>
    <col min="5" max="6" width="15.75" customWidth="1"/>
    <col min="7" max="7" width="50.75" customWidth="1"/>
    <col min="8" max="8" width="25.75" customWidth="1"/>
    <col min="9" max="9" width="9" hidden="1" customWidth="1"/>
  </cols>
  <sheetData>
    <row r="1" spans="1:9" ht="27" thickBot="1" x14ac:dyDescent="0.35">
      <c r="A1" s="51" t="s">
        <v>214</v>
      </c>
      <c r="B1" s="7"/>
      <c r="C1" s="7"/>
      <c r="D1" s="7"/>
      <c r="E1" s="7"/>
      <c r="F1" s="7"/>
      <c r="G1" s="7"/>
      <c r="H1" s="7"/>
    </row>
    <row r="2" spans="1:9" ht="19.899999999999999" customHeight="1" x14ac:dyDescent="0.3"/>
    <row r="3" spans="1:9" ht="19.899999999999999" customHeight="1" x14ac:dyDescent="0.3">
      <c r="B3" s="211" t="s">
        <v>11</v>
      </c>
      <c r="C3" s="211" t="s">
        <v>90</v>
      </c>
      <c r="D3" s="211" t="s">
        <v>87</v>
      </c>
      <c r="E3" s="214" t="s">
        <v>124</v>
      </c>
      <c r="F3" s="214"/>
      <c r="G3" s="211" t="s">
        <v>12</v>
      </c>
      <c r="H3" s="211" t="s">
        <v>127</v>
      </c>
    </row>
    <row r="4" spans="1:9" ht="19.899999999999999" customHeight="1" x14ac:dyDescent="0.3">
      <c r="B4" s="211"/>
      <c r="C4" s="211"/>
      <c r="D4" s="211"/>
      <c r="E4" s="8" t="s">
        <v>125</v>
      </c>
      <c r="F4" s="8" t="s">
        <v>126</v>
      </c>
      <c r="G4" s="211"/>
      <c r="H4" s="211"/>
      <c r="I4" t="s">
        <v>265</v>
      </c>
    </row>
    <row r="5" spans="1:9" ht="19.899999999999999" customHeight="1" x14ac:dyDescent="0.3">
      <c r="B5" s="85"/>
      <c r="C5" s="100"/>
      <c r="D5" s="86"/>
      <c r="E5" s="86"/>
      <c r="F5" s="86"/>
      <c r="G5" s="86"/>
      <c r="H5" s="85"/>
      <c r="I5">
        <f>IF(COUNTA(B5:H5)&gt;=6,1,0)</f>
        <v>0</v>
      </c>
    </row>
    <row r="6" spans="1:9" ht="19.899999999999999" customHeight="1" x14ac:dyDescent="0.3">
      <c r="B6" s="85"/>
      <c r="C6" s="100"/>
      <c r="D6" s="86"/>
      <c r="E6" s="86"/>
      <c r="F6" s="86"/>
      <c r="G6" s="86"/>
      <c r="H6" s="85"/>
      <c r="I6">
        <f t="shared" ref="I6:I34" si="0">IF(COUNTA(B6:H6)&gt;=6,1,0)</f>
        <v>0</v>
      </c>
    </row>
    <row r="7" spans="1:9" ht="19.899999999999999" customHeight="1" x14ac:dyDescent="0.3">
      <c r="B7" s="85"/>
      <c r="C7" s="100"/>
      <c r="D7" s="86"/>
      <c r="E7" s="86"/>
      <c r="F7" s="86"/>
      <c r="G7" s="86"/>
      <c r="H7" s="85"/>
      <c r="I7">
        <f t="shared" si="0"/>
        <v>0</v>
      </c>
    </row>
    <row r="8" spans="1:9" ht="19.899999999999999" customHeight="1" x14ac:dyDescent="0.3">
      <c r="B8" s="85"/>
      <c r="C8" s="100"/>
      <c r="D8" s="86"/>
      <c r="E8" s="86"/>
      <c r="F8" s="86"/>
      <c r="G8" s="86"/>
      <c r="H8" s="85"/>
      <c r="I8">
        <f t="shared" si="0"/>
        <v>0</v>
      </c>
    </row>
    <row r="9" spans="1:9" ht="19.899999999999999" customHeight="1" x14ac:dyDescent="0.3">
      <c r="B9" s="85"/>
      <c r="C9" s="100"/>
      <c r="D9" s="86"/>
      <c r="E9" s="86"/>
      <c r="F9" s="86"/>
      <c r="G9" s="86"/>
      <c r="H9" s="85"/>
      <c r="I9">
        <f t="shared" si="0"/>
        <v>0</v>
      </c>
    </row>
    <row r="10" spans="1:9" ht="19.899999999999999" customHeight="1" x14ac:dyDescent="0.3">
      <c r="B10" s="85"/>
      <c r="C10" s="100"/>
      <c r="D10" s="86"/>
      <c r="E10" s="86"/>
      <c r="F10" s="86"/>
      <c r="G10" s="86"/>
      <c r="H10" s="85"/>
      <c r="I10">
        <f t="shared" si="0"/>
        <v>0</v>
      </c>
    </row>
    <row r="11" spans="1:9" ht="19.899999999999999" customHeight="1" x14ac:dyDescent="0.3">
      <c r="B11" s="85"/>
      <c r="C11" s="100"/>
      <c r="D11" s="86"/>
      <c r="E11" s="86"/>
      <c r="F11" s="86"/>
      <c r="G11" s="86"/>
      <c r="H11" s="85"/>
      <c r="I11">
        <f t="shared" si="0"/>
        <v>0</v>
      </c>
    </row>
    <row r="12" spans="1:9" ht="19.899999999999999" customHeight="1" x14ac:dyDescent="0.3">
      <c r="B12" s="85"/>
      <c r="C12" s="100"/>
      <c r="D12" s="86"/>
      <c r="E12" s="86"/>
      <c r="F12" s="86"/>
      <c r="G12" s="86"/>
      <c r="H12" s="85"/>
      <c r="I12">
        <f t="shared" si="0"/>
        <v>0</v>
      </c>
    </row>
    <row r="13" spans="1:9" ht="19.899999999999999" customHeight="1" x14ac:dyDescent="0.3">
      <c r="B13" s="85"/>
      <c r="C13" s="100"/>
      <c r="D13" s="86"/>
      <c r="E13" s="86"/>
      <c r="F13" s="86"/>
      <c r="G13" s="86"/>
      <c r="H13" s="85"/>
      <c r="I13">
        <f t="shared" si="0"/>
        <v>0</v>
      </c>
    </row>
    <row r="14" spans="1:9" ht="19.899999999999999" customHeight="1" x14ac:dyDescent="0.3">
      <c r="B14" s="85"/>
      <c r="C14" s="100"/>
      <c r="D14" s="86"/>
      <c r="E14" s="86"/>
      <c r="F14" s="86"/>
      <c r="G14" s="86"/>
      <c r="H14" s="85"/>
      <c r="I14">
        <f t="shared" si="0"/>
        <v>0</v>
      </c>
    </row>
    <row r="15" spans="1:9" ht="19.899999999999999" customHeight="1" x14ac:dyDescent="0.3">
      <c r="B15" s="85"/>
      <c r="C15" s="100"/>
      <c r="D15" s="86"/>
      <c r="E15" s="86"/>
      <c r="F15" s="86"/>
      <c r="G15" s="86"/>
      <c r="H15" s="85"/>
      <c r="I15">
        <f t="shared" si="0"/>
        <v>0</v>
      </c>
    </row>
    <row r="16" spans="1:9" ht="19.899999999999999" customHeight="1" x14ac:dyDescent="0.3">
      <c r="B16" s="85"/>
      <c r="C16" s="100"/>
      <c r="D16" s="86"/>
      <c r="E16" s="86"/>
      <c r="F16" s="86"/>
      <c r="G16" s="86"/>
      <c r="H16" s="85"/>
      <c r="I16">
        <f t="shared" si="0"/>
        <v>0</v>
      </c>
    </row>
    <row r="17" spans="2:9" ht="19.899999999999999" customHeight="1" x14ac:dyDescent="0.3">
      <c r="B17" s="85"/>
      <c r="C17" s="100"/>
      <c r="D17" s="86"/>
      <c r="E17" s="86"/>
      <c r="F17" s="86"/>
      <c r="G17" s="86"/>
      <c r="H17" s="85"/>
      <c r="I17">
        <f t="shared" si="0"/>
        <v>0</v>
      </c>
    </row>
    <row r="18" spans="2:9" ht="19.899999999999999" customHeight="1" x14ac:dyDescent="0.3">
      <c r="B18" s="85"/>
      <c r="C18" s="100"/>
      <c r="D18" s="86"/>
      <c r="E18" s="86"/>
      <c r="F18" s="86"/>
      <c r="G18" s="86"/>
      <c r="H18" s="85"/>
      <c r="I18">
        <f t="shared" si="0"/>
        <v>0</v>
      </c>
    </row>
    <row r="19" spans="2:9" ht="19.899999999999999" customHeight="1" x14ac:dyDescent="0.3">
      <c r="B19" s="85"/>
      <c r="C19" s="100"/>
      <c r="D19" s="86"/>
      <c r="E19" s="86"/>
      <c r="F19" s="86"/>
      <c r="G19" s="86"/>
      <c r="H19" s="85"/>
      <c r="I19">
        <f t="shared" si="0"/>
        <v>0</v>
      </c>
    </row>
    <row r="20" spans="2:9" ht="19.899999999999999" customHeight="1" x14ac:dyDescent="0.3">
      <c r="B20" s="85"/>
      <c r="C20" s="100"/>
      <c r="D20" s="86"/>
      <c r="E20" s="86"/>
      <c r="F20" s="86"/>
      <c r="G20" s="86"/>
      <c r="H20" s="85"/>
      <c r="I20">
        <f t="shared" si="0"/>
        <v>0</v>
      </c>
    </row>
    <row r="21" spans="2:9" ht="19.899999999999999" customHeight="1" x14ac:dyDescent="0.3">
      <c r="B21" s="85"/>
      <c r="C21" s="100"/>
      <c r="D21" s="86"/>
      <c r="E21" s="86"/>
      <c r="F21" s="86"/>
      <c r="G21" s="86"/>
      <c r="H21" s="85"/>
      <c r="I21">
        <f t="shared" si="0"/>
        <v>0</v>
      </c>
    </row>
    <row r="22" spans="2:9" ht="19.899999999999999" customHeight="1" x14ac:dyDescent="0.3">
      <c r="B22" s="85"/>
      <c r="C22" s="100"/>
      <c r="D22" s="86"/>
      <c r="E22" s="86"/>
      <c r="F22" s="86"/>
      <c r="G22" s="86"/>
      <c r="H22" s="85"/>
      <c r="I22">
        <f t="shared" si="0"/>
        <v>0</v>
      </c>
    </row>
    <row r="23" spans="2:9" ht="19.899999999999999" customHeight="1" x14ac:dyDescent="0.3">
      <c r="B23" s="85"/>
      <c r="C23" s="100"/>
      <c r="D23" s="86"/>
      <c r="E23" s="86"/>
      <c r="F23" s="86"/>
      <c r="G23" s="86"/>
      <c r="H23" s="85"/>
      <c r="I23">
        <f t="shared" si="0"/>
        <v>0</v>
      </c>
    </row>
    <row r="24" spans="2:9" ht="19.899999999999999" customHeight="1" x14ac:dyDescent="0.3">
      <c r="B24" s="85"/>
      <c r="C24" s="100"/>
      <c r="D24" s="86"/>
      <c r="E24" s="86"/>
      <c r="F24" s="86"/>
      <c r="G24" s="86"/>
      <c r="H24" s="85"/>
      <c r="I24">
        <f t="shared" si="0"/>
        <v>0</v>
      </c>
    </row>
    <row r="25" spans="2:9" ht="19.899999999999999" customHeight="1" x14ac:dyDescent="0.3">
      <c r="B25" s="85"/>
      <c r="C25" s="100"/>
      <c r="D25" s="86"/>
      <c r="E25" s="86"/>
      <c r="F25" s="86"/>
      <c r="G25" s="86"/>
      <c r="H25" s="85"/>
      <c r="I25">
        <f t="shared" si="0"/>
        <v>0</v>
      </c>
    </row>
    <row r="26" spans="2:9" ht="19.899999999999999" customHeight="1" x14ac:dyDescent="0.3">
      <c r="B26" s="85"/>
      <c r="C26" s="100"/>
      <c r="D26" s="86"/>
      <c r="E26" s="86"/>
      <c r="F26" s="86"/>
      <c r="G26" s="86"/>
      <c r="H26" s="85"/>
      <c r="I26">
        <f t="shared" si="0"/>
        <v>0</v>
      </c>
    </row>
    <row r="27" spans="2:9" ht="19.899999999999999" customHeight="1" x14ac:dyDescent="0.3">
      <c r="B27" s="85"/>
      <c r="C27" s="100"/>
      <c r="D27" s="86"/>
      <c r="E27" s="86"/>
      <c r="F27" s="86"/>
      <c r="G27" s="86"/>
      <c r="H27" s="85"/>
      <c r="I27">
        <f t="shared" si="0"/>
        <v>0</v>
      </c>
    </row>
    <row r="28" spans="2:9" ht="19.899999999999999" customHeight="1" x14ac:dyDescent="0.3">
      <c r="B28" s="85"/>
      <c r="C28" s="100"/>
      <c r="D28" s="86"/>
      <c r="E28" s="86"/>
      <c r="F28" s="86"/>
      <c r="G28" s="86"/>
      <c r="H28" s="85"/>
      <c r="I28">
        <f t="shared" si="0"/>
        <v>0</v>
      </c>
    </row>
    <row r="29" spans="2:9" ht="19.899999999999999" customHeight="1" x14ac:dyDescent="0.3">
      <c r="B29" s="85"/>
      <c r="C29" s="100"/>
      <c r="D29" s="86"/>
      <c r="E29" s="86"/>
      <c r="F29" s="86"/>
      <c r="G29" s="86"/>
      <c r="H29" s="85"/>
      <c r="I29">
        <f t="shared" si="0"/>
        <v>0</v>
      </c>
    </row>
    <row r="30" spans="2:9" ht="19.899999999999999" customHeight="1" x14ac:dyDescent="0.3">
      <c r="B30" s="85"/>
      <c r="C30" s="100"/>
      <c r="D30" s="86"/>
      <c r="E30" s="86"/>
      <c r="F30" s="86"/>
      <c r="G30" s="86"/>
      <c r="H30" s="85"/>
      <c r="I30">
        <f t="shared" si="0"/>
        <v>0</v>
      </c>
    </row>
    <row r="31" spans="2:9" ht="19.899999999999999" customHeight="1" x14ac:dyDescent="0.3">
      <c r="B31" s="85"/>
      <c r="C31" s="100"/>
      <c r="D31" s="86"/>
      <c r="E31" s="86"/>
      <c r="F31" s="86"/>
      <c r="G31" s="86"/>
      <c r="H31" s="85"/>
      <c r="I31">
        <f t="shared" si="0"/>
        <v>0</v>
      </c>
    </row>
    <row r="32" spans="2:9" ht="19.899999999999999" customHeight="1" x14ac:dyDescent="0.3">
      <c r="B32" s="85"/>
      <c r="C32" s="100"/>
      <c r="D32" s="86"/>
      <c r="E32" s="86"/>
      <c r="F32" s="86"/>
      <c r="G32" s="86"/>
      <c r="H32" s="85"/>
      <c r="I32">
        <f t="shared" si="0"/>
        <v>0</v>
      </c>
    </row>
    <row r="33" spans="2:9" ht="19.899999999999999" customHeight="1" x14ac:dyDescent="0.3">
      <c r="B33" s="85"/>
      <c r="C33" s="100"/>
      <c r="D33" s="86"/>
      <c r="E33" s="86"/>
      <c r="F33" s="86"/>
      <c r="G33" s="86"/>
      <c r="H33" s="85"/>
      <c r="I33">
        <f t="shared" si="0"/>
        <v>0</v>
      </c>
    </row>
    <row r="34" spans="2:9" ht="19.899999999999999" customHeight="1" x14ac:dyDescent="0.3">
      <c r="B34" s="85"/>
      <c r="C34" s="100"/>
      <c r="D34" s="86"/>
      <c r="E34" s="86"/>
      <c r="F34" s="86"/>
      <c r="G34" s="86"/>
      <c r="H34" s="85"/>
      <c r="I34">
        <f t="shared" si="0"/>
        <v>0</v>
      </c>
    </row>
    <row r="35" spans="2:9" ht="19.899999999999999" customHeight="1" x14ac:dyDescent="0.3">
      <c r="B35" s="38"/>
      <c r="C35" s="38"/>
      <c r="D35" s="38"/>
      <c r="E35" s="38"/>
      <c r="F35" s="38"/>
      <c r="G35" s="38"/>
      <c r="H35" s="38"/>
    </row>
    <row r="36" spans="2:9" ht="19.899999999999999" customHeight="1" x14ac:dyDescent="0.3">
      <c r="B36" s="38"/>
      <c r="C36" s="38"/>
      <c r="D36" s="38"/>
      <c r="E36" s="38"/>
      <c r="F36" s="38"/>
      <c r="G36" s="38"/>
      <c r="H36" s="38"/>
    </row>
    <row r="37" spans="2:9" ht="19.899999999999999" customHeight="1" x14ac:dyDescent="0.3">
      <c r="B37" s="11" t="s">
        <v>106</v>
      </c>
      <c r="C37" s="1"/>
      <c r="D37" s="1"/>
      <c r="E37" s="1"/>
      <c r="F37" s="1"/>
      <c r="G37" s="1"/>
      <c r="H37" s="1"/>
    </row>
    <row r="38" spans="2:9" ht="19.899999999999999" customHeight="1" x14ac:dyDescent="0.3">
      <c r="B38" s="18" t="s">
        <v>256</v>
      </c>
      <c r="C38" s="1"/>
      <c r="D38" s="1"/>
      <c r="E38" s="1"/>
      <c r="F38" s="1"/>
      <c r="G38" s="1"/>
      <c r="H38" s="1"/>
    </row>
    <row r="39" spans="2:9" ht="19.899999999999999" customHeight="1" x14ac:dyDescent="0.3">
      <c r="B39" s="18" t="s">
        <v>266</v>
      </c>
      <c r="C39" s="1"/>
      <c r="D39" s="1"/>
      <c r="E39" s="1"/>
      <c r="F39" s="1"/>
      <c r="G39" s="1"/>
      <c r="H39" s="1"/>
    </row>
    <row r="40" spans="2:9" ht="19.899999999999999" customHeight="1" x14ac:dyDescent="0.3">
      <c r="B40" s="18" t="s">
        <v>267</v>
      </c>
      <c r="C40" s="1"/>
      <c r="D40" s="1"/>
      <c r="E40" s="1"/>
      <c r="F40" s="1"/>
      <c r="G40" s="1"/>
      <c r="H40" s="1"/>
    </row>
    <row r="41" spans="2:9" ht="19.899999999999999" customHeight="1" x14ac:dyDescent="0.3">
      <c r="B41" s="18" t="s">
        <v>268</v>
      </c>
      <c r="C41" s="1"/>
      <c r="D41" s="1"/>
      <c r="E41" s="1"/>
      <c r="F41" s="1"/>
      <c r="G41" s="1"/>
      <c r="H41" s="1"/>
    </row>
    <row r="42" spans="2:9" ht="19.899999999999999" customHeight="1" x14ac:dyDescent="0.3">
      <c r="B42" s="18" t="s">
        <v>328</v>
      </c>
      <c r="C42" s="1"/>
      <c r="D42" s="1"/>
      <c r="E42" s="1"/>
      <c r="F42" s="1"/>
      <c r="G42" s="1"/>
      <c r="H42" s="1"/>
    </row>
    <row r="44" spans="2:9" ht="20.25" x14ac:dyDescent="0.3">
      <c r="B44" s="79" t="s">
        <v>236</v>
      </c>
      <c r="C44" s="72"/>
      <c r="D44" s="72"/>
      <c r="E44" s="72"/>
      <c r="F44" s="72"/>
      <c r="G44" s="72"/>
      <c r="H44" s="72"/>
    </row>
    <row r="45" spans="2:9" x14ac:dyDescent="0.3">
      <c r="B45" s="72"/>
      <c r="C45" s="72"/>
      <c r="D45" s="72"/>
      <c r="E45" s="72"/>
      <c r="F45" s="72"/>
      <c r="G45" s="72"/>
      <c r="H45" s="72"/>
    </row>
    <row r="46" spans="2:9" ht="16.5" customHeight="1" x14ac:dyDescent="0.3">
      <c r="B46" s="211" t="s">
        <v>11</v>
      </c>
      <c r="C46" s="211" t="s">
        <v>90</v>
      </c>
      <c r="D46" s="211" t="s">
        <v>87</v>
      </c>
      <c r="E46" s="214" t="s">
        <v>124</v>
      </c>
      <c r="F46" s="214"/>
      <c r="G46" s="211" t="s">
        <v>12</v>
      </c>
      <c r="H46" s="211" t="s">
        <v>127</v>
      </c>
    </row>
    <row r="47" spans="2:9" ht="17.25" x14ac:dyDescent="0.3">
      <c r="B47" s="211"/>
      <c r="C47" s="211"/>
      <c r="D47" s="211"/>
      <c r="E47" s="60" t="s">
        <v>125</v>
      </c>
      <c r="F47" s="60" t="s">
        <v>126</v>
      </c>
      <c r="G47" s="211"/>
      <c r="H47" s="211"/>
    </row>
    <row r="48" spans="2:9" s="38" customFormat="1" x14ac:dyDescent="0.3">
      <c r="B48" s="80" t="s">
        <v>122</v>
      </c>
      <c r="C48" s="81" t="s">
        <v>257</v>
      </c>
      <c r="D48" s="81" t="s">
        <v>258</v>
      </c>
      <c r="E48" s="82" t="s">
        <v>269</v>
      </c>
      <c r="F48" s="83" t="s">
        <v>272</v>
      </c>
      <c r="G48" s="81" t="s">
        <v>259</v>
      </c>
      <c r="H48" s="80" t="s">
        <v>123</v>
      </c>
    </row>
    <row r="49" spans="2:8" x14ac:dyDescent="0.3">
      <c r="B49" s="44"/>
      <c r="C49" s="40"/>
      <c r="D49" s="40"/>
      <c r="E49" s="41"/>
      <c r="F49" s="42"/>
      <c r="G49" s="40"/>
      <c r="H49" s="44"/>
    </row>
    <row r="50" spans="2:8" x14ac:dyDescent="0.3">
      <c r="B50" s="72"/>
      <c r="C50" s="72"/>
      <c r="D50" s="72"/>
      <c r="E50" s="72"/>
      <c r="F50" s="72"/>
      <c r="G50" s="72"/>
      <c r="H50" s="72"/>
    </row>
    <row r="51" spans="2:8" ht="19.5" x14ac:dyDescent="0.3">
      <c r="B51" s="84" t="s">
        <v>255</v>
      </c>
      <c r="C51" s="84"/>
      <c r="D51" s="72"/>
      <c r="E51" s="72"/>
      <c r="F51" s="72"/>
      <c r="G51" s="72"/>
      <c r="H51" s="72"/>
    </row>
    <row r="52" spans="2:8" x14ac:dyDescent="0.3">
      <c r="B52" s="72"/>
      <c r="C52" s="72"/>
      <c r="D52" s="72"/>
      <c r="E52" s="72"/>
      <c r="F52" s="72"/>
      <c r="G52" s="72"/>
      <c r="H52" s="72"/>
    </row>
  </sheetData>
  <sheetProtection password="DE44" sheet="1" objects="1" scenarios="1" formatRows="0"/>
  <mergeCells count="12">
    <mergeCell ref="H3:H4"/>
    <mergeCell ref="B3:B4"/>
    <mergeCell ref="C3:C4"/>
    <mergeCell ref="D3:D4"/>
    <mergeCell ref="E3:F3"/>
    <mergeCell ref="G3:G4"/>
    <mergeCell ref="H46:H47"/>
    <mergeCell ref="E46:F46"/>
    <mergeCell ref="G46:G47"/>
    <mergeCell ref="B46:B47"/>
    <mergeCell ref="C46:C47"/>
    <mergeCell ref="D46:D47"/>
  </mergeCells>
  <phoneticPr fontId="1" type="noConversion"/>
  <dataValidations count="3">
    <dataValidation type="list" allowBlank="1" showInputMessage="1" showErrorMessage="1" sqref="H35 C5:C35" xr:uid="{00000000-0002-0000-0400-000000000000}">
      <formula1>"법규준수, 보안강화, 인프라개선, 영업지원, 운영안정성, 신규사업지원, 신기술도입, 역량강화, 기타"</formula1>
    </dataValidation>
    <dataValidation type="list" allowBlank="1" showInputMessage="1" showErrorMessage="1" sqref="B48:B49 B5:B34" xr:uid="{00000000-0002-0000-0400-000001000000}">
      <formula1>"정보기술, 정보보안"</formula1>
    </dataValidation>
    <dataValidation type="list" allowBlank="1" showInputMessage="1" showErrorMessage="1" sqref="H48:H49 H5:H34" xr:uid="{1D7E6979-638D-4BD9-9B40-CC154378A570}">
      <formula1>"완료, 진행중,미착수"</formula1>
    </dataValidation>
  </dataValidations>
  <pageMargins left="0.25" right="0.25" top="0.75" bottom="0.75" header="0.3" footer="0.3"/>
  <pageSetup paperSize="9" scale="4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2"/>
  <sheetViews>
    <sheetView zoomScale="85" zoomScaleNormal="85" workbookViewId="0">
      <selection activeCell="J1" sqref="J1:J1048576"/>
    </sheetView>
  </sheetViews>
  <sheetFormatPr defaultRowHeight="16.5" x14ac:dyDescent="0.3"/>
  <cols>
    <col min="2" max="9" width="25.75" customWidth="1"/>
    <col min="10" max="10" width="9" hidden="1" customWidth="1"/>
  </cols>
  <sheetData>
    <row r="1" spans="1:10" ht="27" thickBot="1" x14ac:dyDescent="0.35">
      <c r="A1" s="4" t="s">
        <v>149</v>
      </c>
      <c r="B1" s="7"/>
      <c r="C1" s="7"/>
      <c r="D1" s="7"/>
      <c r="E1" s="7"/>
      <c r="F1" s="7"/>
      <c r="G1" s="7"/>
      <c r="H1" s="7"/>
      <c r="I1" s="20"/>
    </row>
    <row r="2" spans="1:10" ht="19.899999999999999" customHeight="1" x14ac:dyDescent="0.3"/>
    <row r="3" spans="1:10" ht="19.899999999999999" customHeight="1" x14ac:dyDescent="0.3">
      <c r="B3" s="39" t="s">
        <v>128</v>
      </c>
      <c r="J3" t="s">
        <v>265</v>
      </c>
    </row>
    <row r="4" spans="1:10" ht="19.899999999999999" customHeight="1" x14ac:dyDescent="0.3">
      <c r="B4" s="23" t="s">
        <v>129</v>
      </c>
    </row>
    <row r="5" spans="1:10" ht="19.899999999999999" customHeight="1" x14ac:dyDescent="0.3">
      <c r="B5" s="90"/>
      <c r="J5">
        <f>IF(COUNTA(B5)=1,1,0)</f>
        <v>0</v>
      </c>
    </row>
    <row r="6" spans="1:10" ht="19.899999999999999" customHeight="1" x14ac:dyDescent="0.3">
      <c r="B6" s="54"/>
    </row>
    <row r="7" spans="1:10" ht="19.899999999999999" customHeight="1" x14ac:dyDescent="0.3">
      <c r="B7" s="39" t="s">
        <v>137</v>
      </c>
    </row>
    <row r="8" spans="1:10" ht="19.899999999999999" customHeight="1" x14ac:dyDescent="0.3">
      <c r="B8" s="214" t="s">
        <v>131</v>
      </c>
      <c r="C8" s="214" t="s">
        <v>206</v>
      </c>
      <c r="D8" s="220" t="s">
        <v>204</v>
      </c>
      <c r="E8" s="220"/>
      <c r="F8" s="217" t="s">
        <v>205</v>
      </c>
      <c r="G8" s="218"/>
      <c r="H8" s="219"/>
      <c r="I8" s="215" t="s">
        <v>10</v>
      </c>
    </row>
    <row r="9" spans="1:10" ht="19.899999999999999" customHeight="1" x14ac:dyDescent="0.3">
      <c r="B9" s="214"/>
      <c r="C9" s="214"/>
      <c r="D9" s="23" t="s">
        <v>135</v>
      </c>
      <c r="E9" s="23" t="s">
        <v>134</v>
      </c>
      <c r="F9" s="53" t="s">
        <v>279</v>
      </c>
      <c r="G9" s="53" t="s">
        <v>280</v>
      </c>
      <c r="H9" s="53" t="s">
        <v>193</v>
      </c>
      <c r="I9" s="216"/>
    </row>
    <row r="10" spans="1:10" ht="19.899999999999999" customHeight="1" x14ac:dyDescent="0.3">
      <c r="B10" s="46" t="s">
        <v>130</v>
      </c>
      <c r="C10" s="150"/>
      <c r="D10" s="151"/>
      <c r="E10" s="151"/>
      <c r="F10" s="151"/>
      <c r="G10" s="151"/>
      <c r="H10" s="151"/>
      <c r="I10" s="45"/>
      <c r="J10">
        <f>IF(C10&gt;0,1,0)</f>
        <v>0</v>
      </c>
    </row>
    <row r="11" spans="1:10" ht="19.899999999999999" customHeight="1" x14ac:dyDescent="0.3">
      <c r="B11" s="46" t="s">
        <v>132</v>
      </c>
      <c r="C11" s="155">
        <f>SUM(D11:G11)</f>
        <v>0</v>
      </c>
      <c r="D11" s="150"/>
      <c r="E11" s="150"/>
      <c r="F11" s="150"/>
      <c r="G11" s="152"/>
      <c r="H11" s="152"/>
      <c r="I11" s="92"/>
      <c r="J11">
        <f>IF(C11&gt;0,1,0)</f>
        <v>0</v>
      </c>
    </row>
    <row r="12" spans="1:10" ht="19.899999999999999" customHeight="1" x14ac:dyDescent="0.3">
      <c r="B12" s="46" t="s">
        <v>133</v>
      </c>
      <c r="C12" s="155">
        <f>SUM(D12:G12)</f>
        <v>0</v>
      </c>
      <c r="D12" s="150"/>
      <c r="E12" s="150"/>
      <c r="F12" s="150"/>
      <c r="G12" s="152"/>
      <c r="H12" s="152"/>
      <c r="I12" s="92"/>
      <c r="J12">
        <f>IF(C12&gt;0,1,0)</f>
        <v>0</v>
      </c>
    </row>
    <row r="13" spans="1:10" ht="19.899999999999999" customHeight="1" x14ac:dyDescent="0.3"/>
    <row r="14" spans="1:10" ht="19.899999999999999" customHeight="1" x14ac:dyDescent="0.3">
      <c r="B14" s="39" t="s">
        <v>136</v>
      </c>
    </row>
    <row r="15" spans="1:10" ht="19.899999999999999" customHeight="1" x14ac:dyDescent="0.3">
      <c r="B15" s="23" t="s">
        <v>131</v>
      </c>
      <c r="C15" s="23" t="s">
        <v>138</v>
      </c>
      <c r="D15" s="23" t="s">
        <v>139</v>
      </c>
      <c r="E15" s="23" t="s">
        <v>140</v>
      </c>
      <c r="F15" s="23" t="s">
        <v>141</v>
      </c>
      <c r="G15" s="23" t="s">
        <v>142</v>
      </c>
      <c r="H15" s="23" t="s">
        <v>10</v>
      </c>
    </row>
    <row r="16" spans="1:10" ht="19.899999999999999" customHeight="1" x14ac:dyDescent="0.3">
      <c r="B16" s="46" t="s">
        <v>144</v>
      </c>
      <c r="C16" s="147"/>
      <c r="D16" s="147"/>
      <c r="E16" s="147"/>
      <c r="F16" s="66"/>
      <c r="G16" s="45"/>
      <c r="H16" s="91"/>
    </row>
    <row r="17" spans="2:10" ht="19.899999999999999" customHeight="1" x14ac:dyDescent="0.3">
      <c r="B17" s="46" t="s">
        <v>143</v>
      </c>
      <c r="C17" s="147"/>
      <c r="D17" s="147"/>
      <c r="E17" s="147"/>
      <c r="F17" s="66"/>
      <c r="G17" s="66"/>
      <c r="H17" s="92"/>
      <c r="J17">
        <f>IF(COUNTA($C$17:$G$17)=5,1,0)</f>
        <v>0</v>
      </c>
    </row>
    <row r="18" spans="2:10" ht="19.899999999999999" customHeight="1" x14ac:dyDescent="0.3"/>
    <row r="19" spans="2:10" ht="19.899999999999999" customHeight="1" x14ac:dyDescent="0.3">
      <c r="B19" s="39" t="s">
        <v>146</v>
      </c>
    </row>
    <row r="20" spans="2:10" ht="19.899999999999999" customHeight="1" x14ac:dyDescent="0.3">
      <c r="B20" s="23" t="s">
        <v>343</v>
      </c>
      <c r="C20" s="23" t="s">
        <v>147</v>
      </c>
      <c r="D20" s="23" t="s">
        <v>10</v>
      </c>
    </row>
    <row r="21" spans="2:10" ht="19.899999999999999" customHeight="1" x14ac:dyDescent="0.3">
      <c r="B21" s="153"/>
      <c r="C21" s="153"/>
      <c r="D21" s="154"/>
      <c r="J21">
        <f>IF(COUNTA(B21:C21)=2,1,0)</f>
        <v>0</v>
      </c>
    </row>
    <row r="22" spans="2:10" ht="19.899999999999999" customHeight="1" x14ac:dyDescent="0.3"/>
    <row r="23" spans="2:10" ht="19.899999999999999" customHeight="1" x14ac:dyDescent="0.3">
      <c r="B23" s="11" t="s">
        <v>106</v>
      </c>
      <c r="C23" s="1"/>
      <c r="D23" s="1"/>
      <c r="E23" s="1"/>
      <c r="F23" s="1"/>
      <c r="G23" s="1"/>
      <c r="H23" s="1"/>
      <c r="I23" s="1"/>
    </row>
    <row r="24" spans="2:10" ht="19.899999999999999" customHeight="1" x14ac:dyDescent="0.3">
      <c r="B24" s="19" t="s">
        <v>183</v>
      </c>
      <c r="C24" s="1"/>
      <c r="D24" s="1"/>
      <c r="E24" s="1"/>
      <c r="F24" s="1"/>
      <c r="G24" s="1"/>
      <c r="H24" s="1"/>
      <c r="I24" s="1"/>
    </row>
    <row r="25" spans="2:10" ht="19.899999999999999" customHeight="1" x14ac:dyDescent="0.3">
      <c r="B25" s="18" t="s">
        <v>148</v>
      </c>
      <c r="C25" s="1"/>
      <c r="D25" s="1"/>
      <c r="E25" s="1"/>
      <c r="F25" s="1"/>
      <c r="G25" s="1"/>
      <c r="H25" s="1"/>
      <c r="I25" s="1"/>
    </row>
    <row r="26" spans="2:10" ht="19.899999999999999" customHeight="1" x14ac:dyDescent="0.3">
      <c r="B26" s="18" t="s">
        <v>329</v>
      </c>
      <c r="C26" s="1"/>
      <c r="D26" s="1"/>
      <c r="E26" s="1"/>
      <c r="F26" s="1"/>
      <c r="G26" s="1"/>
      <c r="H26" s="1"/>
      <c r="I26" s="1"/>
    </row>
    <row r="27" spans="2:10" ht="19.899999999999999" customHeight="1" x14ac:dyDescent="0.3">
      <c r="B27" s="18" t="s">
        <v>151</v>
      </c>
      <c r="C27" s="1"/>
      <c r="D27" s="1"/>
      <c r="E27" s="1"/>
      <c r="F27" s="1"/>
      <c r="G27" s="1"/>
      <c r="H27" s="1"/>
      <c r="I27" s="1"/>
    </row>
    <row r="28" spans="2:10" ht="19.5" x14ac:dyDescent="0.3">
      <c r="B28" s="18" t="s">
        <v>281</v>
      </c>
      <c r="C28" s="1"/>
      <c r="D28" s="1"/>
      <c r="E28" s="1"/>
      <c r="F28" s="1"/>
      <c r="G28" s="1"/>
      <c r="H28" s="1"/>
      <c r="I28" s="1"/>
    </row>
    <row r="29" spans="2:10" ht="19.5" x14ac:dyDescent="0.3">
      <c r="B29" s="18" t="s">
        <v>275</v>
      </c>
      <c r="C29" s="1"/>
      <c r="D29" s="1"/>
      <c r="E29" s="1"/>
      <c r="F29" s="1"/>
      <c r="G29" s="1"/>
      <c r="H29" s="1"/>
      <c r="I29" s="1"/>
    </row>
    <row r="30" spans="2:10" ht="19.5" x14ac:dyDescent="0.3">
      <c r="B30" s="18" t="s">
        <v>276</v>
      </c>
      <c r="C30" s="1"/>
      <c r="D30" s="1"/>
      <c r="E30" s="1"/>
      <c r="F30" s="1"/>
      <c r="G30" s="1"/>
      <c r="H30" s="1"/>
      <c r="I30" s="1"/>
    </row>
    <row r="31" spans="2:10" ht="19.5" x14ac:dyDescent="0.3">
      <c r="B31" s="18" t="s">
        <v>278</v>
      </c>
      <c r="C31" s="1"/>
      <c r="D31" s="1"/>
      <c r="E31" s="1"/>
      <c r="F31" s="1"/>
      <c r="G31" s="1"/>
      <c r="H31" s="1"/>
      <c r="I31" s="1"/>
    </row>
    <row r="32" spans="2:10" ht="19.5" x14ac:dyDescent="0.3">
      <c r="B32" s="18" t="s">
        <v>277</v>
      </c>
      <c r="C32" s="1"/>
      <c r="D32" s="1"/>
      <c r="E32" s="1"/>
      <c r="F32" s="1"/>
      <c r="G32" s="1"/>
      <c r="H32" s="1"/>
      <c r="I32" s="1"/>
    </row>
  </sheetData>
  <sheetProtection password="DE44" sheet="1" objects="1" scenarios="1" formatRows="0"/>
  <mergeCells count="5">
    <mergeCell ref="I8:I9"/>
    <mergeCell ref="F8:H8"/>
    <mergeCell ref="D8:E8"/>
    <mergeCell ref="C8:C9"/>
    <mergeCell ref="B8:B9"/>
  </mergeCells>
  <phoneticPr fontId="1" type="noConversion"/>
  <dataValidations xWindow="656" yWindow="662" count="5">
    <dataValidation type="list" allowBlank="1" showInputMessage="1" showErrorMessage="1" sqref="G17:H17 F16:F17" xr:uid="{00000000-0002-0000-0500-000001000000}">
      <formula1>"O,X"</formula1>
    </dataValidation>
    <dataValidation type="date" allowBlank="1" showInputMessage="1" showErrorMessage="1" errorTitle="양식 오류" error="YYYY-MM-DD 형식으로 입력해주세요" promptTitle="(예)" prompt="YYYY-MM-DD" sqref="B5" xr:uid="{F5A7E0A4-F5EF-4775-B5DF-23F53BF6D9B1}">
      <formula1>44743</formula1>
      <formula2>45291</formula2>
    </dataValidation>
    <dataValidation type="whole" operator="greaterThan" allowBlank="1" showInputMessage="1" showErrorMessage="1" error="숫자만 입력 가능" prompt="(예) 500,000" sqref="B21" xr:uid="{B5E5B922-CCFA-4BD1-86EB-0E6E6C872225}">
      <formula1>0</formula1>
    </dataValidation>
    <dataValidation type="whole" operator="greaterThan" allowBlank="1" showInputMessage="1" showErrorMessage="1" error="숫자만 입력 가능" prompt="(예) 1,000" sqref="C21" xr:uid="{C34F0E80-075A-4DA1-929E-D0DA0C628E8F}">
      <formula1>0</formula1>
    </dataValidation>
    <dataValidation type="whole" operator="greaterThan" allowBlank="1" showInputMessage="1" showErrorMessage="1" error="숫자만 입력해 주세요" prompt="숫자만 입력" sqref="C10 D11:H12" xr:uid="{CFFCDFA8-40B5-488A-868B-910A53F152E2}">
      <formula1>0</formula1>
    </dataValidation>
  </dataValidations>
  <pageMargins left="0.25" right="0.25" top="0.75" bottom="0.75" header="0.3" footer="0.3"/>
  <pageSetup paperSize="9" scale="42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8"/>
  <sheetViews>
    <sheetView zoomScale="70" zoomScaleNormal="70" workbookViewId="0">
      <selection activeCell="H5" sqref="H5"/>
    </sheetView>
  </sheetViews>
  <sheetFormatPr defaultRowHeight="16.5" x14ac:dyDescent="0.3"/>
  <cols>
    <col min="2" max="2" width="18.25" customWidth="1"/>
    <col min="3" max="3" width="11.375" bestFit="1" customWidth="1"/>
    <col min="4" max="4" width="17.125" bestFit="1" customWidth="1"/>
    <col min="7" max="7" width="15.5" customWidth="1"/>
    <col min="10" max="10" width="13.25" customWidth="1"/>
    <col min="11" max="11" width="13" customWidth="1"/>
    <col min="12" max="12" width="12.25" customWidth="1"/>
  </cols>
  <sheetData>
    <row r="1" spans="1:15" ht="27" thickBot="1" x14ac:dyDescent="0.35">
      <c r="A1" s="4" t="s">
        <v>150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0"/>
      <c r="O1" s="33"/>
    </row>
    <row r="2" spans="1:15" ht="19.899999999999999" customHeight="1" x14ac:dyDescent="0.3"/>
    <row r="3" spans="1:15" ht="19.899999999999999" customHeight="1" x14ac:dyDescent="0.3">
      <c r="B3" s="39" t="s">
        <v>213</v>
      </c>
    </row>
    <row r="4" spans="1:15" ht="19.899999999999999" customHeight="1" x14ac:dyDescent="0.3">
      <c r="B4" s="15" t="s">
        <v>129</v>
      </c>
      <c r="C4" s="15" t="s">
        <v>212</v>
      </c>
      <c r="D4" s="15" t="s">
        <v>227</v>
      </c>
    </row>
    <row r="5" spans="1:15" ht="19.899999999999999" customHeight="1" x14ac:dyDescent="0.3">
      <c r="B5" s="90"/>
      <c r="C5" s="99"/>
      <c r="D5" s="87"/>
    </row>
    <row r="6" spans="1:15" ht="19.899999999999999" customHeight="1" x14ac:dyDescent="0.3"/>
    <row r="7" spans="1:15" ht="19.899999999999999" customHeight="1" x14ac:dyDescent="0.3"/>
    <row r="8" spans="1:15" ht="19.899999999999999" customHeight="1" x14ac:dyDescent="0.3"/>
    <row r="9" spans="1:15" ht="19.899999999999999" customHeight="1" x14ac:dyDescent="0.3"/>
    <row r="10" spans="1:15" ht="19.899999999999999" customHeight="1" x14ac:dyDescent="0.3"/>
    <row r="11" spans="1:15" ht="19.899999999999999" customHeight="1" x14ac:dyDescent="0.3"/>
    <row r="12" spans="1:15" ht="19.899999999999999" customHeight="1" x14ac:dyDescent="0.3"/>
    <row r="13" spans="1:15" ht="19.899999999999999" customHeight="1" x14ac:dyDescent="0.3"/>
    <row r="14" spans="1:15" ht="19.899999999999999" customHeight="1" x14ac:dyDescent="0.3"/>
    <row r="15" spans="1:15" ht="19.899999999999999" customHeight="1" x14ac:dyDescent="0.3"/>
    <row r="16" spans="1:15" ht="19.899999999999999" customHeight="1" x14ac:dyDescent="0.3"/>
    <row r="17" spans="2:14" ht="19.899999999999999" customHeight="1" x14ac:dyDescent="0.3"/>
    <row r="18" spans="2:14" ht="19.899999999999999" customHeight="1" x14ac:dyDescent="0.3"/>
    <row r="19" spans="2:14" ht="19.899999999999999" customHeight="1" x14ac:dyDescent="0.3"/>
    <row r="20" spans="2:14" ht="19.899999999999999" customHeight="1" x14ac:dyDescent="0.3"/>
    <row r="21" spans="2:14" ht="19.899999999999999" customHeight="1" x14ac:dyDescent="0.3"/>
    <row r="22" spans="2:14" ht="19.899999999999999" customHeight="1" x14ac:dyDescent="0.3"/>
    <row r="23" spans="2:14" ht="19.899999999999999" customHeight="1" x14ac:dyDescent="0.3"/>
    <row r="24" spans="2:14" ht="19.899999999999999" customHeight="1" x14ac:dyDescent="0.3"/>
    <row r="25" spans="2:14" ht="19.899999999999999" customHeight="1" x14ac:dyDescent="0.3">
      <c r="B25" s="11" t="s">
        <v>106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9.899999999999999" customHeight="1" x14ac:dyDescent="0.3">
      <c r="B26" s="19" t="s">
        <v>183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9.899999999999999" customHeight="1" x14ac:dyDescent="0.3">
      <c r="B27" s="19" t="s">
        <v>273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9.5" x14ac:dyDescent="0.3">
      <c r="B28" s="19" t="s">
        <v>274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</sheetData>
  <sheetProtection password="DE44" sheet="1" objects="1" scenarios="1"/>
  <phoneticPr fontId="1" type="noConversion"/>
  <dataValidations count="2">
    <dataValidation type="date" allowBlank="1" showInputMessage="1" showErrorMessage="1" errorTitle="양식 오류" error="YYYY-MM-DD 형식으로 입력해주세요" promptTitle="(예)" prompt="YYYY-MM-DD" sqref="B5" xr:uid="{F6F9EBE5-56AC-4D5A-A7E3-CC892D58E15A}">
      <formula1>44743</formula1>
      <formula2>45291</formula2>
    </dataValidation>
    <dataValidation type="list" allowBlank="1" showInputMessage="1" showErrorMessage="1" error="작성 양식 오류" prompt="(예) O" sqref="C5:D5" xr:uid="{0FB7BFB7-BB82-401F-B58C-B13EE436BA37}">
      <formula1>"O,X"</formula1>
    </dataValidation>
  </dataValidations>
  <pageMargins left="0.25" right="0.25" top="0.75" bottom="0.75" header="0.3" footer="0.3"/>
  <pageSetup paperSize="9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AF1F-40E9-4E02-BC66-772D1DA57E48}">
  <sheetPr>
    <pageSetUpPr fitToPage="1"/>
  </sheetPr>
  <dimension ref="A1:I43"/>
  <sheetViews>
    <sheetView zoomScale="70" zoomScaleNormal="70" workbookViewId="0">
      <selection activeCell="R20" sqref="R20"/>
    </sheetView>
  </sheetViews>
  <sheetFormatPr defaultRowHeight="16.5" x14ac:dyDescent="0.3"/>
  <cols>
    <col min="2" max="2" width="12.375" customWidth="1"/>
    <col min="3" max="3" width="11.875" bestFit="1" customWidth="1"/>
    <col min="4" max="4" width="64.75" customWidth="1"/>
    <col min="5" max="5" width="11.25" bestFit="1" customWidth="1"/>
    <col min="6" max="6" width="12.125" bestFit="1" customWidth="1"/>
    <col min="7" max="7" width="16.375" bestFit="1" customWidth="1"/>
    <col min="8" max="8" width="7.75" customWidth="1"/>
    <col min="9" max="9" width="9" hidden="1" customWidth="1"/>
  </cols>
  <sheetData>
    <row r="1" spans="1:9" ht="27" thickBot="1" x14ac:dyDescent="0.35">
      <c r="A1" s="51" t="s">
        <v>331</v>
      </c>
      <c r="B1" s="7"/>
      <c r="C1" s="7"/>
      <c r="D1" s="7"/>
      <c r="E1" s="7"/>
      <c r="F1" s="7"/>
      <c r="G1" s="7"/>
      <c r="H1" s="7"/>
    </row>
    <row r="3" spans="1:9" ht="34.5" x14ac:dyDescent="0.3">
      <c r="B3" s="61" t="s">
        <v>11</v>
      </c>
      <c r="C3" s="61" t="s">
        <v>306</v>
      </c>
      <c r="D3" s="61" t="s">
        <v>307</v>
      </c>
      <c r="E3" s="62" t="s">
        <v>308</v>
      </c>
      <c r="F3" s="101" t="s">
        <v>312</v>
      </c>
      <c r="G3" s="101" t="s">
        <v>311</v>
      </c>
      <c r="H3" s="61" t="s">
        <v>127</v>
      </c>
      <c r="I3" t="s">
        <v>265</v>
      </c>
    </row>
    <row r="4" spans="1:9" x14ac:dyDescent="0.3">
      <c r="B4" s="102"/>
      <c r="C4" s="103"/>
      <c r="D4" s="104"/>
      <c r="E4" s="103"/>
      <c r="F4" s="103"/>
      <c r="G4" s="104"/>
      <c r="H4" s="105"/>
      <c r="I4">
        <f>IF(COUNTA(B4:H4)&gt;=6,1,0)</f>
        <v>0</v>
      </c>
    </row>
    <row r="5" spans="1:9" x14ac:dyDescent="0.3">
      <c r="B5" s="102"/>
      <c r="C5" s="103"/>
      <c r="D5" s="104"/>
      <c r="E5" s="103"/>
      <c r="F5" s="103"/>
      <c r="G5" s="104"/>
      <c r="H5" s="105"/>
      <c r="I5">
        <f t="shared" ref="I5:I33" si="0">IF(COUNTA(B5:H5)&gt;=6,1,0)</f>
        <v>0</v>
      </c>
    </row>
    <row r="6" spans="1:9" x14ac:dyDescent="0.3">
      <c r="B6" s="102"/>
      <c r="C6" s="103"/>
      <c r="D6" s="104"/>
      <c r="E6" s="103"/>
      <c r="F6" s="103"/>
      <c r="G6" s="104"/>
      <c r="H6" s="105"/>
      <c r="I6">
        <f t="shared" si="0"/>
        <v>0</v>
      </c>
    </row>
    <row r="7" spans="1:9" x14ac:dyDescent="0.3">
      <c r="B7" s="102"/>
      <c r="C7" s="103"/>
      <c r="D7" s="104"/>
      <c r="E7" s="103"/>
      <c r="F7" s="103"/>
      <c r="G7" s="104"/>
      <c r="H7" s="105"/>
      <c r="I7">
        <f t="shared" si="0"/>
        <v>0</v>
      </c>
    </row>
    <row r="8" spans="1:9" x14ac:dyDescent="0.3">
      <c r="B8" s="102"/>
      <c r="C8" s="103"/>
      <c r="D8" s="104"/>
      <c r="E8" s="103"/>
      <c r="F8" s="103"/>
      <c r="G8" s="104"/>
      <c r="H8" s="105"/>
      <c r="I8">
        <f t="shared" si="0"/>
        <v>0</v>
      </c>
    </row>
    <row r="9" spans="1:9" x14ac:dyDescent="0.3">
      <c r="B9" s="102"/>
      <c r="C9" s="103"/>
      <c r="D9" s="104"/>
      <c r="E9" s="103"/>
      <c r="F9" s="103"/>
      <c r="G9" s="104"/>
      <c r="H9" s="105"/>
      <c r="I9">
        <f t="shared" si="0"/>
        <v>0</v>
      </c>
    </row>
    <row r="10" spans="1:9" x14ac:dyDescent="0.3">
      <c r="B10" s="102"/>
      <c r="C10" s="103"/>
      <c r="D10" s="104"/>
      <c r="E10" s="103"/>
      <c r="F10" s="103"/>
      <c r="G10" s="104"/>
      <c r="H10" s="105"/>
      <c r="I10">
        <f t="shared" si="0"/>
        <v>0</v>
      </c>
    </row>
    <row r="11" spans="1:9" x14ac:dyDescent="0.3">
      <c r="B11" s="102"/>
      <c r="C11" s="103"/>
      <c r="D11" s="104"/>
      <c r="E11" s="103"/>
      <c r="F11" s="103"/>
      <c r="G11" s="104"/>
      <c r="H11" s="105"/>
      <c r="I11">
        <f t="shared" si="0"/>
        <v>0</v>
      </c>
    </row>
    <row r="12" spans="1:9" x14ac:dyDescent="0.3">
      <c r="B12" s="102"/>
      <c r="C12" s="103"/>
      <c r="D12" s="104"/>
      <c r="E12" s="103"/>
      <c r="F12" s="103"/>
      <c r="G12" s="104"/>
      <c r="H12" s="105"/>
      <c r="I12">
        <f t="shared" si="0"/>
        <v>0</v>
      </c>
    </row>
    <row r="13" spans="1:9" x14ac:dyDescent="0.3">
      <c r="B13" s="102"/>
      <c r="C13" s="103"/>
      <c r="D13" s="104"/>
      <c r="E13" s="103"/>
      <c r="F13" s="103"/>
      <c r="G13" s="104"/>
      <c r="H13" s="105"/>
      <c r="I13">
        <f t="shared" si="0"/>
        <v>0</v>
      </c>
    </row>
    <row r="14" spans="1:9" x14ac:dyDescent="0.3">
      <c r="B14" s="102"/>
      <c r="C14" s="103"/>
      <c r="D14" s="104"/>
      <c r="E14" s="103"/>
      <c r="F14" s="103"/>
      <c r="G14" s="104"/>
      <c r="H14" s="105"/>
      <c r="I14">
        <f t="shared" si="0"/>
        <v>0</v>
      </c>
    </row>
    <row r="15" spans="1:9" x14ac:dyDescent="0.3">
      <c r="B15" s="102"/>
      <c r="C15" s="103"/>
      <c r="D15" s="104"/>
      <c r="E15" s="103"/>
      <c r="F15" s="103"/>
      <c r="G15" s="104"/>
      <c r="H15" s="105"/>
      <c r="I15">
        <f t="shared" si="0"/>
        <v>0</v>
      </c>
    </row>
    <row r="16" spans="1:9" x14ac:dyDescent="0.3">
      <c r="B16" s="102"/>
      <c r="C16" s="103"/>
      <c r="D16" s="104"/>
      <c r="E16" s="103"/>
      <c r="F16" s="103"/>
      <c r="G16" s="104"/>
      <c r="H16" s="105"/>
      <c r="I16">
        <f t="shared" si="0"/>
        <v>0</v>
      </c>
    </row>
    <row r="17" spans="2:9" x14ac:dyDescent="0.3">
      <c r="B17" s="102"/>
      <c r="C17" s="103"/>
      <c r="D17" s="104"/>
      <c r="E17" s="103"/>
      <c r="F17" s="103"/>
      <c r="G17" s="104"/>
      <c r="H17" s="105"/>
      <c r="I17">
        <f t="shared" si="0"/>
        <v>0</v>
      </c>
    </row>
    <row r="18" spans="2:9" x14ac:dyDescent="0.3">
      <c r="B18" s="102"/>
      <c r="C18" s="103"/>
      <c r="D18" s="104"/>
      <c r="E18" s="103"/>
      <c r="F18" s="103"/>
      <c r="G18" s="104"/>
      <c r="H18" s="105"/>
      <c r="I18">
        <f t="shared" si="0"/>
        <v>0</v>
      </c>
    </row>
    <row r="19" spans="2:9" x14ac:dyDescent="0.3">
      <c r="B19" s="102"/>
      <c r="C19" s="103"/>
      <c r="D19" s="104"/>
      <c r="E19" s="103"/>
      <c r="F19" s="103"/>
      <c r="G19" s="104"/>
      <c r="H19" s="105"/>
      <c r="I19">
        <f t="shared" si="0"/>
        <v>0</v>
      </c>
    </row>
    <row r="20" spans="2:9" x14ac:dyDescent="0.3">
      <c r="B20" s="102"/>
      <c r="C20" s="103"/>
      <c r="D20" s="104"/>
      <c r="E20" s="103"/>
      <c r="F20" s="103"/>
      <c r="G20" s="104"/>
      <c r="H20" s="105"/>
      <c r="I20">
        <f t="shared" si="0"/>
        <v>0</v>
      </c>
    </row>
    <row r="21" spans="2:9" x14ac:dyDescent="0.3">
      <c r="B21" s="102"/>
      <c r="C21" s="103"/>
      <c r="D21" s="104"/>
      <c r="E21" s="103"/>
      <c r="F21" s="103"/>
      <c r="G21" s="104"/>
      <c r="H21" s="105"/>
      <c r="I21">
        <f t="shared" si="0"/>
        <v>0</v>
      </c>
    </row>
    <row r="22" spans="2:9" x14ac:dyDescent="0.3">
      <c r="B22" s="102"/>
      <c r="C22" s="103"/>
      <c r="D22" s="104"/>
      <c r="E22" s="103"/>
      <c r="F22" s="103"/>
      <c r="G22" s="104"/>
      <c r="H22" s="105"/>
      <c r="I22">
        <f t="shared" si="0"/>
        <v>0</v>
      </c>
    </row>
    <row r="23" spans="2:9" x14ac:dyDescent="0.3">
      <c r="B23" s="102"/>
      <c r="C23" s="103"/>
      <c r="D23" s="104"/>
      <c r="E23" s="103"/>
      <c r="F23" s="103"/>
      <c r="G23" s="104"/>
      <c r="H23" s="105"/>
      <c r="I23">
        <f t="shared" si="0"/>
        <v>0</v>
      </c>
    </row>
    <row r="24" spans="2:9" x14ac:dyDescent="0.3">
      <c r="B24" s="102"/>
      <c r="C24" s="103"/>
      <c r="D24" s="104"/>
      <c r="E24" s="103"/>
      <c r="F24" s="103"/>
      <c r="G24" s="104"/>
      <c r="H24" s="105"/>
      <c r="I24">
        <f t="shared" si="0"/>
        <v>0</v>
      </c>
    </row>
    <row r="25" spans="2:9" x14ac:dyDescent="0.3">
      <c r="B25" s="102"/>
      <c r="C25" s="103"/>
      <c r="D25" s="104"/>
      <c r="E25" s="103"/>
      <c r="F25" s="103"/>
      <c r="G25" s="104"/>
      <c r="H25" s="105"/>
      <c r="I25">
        <f t="shared" si="0"/>
        <v>0</v>
      </c>
    </row>
    <row r="26" spans="2:9" x14ac:dyDescent="0.3">
      <c r="B26" s="102"/>
      <c r="C26" s="103"/>
      <c r="D26" s="104"/>
      <c r="E26" s="103"/>
      <c r="F26" s="103"/>
      <c r="G26" s="104"/>
      <c r="H26" s="105"/>
      <c r="I26">
        <f t="shared" si="0"/>
        <v>0</v>
      </c>
    </row>
    <row r="27" spans="2:9" x14ac:dyDescent="0.3">
      <c r="B27" s="102"/>
      <c r="C27" s="103"/>
      <c r="D27" s="104"/>
      <c r="E27" s="103"/>
      <c r="F27" s="103"/>
      <c r="G27" s="104"/>
      <c r="H27" s="105"/>
      <c r="I27">
        <f t="shared" si="0"/>
        <v>0</v>
      </c>
    </row>
    <row r="28" spans="2:9" x14ac:dyDescent="0.3">
      <c r="B28" s="102"/>
      <c r="C28" s="103"/>
      <c r="D28" s="104"/>
      <c r="E28" s="103"/>
      <c r="F28" s="103"/>
      <c r="G28" s="104"/>
      <c r="H28" s="105"/>
      <c r="I28">
        <f t="shared" si="0"/>
        <v>0</v>
      </c>
    </row>
    <row r="29" spans="2:9" x14ac:dyDescent="0.3">
      <c r="B29" s="102"/>
      <c r="C29" s="103"/>
      <c r="D29" s="104"/>
      <c r="E29" s="103"/>
      <c r="F29" s="103"/>
      <c r="G29" s="104"/>
      <c r="H29" s="105"/>
      <c r="I29">
        <f t="shared" si="0"/>
        <v>0</v>
      </c>
    </row>
    <row r="30" spans="2:9" x14ac:dyDescent="0.3">
      <c r="B30" s="102"/>
      <c r="C30" s="103"/>
      <c r="D30" s="104"/>
      <c r="E30" s="103"/>
      <c r="F30" s="103"/>
      <c r="G30" s="104"/>
      <c r="H30" s="105"/>
      <c r="I30">
        <f t="shared" si="0"/>
        <v>0</v>
      </c>
    </row>
    <row r="31" spans="2:9" x14ac:dyDescent="0.3">
      <c r="B31" s="102"/>
      <c r="C31" s="103"/>
      <c r="D31" s="104"/>
      <c r="E31" s="103"/>
      <c r="F31" s="103"/>
      <c r="G31" s="104"/>
      <c r="H31" s="105"/>
      <c r="I31">
        <f t="shared" si="0"/>
        <v>0</v>
      </c>
    </row>
    <row r="32" spans="2:9" x14ac:dyDescent="0.3">
      <c r="B32" s="102"/>
      <c r="C32" s="103"/>
      <c r="D32" s="104"/>
      <c r="E32" s="103"/>
      <c r="F32" s="103"/>
      <c r="G32" s="104"/>
      <c r="H32" s="105"/>
      <c r="I32">
        <f t="shared" si="0"/>
        <v>0</v>
      </c>
    </row>
    <row r="33" spans="2:9" x14ac:dyDescent="0.3">
      <c r="B33" s="102"/>
      <c r="C33" s="103"/>
      <c r="D33" s="104"/>
      <c r="E33" s="103"/>
      <c r="F33" s="103"/>
      <c r="G33" s="104"/>
      <c r="H33" s="105"/>
      <c r="I33">
        <f t="shared" si="0"/>
        <v>0</v>
      </c>
    </row>
    <row r="34" spans="2:9" x14ac:dyDescent="0.3">
      <c r="B34" s="38"/>
      <c r="C34" s="38"/>
      <c r="D34" s="38"/>
      <c r="E34" s="38"/>
      <c r="F34" s="38"/>
      <c r="G34" s="38"/>
      <c r="H34" s="38"/>
    </row>
    <row r="35" spans="2:9" x14ac:dyDescent="0.3">
      <c r="B35" s="38"/>
      <c r="C35" s="38"/>
      <c r="D35" s="38"/>
      <c r="E35" s="38"/>
      <c r="F35" s="38"/>
      <c r="G35" s="38"/>
      <c r="H35" s="38"/>
    </row>
    <row r="36" spans="2:9" ht="17.25" x14ac:dyDescent="0.3">
      <c r="B36" s="11" t="s">
        <v>106</v>
      </c>
      <c r="C36" s="1"/>
      <c r="D36" s="1"/>
      <c r="E36" s="1"/>
      <c r="F36" s="1"/>
      <c r="G36" s="1"/>
      <c r="H36" s="1"/>
    </row>
    <row r="37" spans="2:9" ht="19.5" customHeight="1" x14ac:dyDescent="0.3">
      <c r="B37" s="148" t="s">
        <v>335</v>
      </c>
      <c r="C37" s="148"/>
      <c r="D37" s="148"/>
      <c r="E37" s="148"/>
      <c r="F37" s="148"/>
      <c r="G37" s="148"/>
      <c r="H37" s="148"/>
    </row>
    <row r="38" spans="2:9" ht="19.5" customHeight="1" x14ac:dyDescent="0.3">
      <c r="B38" s="148" t="s">
        <v>330</v>
      </c>
      <c r="C38" s="148"/>
      <c r="D38" s="148"/>
      <c r="E38" s="148"/>
      <c r="F38" s="148"/>
      <c r="G38" s="148"/>
      <c r="H38" s="148"/>
    </row>
    <row r="39" spans="2:9" ht="19.5" x14ac:dyDescent="0.3">
      <c r="B39" s="18" t="s">
        <v>309</v>
      </c>
      <c r="C39" s="1"/>
      <c r="D39" s="1"/>
      <c r="E39" s="1"/>
      <c r="F39" s="1"/>
      <c r="G39" s="1"/>
      <c r="H39" s="1"/>
    </row>
    <row r="40" spans="2:9" ht="19.5" x14ac:dyDescent="0.3">
      <c r="B40" s="18" t="s">
        <v>310</v>
      </c>
      <c r="C40" s="1"/>
      <c r="D40" s="1"/>
      <c r="E40" s="1"/>
      <c r="F40" s="1"/>
      <c r="G40" s="1"/>
      <c r="H40" s="1"/>
    </row>
    <row r="41" spans="2:9" ht="19.5" x14ac:dyDescent="0.3">
      <c r="B41" s="18" t="s">
        <v>332</v>
      </c>
      <c r="C41" s="1"/>
      <c r="D41" s="1"/>
      <c r="E41" s="1"/>
      <c r="F41" s="1"/>
      <c r="G41" s="1"/>
      <c r="H41" s="1"/>
    </row>
    <row r="42" spans="2:9" ht="19.5" x14ac:dyDescent="0.3">
      <c r="B42" s="18" t="s">
        <v>333</v>
      </c>
      <c r="C42" s="1"/>
      <c r="D42" s="1"/>
      <c r="E42" s="1"/>
      <c r="F42" s="1"/>
      <c r="G42" s="1"/>
      <c r="H42" s="1"/>
    </row>
    <row r="43" spans="2:9" ht="19.5" x14ac:dyDescent="0.3">
      <c r="B43" s="18" t="s">
        <v>334</v>
      </c>
      <c r="C43" s="1"/>
      <c r="D43" s="1"/>
      <c r="E43" s="1"/>
      <c r="F43" s="1"/>
      <c r="G43" s="1"/>
      <c r="H43" s="1"/>
    </row>
  </sheetData>
  <sheetProtection password="DE44" sheet="1" objects="1" scenarios="1" formatRows="0"/>
  <phoneticPr fontId="1" type="noConversion"/>
  <dataValidations count="6">
    <dataValidation type="list" allowBlank="1" showInputMessage="1" showErrorMessage="1" sqref="H34 C34" xr:uid="{A16B2803-E08B-47A3-A956-CCE797E28F3A}">
      <formula1>"법규준수, 보안강화, 인프라개선, 영업지원, 운영안정성, 신규사업지원, 신기술도입, 역량강화, 기타"</formula1>
    </dataValidation>
    <dataValidation type="list" allowBlank="1" showInputMessage="1" showErrorMessage="1" sqref="B4:B33" xr:uid="{4D68CE18-B839-4FC7-A708-E6EF619331A4}">
      <formula1>"정보기술, 정보보안"</formula1>
    </dataValidation>
    <dataValidation type="list" allowBlank="1" showInputMessage="1" showErrorMessage="1" sqref="C4:C33" xr:uid="{271B10D7-4456-4BD4-8D3F-160EA40D95DA}">
      <formula1>"전직원, 정보기술인력, 정보보호인력"</formula1>
    </dataValidation>
    <dataValidation type="list" allowBlank="1" showInputMessage="1" showErrorMessage="1" sqref="E4:E33" xr:uid="{80270ABB-1B3A-4706-BACB-B9FF55F6F212}">
      <formula1>"내부,외부"</formula1>
    </dataValidation>
    <dataValidation type="decimal" allowBlank="1" showInputMessage="1" showErrorMessage="1" sqref="G4:G33" xr:uid="{18C7534F-CAEC-4558-8727-A34561AAC4EA}">
      <formula1>0</formula1>
      <formula2>1000</formula2>
    </dataValidation>
    <dataValidation type="list" allowBlank="1" showInputMessage="1" showErrorMessage="1" sqref="F4:F33" xr:uid="{250D13F5-7A74-4B7E-9088-F8391C85EE79}">
      <formula1>"필수,선택"</formula1>
    </dataValidation>
  </dataValidations>
  <pageMargins left="0.25" right="0.25" top="0.75" bottom="0.75" header="0.3" footer="0.3"/>
  <pageSetup paperSize="9" scale="62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1"/>
  <sheetViews>
    <sheetView zoomScale="85" zoomScaleNormal="85" workbookViewId="0">
      <selection activeCell="D6" sqref="D6:E14"/>
    </sheetView>
  </sheetViews>
  <sheetFormatPr defaultRowHeight="16.5" x14ac:dyDescent="0.3"/>
  <cols>
    <col min="1" max="1" width="8" customWidth="1"/>
    <col min="2" max="2" width="10.75" customWidth="1"/>
    <col min="3" max="3" width="35.75" customWidth="1"/>
    <col min="4" max="5" width="30.75" customWidth="1"/>
    <col min="6" max="6" width="8.75" customWidth="1"/>
    <col min="7" max="7" width="30.75" customWidth="1"/>
    <col min="8" max="8" width="14.25" customWidth="1"/>
    <col min="9" max="9" width="5.625" hidden="1" customWidth="1"/>
  </cols>
  <sheetData>
    <row r="1" spans="1:9" s="3" customFormat="1" ht="27" thickBot="1" x14ac:dyDescent="0.35">
      <c r="A1" s="4" t="s">
        <v>217</v>
      </c>
      <c r="B1" s="5"/>
      <c r="C1" s="5"/>
      <c r="D1" s="5"/>
      <c r="E1" s="5"/>
      <c r="F1" s="5"/>
      <c r="G1" s="5"/>
      <c r="H1" s="21"/>
    </row>
    <row r="2" spans="1:9" s="3" customFormat="1" ht="19.899999999999999" customHeight="1" x14ac:dyDescent="0.3">
      <c r="A2" s="2"/>
      <c r="G2" s="6"/>
    </row>
    <row r="3" spans="1:9" ht="33" x14ac:dyDescent="0.3">
      <c r="B3" s="222" t="s">
        <v>0</v>
      </c>
      <c r="C3" s="222"/>
      <c r="D3" s="49" t="s">
        <v>314</v>
      </c>
      <c r="E3" s="49" t="s">
        <v>315</v>
      </c>
      <c r="F3" s="49" t="s">
        <v>316</v>
      </c>
      <c r="G3" s="49" t="s">
        <v>317</v>
      </c>
      <c r="H3" s="49" t="s">
        <v>342</v>
      </c>
      <c r="I3" s="93" t="s">
        <v>265</v>
      </c>
    </row>
    <row r="4" spans="1:9" ht="19.899999999999999" customHeight="1" x14ac:dyDescent="0.3">
      <c r="B4" s="214" t="s">
        <v>180</v>
      </c>
      <c r="C4" s="214"/>
      <c r="D4" s="183"/>
      <c r="E4" s="183"/>
      <c r="F4" s="144" t="str">
        <f>IF($D4=0,"",$E4/$D4)</f>
        <v/>
      </c>
      <c r="G4" s="183"/>
      <c r="H4" s="145" t="str">
        <f>IF($D4=0,"",($G4-$D4)/$D4)</f>
        <v/>
      </c>
      <c r="I4">
        <f>IF(COUNTA($D4:$H4)&gt;=3,1,0)</f>
        <v>0</v>
      </c>
    </row>
    <row r="5" spans="1:9" ht="19.899999999999999" customHeight="1" x14ac:dyDescent="0.3">
      <c r="B5" s="214" t="s">
        <v>181</v>
      </c>
      <c r="C5" s="214"/>
      <c r="D5" s="143">
        <f>SUM(D$6:D$14)</f>
        <v>0</v>
      </c>
      <c r="E5" s="143">
        <f>SUM(E$6:E$14)</f>
        <v>0</v>
      </c>
      <c r="F5" s="144" t="str">
        <f t="shared" ref="F5:F24" si="0">IF($D5=0,"",$E5/$D5)</f>
        <v/>
      </c>
      <c r="G5" s="143">
        <f>SUM(G$6:G$14)</f>
        <v>0</v>
      </c>
      <c r="H5" s="145" t="str">
        <f t="shared" ref="H5:H24" si="1">IF($D5=0,"",($G5-$D5)/$D5)</f>
        <v/>
      </c>
      <c r="I5">
        <f t="shared" ref="I5:I24" si="2">IF(COUNTA($D5:$H5)&gt;=3,1,0)</f>
        <v>1</v>
      </c>
    </row>
    <row r="6" spans="1:9" ht="19.899999999999999" customHeight="1" x14ac:dyDescent="0.3">
      <c r="B6" s="221" t="s">
        <v>152</v>
      </c>
      <c r="C6" s="56" t="s">
        <v>185</v>
      </c>
      <c r="D6" s="149"/>
      <c r="E6" s="149"/>
      <c r="F6" s="144" t="str">
        <f t="shared" si="0"/>
        <v/>
      </c>
      <c r="G6" s="149"/>
      <c r="H6" s="145" t="str">
        <f t="shared" si="1"/>
        <v/>
      </c>
      <c r="I6">
        <f t="shared" si="2"/>
        <v>0</v>
      </c>
    </row>
    <row r="7" spans="1:9" ht="19.899999999999999" customHeight="1" x14ac:dyDescent="0.3">
      <c r="B7" s="221"/>
      <c r="C7" s="56" t="s">
        <v>186</v>
      </c>
      <c r="D7" s="149"/>
      <c r="E7" s="149"/>
      <c r="F7" s="144" t="str">
        <f t="shared" si="0"/>
        <v/>
      </c>
      <c r="G7" s="149"/>
      <c r="H7" s="145" t="str">
        <f t="shared" si="1"/>
        <v/>
      </c>
      <c r="I7">
        <f t="shared" si="2"/>
        <v>0</v>
      </c>
    </row>
    <row r="8" spans="1:9" ht="19.899999999999999" customHeight="1" x14ac:dyDescent="0.3">
      <c r="B8" s="221"/>
      <c r="C8" s="56" t="s">
        <v>187</v>
      </c>
      <c r="D8" s="149"/>
      <c r="E8" s="149"/>
      <c r="F8" s="144" t="str">
        <f t="shared" si="0"/>
        <v/>
      </c>
      <c r="G8" s="149"/>
      <c r="H8" s="145" t="str">
        <f t="shared" si="1"/>
        <v/>
      </c>
      <c r="I8">
        <f t="shared" si="2"/>
        <v>0</v>
      </c>
    </row>
    <row r="9" spans="1:9" ht="19.899999999999999" customHeight="1" x14ac:dyDescent="0.3">
      <c r="B9" s="221"/>
      <c r="C9" s="56" t="s">
        <v>188</v>
      </c>
      <c r="D9" s="149"/>
      <c r="E9" s="149"/>
      <c r="F9" s="144" t="str">
        <f t="shared" si="0"/>
        <v/>
      </c>
      <c r="G9" s="149"/>
      <c r="H9" s="145" t="str">
        <f t="shared" si="1"/>
        <v/>
      </c>
      <c r="I9">
        <f t="shared" si="2"/>
        <v>0</v>
      </c>
    </row>
    <row r="10" spans="1:9" ht="19.899999999999999" customHeight="1" x14ac:dyDescent="0.3">
      <c r="B10" s="221"/>
      <c r="C10" s="56" t="s">
        <v>189</v>
      </c>
      <c r="D10" s="149"/>
      <c r="E10" s="149"/>
      <c r="F10" s="144" t="str">
        <f t="shared" si="0"/>
        <v/>
      </c>
      <c r="G10" s="149"/>
      <c r="H10" s="145" t="str">
        <f t="shared" si="1"/>
        <v/>
      </c>
      <c r="I10">
        <f t="shared" si="2"/>
        <v>0</v>
      </c>
    </row>
    <row r="11" spans="1:9" ht="19.899999999999999" customHeight="1" x14ac:dyDescent="0.3">
      <c r="B11" s="221"/>
      <c r="C11" s="56" t="s">
        <v>190</v>
      </c>
      <c r="D11" s="149"/>
      <c r="E11" s="149"/>
      <c r="F11" s="144" t="str">
        <f t="shared" si="0"/>
        <v/>
      </c>
      <c r="G11" s="149"/>
      <c r="H11" s="145" t="str">
        <f t="shared" si="1"/>
        <v/>
      </c>
      <c r="I11">
        <f t="shared" si="2"/>
        <v>0</v>
      </c>
    </row>
    <row r="12" spans="1:9" ht="19.899999999999999" customHeight="1" x14ac:dyDescent="0.3">
      <c r="B12" s="221"/>
      <c r="C12" s="56" t="s">
        <v>191</v>
      </c>
      <c r="D12" s="149"/>
      <c r="E12" s="149"/>
      <c r="F12" s="144" t="str">
        <f t="shared" si="0"/>
        <v/>
      </c>
      <c r="G12" s="149"/>
      <c r="H12" s="145" t="str">
        <f t="shared" si="1"/>
        <v/>
      </c>
      <c r="I12">
        <f t="shared" si="2"/>
        <v>0</v>
      </c>
    </row>
    <row r="13" spans="1:9" ht="19.899999999999999" customHeight="1" x14ac:dyDescent="0.3">
      <c r="B13" s="221"/>
      <c r="C13" s="56" t="s">
        <v>192</v>
      </c>
      <c r="D13" s="149"/>
      <c r="E13" s="149"/>
      <c r="F13" s="144" t="str">
        <f t="shared" si="0"/>
        <v/>
      </c>
      <c r="G13" s="149"/>
      <c r="H13" s="145" t="str">
        <f t="shared" si="1"/>
        <v/>
      </c>
      <c r="I13">
        <f t="shared" si="2"/>
        <v>0</v>
      </c>
    </row>
    <row r="14" spans="1:9" ht="19.899999999999999" customHeight="1" x14ac:dyDescent="0.3">
      <c r="B14" s="221"/>
      <c r="C14" s="57" t="s">
        <v>193</v>
      </c>
      <c r="D14" s="58"/>
      <c r="E14" s="58"/>
      <c r="F14" s="144" t="str">
        <f t="shared" si="0"/>
        <v/>
      </c>
      <c r="G14" s="58"/>
      <c r="H14" s="145" t="str">
        <f t="shared" si="1"/>
        <v/>
      </c>
      <c r="I14">
        <f t="shared" si="2"/>
        <v>0</v>
      </c>
    </row>
    <row r="15" spans="1:9" ht="19.899999999999999" customHeight="1" x14ac:dyDescent="0.3">
      <c r="B15" s="214" t="s">
        <v>202</v>
      </c>
      <c r="C15" s="214"/>
      <c r="D15" s="143">
        <f>SUM(D$16:D$24)</f>
        <v>0</v>
      </c>
      <c r="E15" s="143">
        <f>SUM(E$16:E$24)</f>
        <v>0</v>
      </c>
      <c r="F15" s="144" t="str">
        <f t="shared" si="0"/>
        <v/>
      </c>
      <c r="G15" s="143">
        <f>SUM(G$16:G$24)</f>
        <v>0</v>
      </c>
      <c r="H15" s="145" t="str">
        <f t="shared" si="1"/>
        <v/>
      </c>
      <c r="I15">
        <f t="shared" si="2"/>
        <v>1</v>
      </c>
    </row>
    <row r="16" spans="1:9" ht="19.899999999999999" customHeight="1" x14ac:dyDescent="0.3">
      <c r="B16" s="221" t="s">
        <v>203</v>
      </c>
      <c r="C16" s="56" t="s">
        <v>194</v>
      </c>
      <c r="D16" s="149"/>
      <c r="E16" s="149"/>
      <c r="F16" s="144" t="str">
        <f t="shared" si="0"/>
        <v/>
      </c>
      <c r="G16" s="149"/>
      <c r="H16" s="145" t="str">
        <f t="shared" si="1"/>
        <v/>
      </c>
      <c r="I16">
        <f t="shared" si="2"/>
        <v>0</v>
      </c>
    </row>
    <row r="17" spans="2:9" ht="19.899999999999999" customHeight="1" x14ac:dyDescent="0.3">
      <c r="B17" s="221"/>
      <c r="C17" s="56" t="s">
        <v>195</v>
      </c>
      <c r="D17" s="149"/>
      <c r="E17" s="149"/>
      <c r="F17" s="144" t="str">
        <f t="shared" si="0"/>
        <v/>
      </c>
      <c r="G17" s="149"/>
      <c r="H17" s="145" t="str">
        <f t="shared" si="1"/>
        <v/>
      </c>
      <c r="I17">
        <f t="shared" si="2"/>
        <v>0</v>
      </c>
    </row>
    <row r="18" spans="2:9" ht="19.899999999999999" customHeight="1" x14ac:dyDescent="0.3">
      <c r="B18" s="221"/>
      <c r="C18" s="56" t="s">
        <v>196</v>
      </c>
      <c r="D18" s="149"/>
      <c r="E18" s="149"/>
      <c r="F18" s="144" t="str">
        <f t="shared" si="0"/>
        <v/>
      </c>
      <c r="G18" s="149"/>
      <c r="H18" s="145" t="str">
        <f t="shared" si="1"/>
        <v/>
      </c>
      <c r="I18">
        <f t="shared" si="2"/>
        <v>0</v>
      </c>
    </row>
    <row r="19" spans="2:9" ht="19.899999999999999" customHeight="1" x14ac:dyDescent="0.3">
      <c r="B19" s="221"/>
      <c r="C19" s="56" t="s">
        <v>197</v>
      </c>
      <c r="D19" s="149"/>
      <c r="E19" s="149"/>
      <c r="F19" s="144" t="str">
        <f t="shared" si="0"/>
        <v/>
      </c>
      <c r="G19" s="149"/>
      <c r="H19" s="145" t="str">
        <f t="shared" si="1"/>
        <v/>
      </c>
      <c r="I19">
        <f t="shared" si="2"/>
        <v>0</v>
      </c>
    </row>
    <row r="20" spans="2:9" ht="19.899999999999999" customHeight="1" x14ac:dyDescent="0.3">
      <c r="B20" s="221"/>
      <c r="C20" s="56" t="s">
        <v>198</v>
      </c>
      <c r="D20" s="149"/>
      <c r="E20" s="149"/>
      <c r="F20" s="144" t="str">
        <f t="shared" si="0"/>
        <v/>
      </c>
      <c r="G20" s="149"/>
      <c r="H20" s="145" t="str">
        <f t="shared" si="1"/>
        <v/>
      </c>
      <c r="I20">
        <f t="shared" si="2"/>
        <v>0</v>
      </c>
    </row>
    <row r="21" spans="2:9" ht="19.899999999999999" customHeight="1" x14ac:dyDescent="0.3">
      <c r="B21" s="221"/>
      <c r="C21" s="56" t="s">
        <v>199</v>
      </c>
      <c r="D21" s="58"/>
      <c r="E21" s="58"/>
      <c r="F21" s="144" t="str">
        <f t="shared" si="0"/>
        <v/>
      </c>
      <c r="G21" s="149"/>
      <c r="H21" s="145" t="str">
        <f t="shared" si="1"/>
        <v/>
      </c>
      <c r="I21">
        <f t="shared" si="2"/>
        <v>0</v>
      </c>
    </row>
    <row r="22" spans="2:9" ht="19.899999999999999" customHeight="1" x14ac:dyDescent="0.3">
      <c r="B22" s="221"/>
      <c r="C22" s="56" t="s">
        <v>200</v>
      </c>
      <c r="D22" s="58"/>
      <c r="E22" s="58"/>
      <c r="F22" s="144" t="str">
        <f t="shared" si="0"/>
        <v/>
      </c>
      <c r="G22" s="149"/>
      <c r="H22" s="145" t="str">
        <f t="shared" si="1"/>
        <v/>
      </c>
      <c r="I22">
        <f t="shared" si="2"/>
        <v>0</v>
      </c>
    </row>
    <row r="23" spans="2:9" ht="19.899999999999999" customHeight="1" x14ac:dyDescent="0.3">
      <c r="B23" s="221"/>
      <c r="C23" s="56" t="s">
        <v>201</v>
      </c>
      <c r="D23" s="58"/>
      <c r="E23" s="58"/>
      <c r="F23" s="144" t="str">
        <f t="shared" si="0"/>
        <v/>
      </c>
      <c r="G23" s="58"/>
      <c r="H23" s="145" t="str">
        <f t="shared" si="1"/>
        <v/>
      </c>
      <c r="I23">
        <f t="shared" si="2"/>
        <v>0</v>
      </c>
    </row>
    <row r="24" spans="2:9" ht="19.899999999999999" customHeight="1" x14ac:dyDescent="0.3">
      <c r="B24" s="221"/>
      <c r="C24" s="56" t="s">
        <v>193</v>
      </c>
      <c r="D24" s="58"/>
      <c r="E24" s="58"/>
      <c r="F24" s="144" t="str">
        <f t="shared" si="0"/>
        <v/>
      </c>
      <c r="G24" s="58"/>
      <c r="H24" s="145" t="str">
        <f t="shared" si="1"/>
        <v/>
      </c>
      <c r="I24">
        <f t="shared" si="2"/>
        <v>0</v>
      </c>
    </row>
    <row r="25" spans="2:9" ht="19.899999999999999" hidden="1" customHeight="1" x14ac:dyDescent="0.3">
      <c r="B25" s="214" t="s">
        <v>283</v>
      </c>
      <c r="C25" s="214"/>
      <c r="D25" s="55" t="e">
        <f>D$15/D$5</f>
        <v>#DIV/0!</v>
      </c>
      <c r="E25" s="45"/>
      <c r="F25" s="94">
        <f t="shared" ref="F25" si="3">IF($E25=0,0,$E25/$D25)</f>
        <v>0</v>
      </c>
      <c r="G25" s="55" t="e">
        <f>G$15/G$5</f>
        <v>#DIV/0!</v>
      </c>
      <c r="H25" s="45"/>
    </row>
    <row r="26" spans="2:9" ht="19.899999999999999" customHeight="1" x14ac:dyDescent="0.3"/>
    <row r="27" spans="2:9" ht="19.899999999999999" customHeight="1" x14ac:dyDescent="0.3">
      <c r="B27" s="11" t="s">
        <v>106</v>
      </c>
      <c r="C27" s="1"/>
      <c r="D27" s="1"/>
      <c r="E27" s="1"/>
      <c r="F27" s="1"/>
      <c r="G27" s="1"/>
    </row>
    <row r="28" spans="2:9" ht="19.899999999999999" customHeight="1" x14ac:dyDescent="0.3">
      <c r="B28" s="18" t="s">
        <v>282</v>
      </c>
      <c r="C28" s="1"/>
      <c r="D28" s="1"/>
      <c r="E28" s="1"/>
      <c r="F28" s="1"/>
      <c r="G28" s="1"/>
    </row>
    <row r="29" spans="2:9" ht="19.899999999999999" customHeight="1" x14ac:dyDescent="0.3">
      <c r="B29" s="18" t="s">
        <v>336</v>
      </c>
      <c r="C29" s="1"/>
      <c r="D29" s="1"/>
      <c r="E29" s="1"/>
      <c r="F29" s="1"/>
      <c r="G29" s="1"/>
    </row>
    <row r="30" spans="2:9" ht="19.899999999999999" customHeight="1" x14ac:dyDescent="0.3">
      <c r="B30" s="18" t="s">
        <v>337</v>
      </c>
      <c r="C30" s="1"/>
      <c r="D30" s="1"/>
      <c r="E30" s="1"/>
      <c r="F30" s="1"/>
      <c r="G30" s="1"/>
    </row>
    <row r="31" spans="2:9" ht="19.5" x14ac:dyDescent="0.3">
      <c r="B31" s="18" t="s">
        <v>338</v>
      </c>
      <c r="C31" s="1"/>
      <c r="D31" s="1"/>
      <c r="E31" s="1"/>
      <c r="F31" s="1"/>
      <c r="G31" s="1"/>
    </row>
  </sheetData>
  <sheetProtection password="DE44" sheet="1" objects="1" scenarios="1"/>
  <mergeCells count="7">
    <mergeCell ref="B25:C25"/>
    <mergeCell ref="B16:B24"/>
    <mergeCell ref="B3:C3"/>
    <mergeCell ref="B4:C4"/>
    <mergeCell ref="B6:B14"/>
    <mergeCell ref="B5:C5"/>
    <mergeCell ref="B15:C15"/>
  </mergeCells>
  <phoneticPr fontId="1" type="noConversion"/>
  <pageMargins left="0.25" right="0.25" top="0.75" bottom="0.75" header="0.3" footer="0.3"/>
  <pageSetup paperSize="9"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98"/>
  <sheetViews>
    <sheetView topLeftCell="A61" zoomScale="85" zoomScaleNormal="85" workbookViewId="0">
      <selection activeCell="H90" sqref="H90"/>
    </sheetView>
  </sheetViews>
  <sheetFormatPr defaultRowHeight="16.5" x14ac:dyDescent="0.3"/>
  <cols>
    <col min="1" max="1" width="19.75" bestFit="1" customWidth="1"/>
    <col min="2" max="2" width="51.75" bestFit="1" customWidth="1"/>
  </cols>
  <sheetData>
    <row r="1" spans="1:15" ht="19.899999999999999" customHeight="1" x14ac:dyDescent="0.3">
      <c r="A1" s="24" t="s">
        <v>166</v>
      </c>
      <c r="B1" s="24" t="s">
        <v>165</v>
      </c>
    </row>
    <row r="2" spans="1:15" ht="19.899999999999999" customHeight="1" x14ac:dyDescent="0.3">
      <c r="A2" s="227" t="s">
        <v>13</v>
      </c>
      <c r="B2" s="36" t="s">
        <v>13</v>
      </c>
      <c r="D2" s="11" t="s">
        <v>106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9.899999999999999" customHeight="1" x14ac:dyDescent="0.3">
      <c r="A3" s="228"/>
      <c r="B3" s="36" t="s">
        <v>21</v>
      </c>
      <c r="D3" s="19" t="s">
        <v>164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.899999999999999" customHeight="1" x14ac:dyDescent="0.3">
      <c r="A4" s="228"/>
      <c r="B4" s="36" t="s">
        <v>95</v>
      </c>
    </row>
    <row r="5" spans="1:15" ht="19.899999999999999" customHeight="1" x14ac:dyDescent="0.3">
      <c r="A5" s="229"/>
      <c r="B5" s="36" t="s">
        <v>100</v>
      </c>
    </row>
    <row r="6" spans="1:15" ht="19.899999999999999" customHeight="1" x14ac:dyDescent="0.3">
      <c r="A6" s="223" t="s">
        <v>167</v>
      </c>
      <c r="B6" s="47" t="s">
        <v>14</v>
      </c>
    </row>
    <row r="7" spans="1:15" ht="19.899999999999999" customHeight="1" x14ac:dyDescent="0.3">
      <c r="A7" s="224"/>
      <c r="B7" s="47" t="s">
        <v>22</v>
      </c>
    </row>
    <row r="8" spans="1:15" ht="19.899999999999999" customHeight="1" x14ac:dyDescent="0.3">
      <c r="A8" s="224"/>
      <c r="B8" s="48" t="s">
        <v>28</v>
      </c>
    </row>
    <row r="9" spans="1:15" ht="19.899999999999999" customHeight="1" x14ac:dyDescent="0.3">
      <c r="A9" s="224"/>
      <c r="B9" s="47" t="s">
        <v>35</v>
      </c>
    </row>
    <row r="10" spans="1:15" ht="19.899999999999999" customHeight="1" x14ac:dyDescent="0.3">
      <c r="A10" s="224"/>
      <c r="B10" s="47" t="s">
        <v>41</v>
      </c>
    </row>
    <row r="11" spans="1:15" ht="19.899999999999999" customHeight="1" x14ac:dyDescent="0.3">
      <c r="A11" s="224"/>
      <c r="B11" s="47" t="s">
        <v>45</v>
      </c>
    </row>
    <row r="12" spans="1:15" ht="19.899999999999999" customHeight="1" x14ac:dyDescent="0.3">
      <c r="A12" s="224"/>
      <c r="B12" s="47" t="s">
        <v>49</v>
      </c>
    </row>
    <row r="13" spans="1:15" ht="19.899999999999999" customHeight="1" x14ac:dyDescent="0.3">
      <c r="A13" s="224"/>
      <c r="B13" s="47" t="s">
        <v>54</v>
      </c>
    </row>
    <row r="14" spans="1:15" ht="19.899999999999999" customHeight="1" x14ac:dyDescent="0.3">
      <c r="A14" s="224"/>
      <c r="B14" s="47" t="s">
        <v>59</v>
      </c>
    </row>
    <row r="15" spans="1:15" ht="19.899999999999999" customHeight="1" x14ac:dyDescent="0.3">
      <c r="A15" s="224"/>
      <c r="B15" s="47" t="s">
        <v>62</v>
      </c>
    </row>
    <row r="16" spans="1:15" ht="19.899999999999999" customHeight="1" x14ac:dyDescent="0.3">
      <c r="A16" s="224"/>
      <c r="B16" s="47" t="s">
        <v>66</v>
      </c>
    </row>
    <row r="17" spans="1:2" ht="19.899999999999999" customHeight="1" x14ac:dyDescent="0.3">
      <c r="A17" s="224"/>
      <c r="B17" s="47" t="s">
        <v>68</v>
      </c>
    </row>
    <row r="18" spans="1:2" ht="19.899999999999999" customHeight="1" x14ac:dyDescent="0.3">
      <c r="A18" s="224"/>
      <c r="B18" s="47" t="s">
        <v>71</v>
      </c>
    </row>
    <row r="19" spans="1:2" ht="19.899999999999999" customHeight="1" x14ac:dyDescent="0.3">
      <c r="A19" s="224"/>
      <c r="B19" s="47" t="s">
        <v>72</v>
      </c>
    </row>
    <row r="20" spans="1:2" ht="19.899999999999999" customHeight="1" x14ac:dyDescent="0.3">
      <c r="A20" s="224"/>
      <c r="B20" s="47" t="s">
        <v>74</v>
      </c>
    </row>
    <row r="21" spans="1:2" ht="19.899999999999999" customHeight="1" x14ac:dyDescent="0.3">
      <c r="A21" s="224"/>
      <c r="B21" s="47" t="s">
        <v>76</v>
      </c>
    </row>
    <row r="22" spans="1:2" ht="19.899999999999999" customHeight="1" x14ac:dyDescent="0.3">
      <c r="A22" s="224"/>
      <c r="B22" s="48" t="s">
        <v>154</v>
      </c>
    </row>
    <row r="23" spans="1:2" ht="19.899999999999999" customHeight="1" x14ac:dyDescent="0.3">
      <c r="A23" s="224"/>
      <c r="B23" s="48" t="s">
        <v>153</v>
      </c>
    </row>
    <row r="24" spans="1:2" ht="19.899999999999999" customHeight="1" x14ac:dyDescent="0.3">
      <c r="A24" s="224"/>
      <c r="B24" s="47" t="s">
        <v>80</v>
      </c>
    </row>
    <row r="25" spans="1:2" ht="19.899999999999999" customHeight="1" x14ac:dyDescent="0.3">
      <c r="A25" s="224"/>
      <c r="B25" s="47" t="s">
        <v>83</v>
      </c>
    </row>
    <row r="26" spans="1:2" ht="19.899999999999999" customHeight="1" x14ac:dyDescent="0.3">
      <c r="A26" s="224"/>
      <c r="B26" s="47" t="s">
        <v>82</v>
      </c>
    </row>
    <row r="27" spans="1:2" ht="19.899999999999999" customHeight="1" x14ac:dyDescent="0.3">
      <c r="A27" s="224"/>
      <c r="B27" s="47" t="s">
        <v>84</v>
      </c>
    </row>
    <row r="28" spans="1:2" ht="19.899999999999999" customHeight="1" x14ac:dyDescent="0.3">
      <c r="A28" s="224"/>
      <c r="B28" s="47" t="s">
        <v>85</v>
      </c>
    </row>
    <row r="29" spans="1:2" ht="19.899999999999999" customHeight="1" x14ac:dyDescent="0.3">
      <c r="A29" s="225"/>
      <c r="B29" s="47" t="s">
        <v>86</v>
      </c>
    </row>
    <row r="30" spans="1:2" ht="19.899999999999999" customHeight="1" x14ac:dyDescent="0.3">
      <c r="A30" s="226" t="s">
        <v>168</v>
      </c>
      <c r="B30" s="36" t="s">
        <v>15</v>
      </c>
    </row>
    <row r="31" spans="1:2" ht="19.899999999999999" customHeight="1" x14ac:dyDescent="0.3">
      <c r="A31" s="224"/>
      <c r="B31" s="36" t="s">
        <v>184</v>
      </c>
    </row>
    <row r="32" spans="1:2" ht="19.899999999999999" customHeight="1" x14ac:dyDescent="0.3">
      <c r="A32" s="224"/>
      <c r="B32" s="36" t="s">
        <v>29</v>
      </c>
    </row>
    <row r="33" spans="1:2" ht="19.899999999999999" customHeight="1" x14ac:dyDescent="0.3">
      <c r="A33" s="224"/>
      <c r="B33" s="36" t="s">
        <v>36</v>
      </c>
    </row>
    <row r="34" spans="1:2" ht="19.899999999999999" customHeight="1" x14ac:dyDescent="0.3">
      <c r="A34" s="224"/>
      <c r="B34" s="36" t="s">
        <v>42</v>
      </c>
    </row>
    <row r="35" spans="1:2" ht="19.899999999999999" customHeight="1" x14ac:dyDescent="0.3">
      <c r="A35" s="224"/>
      <c r="B35" s="36" t="s">
        <v>94</v>
      </c>
    </row>
    <row r="36" spans="1:2" ht="19.899999999999999" customHeight="1" x14ac:dyDescent="0.3">
      <c r="A36" s="224"/>
      <c r="B36" s="36" t="s">
        <v>50</v>
      </c>
    </row>
    <row r="37" spans="1:2" ht="19.899999999999999" customHeight="1" x14ac:dyDescent="0.3">
      <c r="A37" s="224"/>
      <c r="B37" s="36" t="s">
        <v>55</v>
      </c>
    </row>
    <row r="38" spans="1:2" ht="19.899999999999999" customHeight="1" x14ac:dyDescent="0.3">
      <c r="A38" s="224"/>
      <c r="B38" s="36" t="s">
        <v>99</v>
      </c>
    </row>
    <row r="39" spans="1:2" ht="19.899999999999999" customHeight="1" x14ac:dyDescent="0.3">
      <c r="A39" s="224"/>
      <c r="B39" s="43" t="s">
        <v>81</v>
      </c>
    </row>
    <row r="40" spans="1:2" ht="19.899999999999999" customHeight="1" x14ac:dyDescent="0.3">
      <c r="A40" s="224"/>
      <c r="B40" s="43" t="s">
        <v>103</v>
      </c>
    </row>
    <row r="41" spans="1:2" ht="19.899999999999999" customHeight="1" x14ac:dyDescent="0.3">
      <c r="A41" s="225"/>
      <c r="B41" s="43" t="s">
        <v>77</v>
      </c>
    </row>
    <row r="42" spans="1:2" ht="19.899999999999999" customHeight="1" x14ac:dyDescent="0.3">
      <c r="A42" s="226" t="s">
        <v>163</v>
      </c>
      <c r="B42" s="47" t="s">
        <v>16</v>
      </c>
    </row>
    <row r="43" spans="1:2" ht="19.899999999999999" customHeight="1" x14ac:dyDescent="0.3">
      <c r="A43" s="224"/>
      <c r="B43" s="47" t="s">
        <v>30</v>
      </c>
    </row>
    <row r="44" spans="1:2" ht="19.899999999999999" customHeight="1" x14ac:dyDescent="0.3">
      <c r="A44" s="224"/>
      <c r="B44" s="47" t="s">
        <v>23</v>
      </c>
    </row>
    <row r="45" spans="1:2" ht="19.899999999999999" customHeight="1" x14ac:dyDescent="0.3">
      <c r="A45" s="224"/>
      <c r="B45" s="47" t="s">
        <v>37</v>
      </c>
    </row>
    <row r="46" spans="1:2" ht="19.899999999999999" customHeight="1" x14ac:dyDescent="0.3">
      <c r="A46" s="224"/>
      <c r="B46" s="47" t="s">
        <v>43</v>
      </c>
    </row>
    <row r="47" spans="1:2" ht="19.899999999999999" customHeight="1" x14ac:dyDescent="0.3">
      <c r="A47" s="224"/>
      <c r="B47" s="47" t="s">
        <v>47</v>
      </c>
    </row>
    <row r="48" spans="1:2" ht="19.899999999999999" customHeight="1" x14ac:dyDescent="0.3">
      <c r="A48" s="224"/>
      <c r="B48" s="47" t="s">
        <v>51</v>
      </c>
    </row>
    <row r="49" spans="1:2" ht="19.899999999999999" customHeight="1" x14ac:dyDescent="0.3">
      <c r="A49" s="224"/>
      <c r="B49" s="47" t="s">
        <v>56</v>
      </c>
    </row>
    <row r="50" spans="1:2" ht="19.899999999999999" customHeight="1" x14ac:dyDescent="0.3">
      <c r="A50" s="224"/>
      <c r="B50" s="47" t="s">
        <v>60</v>
      </c>
    </row>
    <row r="51" spans="1:2" ht="19.899999999999999" customHeight="1" x14ac:dyDescent="0.3">
      <c r="A51" s="224"/>
      <c r="B51" s="47" t="s">
        <v>63</v>
      </c>
    </row>
    <row r="52" spans="1:2" ht="19.899999999999999" customHeight="1" x14ac:dyDescent="0.3">
      <c r="A52" s="224"/>
      <c r="B52" s="47" t="s">
        <v>67</v>
      </c>
    </row>
    <row r="53" spans="1:2" ht="19.899999999999999" customHeight="1" x14ac:dyDescent="0.3">
      <c r="A53" s="224"/>
      <c r="B53" s="47" t="s">
        <v>69</v>
      </c>
    </row>
    <row r="54" spans="1:2" ht="19.899999999999999" customHeight="1" x14ac:dyDescent="0.3">
      <c r="A54" s="224"/>
      <c r="B54" s="47" t="s">
        <v>98</v>
      </c>
    </row>
    <row r="55" spans="1:2" ht="19.899999999999999" customHeight="1" x14ac:dyDescent="0.3">
      <c r="A55" s="224"/>
      <c r="B55" s="47" t="s">
        <v>78</v>
      </c>
    </row>
    <row r="56" spans="1:2" ht="19.899999999999999" customHeight="1" x14ac:dyDescent="0.3">
      <c r="A56" s="224"/>
      <c r="B56" s="48" t="s">
        <v>97</v>
      </c>
    </row>
    <row r="57" spans="1:2" ht="19.899999999999999" customHeight="1" x14ac:dyDescent="0.3">
      <c r="A57" s="224"/>
      <c r="B57" s="48" t="s">
        <v>46</v>
      </c>
    </row>
    <row r="58" spans="1:2" ht="19.899999999999999" customHeight="1" x14ac:dyDescent="0.3">
      <c r="A58" s="224"/>
      <c r="B58" s="48" t="s">
        <v>102</v>
      </c>
    </row>
    <row r="59" spans="1:2" ht="19.899999999999999" customHeight="1" x14ac:dyDescent="0.3">
      <c r="A59" s="224"/>
      <c r="B59" s="48" t="s">
        <v>101</v>
      </c>
    </row>
    <row r="60" spans="1:2" ht="19.899999999999999" customHeight="1" x14ac:dyDescent="0.3">
      <c r="A60" s="224"/>
      <c r="B60" s="48" t="s">
        <v>157</v>
      </c>
    </row>
    <row r="61" spans="1:2" ht="19.899999999999999" customHeight="1" x14ac:dyDescent="0.3">
      <c r="A61" s="224"/>
      <c r="B61" s="48" t="s">
        <v>158</v>
      </c>
    </row>
    <row r="62" spans="1:2" ht="19.899999999999999" customHeight="1" x14ac:dyDescent="0.3">
      <c r="A62" s="224"/>
      <c r="B62" s="48" t="s">
        <v>156</v>
      </c>
    </row>
    <row r="63" spans="1:2" ht="19.899999999999999" customHeight="1" x14ac:dyDescent="0.3">
      <c r="A63" s="224"/>
      <c r="B63" s="48" t="s">
        <v>155</v>
      </c>
    </row>
    <row r="64" spans="1:2" ht="19.899999999999999" customHeight="1" x14ac:dyDescent="0.3">
      <c r="A64" s="225"/>
      <c r="B64" s="48" t="s">
        <v>73</v>
      </c>
    </row>
    <row r="65" spans="1:2" ht="19.899999999999999" customHeight="1" x14ac:dyDescent="0.3">
      <c r="A65" s="223" t="s">
        <v>169</v>
      </c>
      <c r="B65" s="43" t="s">
        <v>19</v>
      </c>
    </row>
    <row r="66" spans="1:2" ht="19.899999999999999" customHeight="1" x14ac:dyDescent="0.3">
      <c r="A66" s="224"/>
      <c r="B66" s="43" t="s">
        <v>26</v>
      </c>
    </row>
    <row r="67" spans="1:2" ht="19.899999999999999" customHeight="1" x14ac:dyDescent="0.3">
      <c r="A67" s="224"/>
      <c r="B67" s="43" t="s">
        <v>33</v>
      </c>
    </row>
    <row r="68" spans="1:2" ht="19.899999999999999" customHeight="1" x14ac:dyDescent="0.3">
      <c r="A68" s="224"/>
      <c r="B68" s="43" t="s">
        <v>39</v>
      </c>
    </row>
    <row r="69" spans="1:2" ht="19.899999999999999" customHeight="1" x14ac:dyDescent="0.3">
      <c r="A69" s="224"/>
      <c r="B69" s="43" t="s">
        <v>159</v>
      </c>
    </row>
    <row r="70" spans="1:2" ht="19.899999999999999" customHeight="1" x14ac:dyDescent="0.3">
      <c r="A70" s="224"/>
      <c r="B70" s="43" t="s">
        <v>160</v>
      </c>
    </row>
    <row r="71" spans="1:2" ht="19.899999999999999" customHeight="1" x14ac:dyDescent="0.3">
      <c r="A71" s="224"/>
      <c r="B71" s="43" t="s">
        <v>162</v>
      </c>
    </row>
    <row r="72" spans="1:2" ht="19.899999999999999" customHeight="1" x14ac:dyDescent="0.3">
      <c r="A72" s="224"/>
      <c r="B72" s="43" t="s">
        <v>161</v>
      </c>
    </row>
    <row r="73" spans="1:2" ht="19.899999999999999" customHeight="1" x14ac:dyDescent="0.3">
      <c r="A73" s="224"/>
      <c r="B73" s="43" t="s">
        <v>53</v>
      </c>
    </row>
    <row r="74" spans="1:2" ht="19.899999999999999" customHeight="1" x14ac:dyDescent="0.3">
      <c r="A74" s="224"/>
      <c r="B74" s="43" t="s">
        <v>58</v>
      </c>
    </row>
    <row r="75" spans="1:2" ht="19.899999999999999" customHeight="1" x14ac:dyDescent="0.3">
      <c r="A75" s="224"/>
      <c r="B75" s="43" t="s">
        <v>65</v>
      </c>
    </row>
    <row r="76" spans="1:2" ht="19.899999999999999" customHeight="1" x14ac:dyDescent="0.3">
      <c r="A76" s="224"/>
      <c r="B76" s="43" t="s">
        <v>70</v>
      </c>
    </row>
    <row r="77" spans="1:2" ht="19.899999999999999" customHeight="1" x14ac:dyDescent="0.3">
      <c r="A77" s="224"/>
      <c r="B77" s="43" t="s">
        <v>104</v>
      </c>
    </row>
    <row r="78" spans="1:2" ht="19.899999999999999" customHeight="1" x14ac:dyDescent="0.3">
      <c r="A78" s="224"/>
      <c r="B78" s="43" t="s">
        <v>75</v>
      </c>
    </row>
    <row r="79" spans="1:2" ht="19.899999999999999" customHeight="1" x14ac:dyDescent="0.3">
      <c r="A79" s="224"/>
      <c r="B79" s="43" t="s">
        <v>79</v>
      </c>
    </row>
    <row r="80" spans="1:2" ht="19.899999999999999" customHeight="1" x14ac:dyDescent="0.3">
      <c r="A80" s="225"/>
      <c r="B80" s="43" t="s">
        <v>82</v>
      </c>
    </row>
    <row r="81" spans="1:2" ht="19.899999999999999" customHeight="1" x14ac:dyDescent="0.3">
      <c r="A81" s="223" t="s">
        <v>170</v>
      </c>
      <c r="B81" s="47" t="s">
        <v>17</v>
      </c>
    </row>
    <row r="82" spans="1:2" ht="19.899999999999999" customHeight="1" x14ac:dyDescent="0.3">
      <c r="A82" s="224"/>
      <c r="B82" s="47" t="s">
        <v>24</v>
      </c>
    </row>
    <row r="83" spans="1:2" ht="19.899999999999999" customHeight="1" x14ac:dyDescent="0.3">
      <c r="A83" s="224"/>
      <c r="B83" s="47" t="s">
        <v>31</v>
      </c>
    </row>
    <row r="84" spans="1:2" ht="19.899999999999999" customHeight="1" x14ac:dyDescent="0.3">
      <c r="A84" s="225"/>
      <c r="B84" s="47" t="s">
        <v>96</v>
      </c>
    </row>
    <row r="85" spans="1:2" ht="19.899999999999999" customHeight="1" x14ac:dyDescent="0.3">
      <c r="A85" s="223" t="s">
        <v>172</v>
      </c>
      <c r="B85" s="36" t="s">
        <v>18</v>
      </c>
    </row>
    <row r="86" spans="1:2" ht="19.899999999999999" customHeight="1" x14ac:dyDescent="0.3">
      <c r="A86" s="224"/>
      <c r="B86" s="36" t="s">
        <v>25</v>
      </c>
    </row>
    <row r="87" spans="1:2" ht="19.899999999999999" customHeight="1" x14ac:dyDescent="0.3">
      <c r="A87" s="224"/>
      <c r="B87" s="36" t="s">
        <v>32</v>
      </c>
    </row>
    <row r="88" spans="1:2" ht="19.899999999999999" customHeight="1" x14ac:dyDescent="0.3">
      <c r="A88" s="224"/>
      <c r="B88" s="36" t="s">
        <v>38</v>
      </c>
    </row>
    <row r="89" spans="1:2" ht="19.899999999999999" customHeight="1" x14ac:dyDescent="0.3">
      <c r="A89" s="224"/>
      <c r="B89" s="36" t="s">
        <v>44</v>
      </c>
    </row>
    <row r="90" spans="1:2" ht="19.899999999999999" customHeight="1" x14ac:dyDescent="0.3">
      <c r="A90" s="224"/>
      <c r="B90" s="36" t="s">
        <v>48</v>
      </c>
    </row>
    <row r="91" spans="1:2" ht="19.899999999999999" customHeight="1" x14ac:dyDescent="0.3">
      <c r="A91" s="224"/>
      <c r="B91" s="36" t="s">
        <v>52</v>
      </c>
    </row>
    <row r="92" spans="1:2" ht="19.899999999999999" customHeight="1" x14ac:dyDescent="0.3">
      <c r="A92" s="224"/>
      <c r="B92" s="36" t="s">
        <v>57</v>
      </c>
    </row>
    <row r="93" spans="1:2" ht="19.899999999999999" customHeight="1" x14ac:dyDescent="0.3">
      <c r="A93" s="224"/>
      <c r="B93" s="43" t="s">
        <v>61</v>
      </c>
    </row>
    <row r="94" spans="1:2" ht="19.899999999999999" customHeight="1" x14ac:dyDescent="0.3">
      <c r="A94" s="225"/>
      <c r="B94" s="36" t="s">
        <v>64</v>
      </c>
    </row>
    <row r="95" spans="1:2" ht="19.899999999999999" customHeight="1" x14ac:dyDescent="0.3">
      <c r="A95" s="223" t="s">
        <v>171</v>
      </c>
      <c r="B95" s="47" t="s">
        <v>20</v>
      </c>
    </row>
    <row r="96" spans="1:2" ht="19.899999999999999" customHeight="1" x14ac:dyDescent="0.3">
      <c r="A96" s="224"/>
      <c r="B96" s="47" t="s">
        <v>27</v>
      </c>
    </row>
    <row r="97" spans="1:2" ht="19.899999999999999" customHeight="1" x14ac:dyDescent="0.3">
      <c r="A97" s="224"/>
      <c r="B97" s="47" t="s">
        <v>34</v>
      </c>
    </row>
    <row r="98" spans="1:2" ht="19.899999999999999" customHeight="1" x14ac:dyDescent="0.3">
      <c r="A98" s="225"/>
      <c r="B98" s="47" t="s">
        <v>40</v>
      </c>
    </row>
  </sheetData>
  <mergeCells count="8">
    <mergeCell ref="A85:A94"/>
    <mergeCell ref="A95:A98"/>
    <mergeCell ref="A30:A41"/>
    <mergeCell ref="A6:A29"/>
    <mergeCell ref="A2:A5"/>
    <mergeCell ref="A42:A64"/>
    <mergeCell ref="A65:A80"/>
    <mergeCell ref="A81:A84"/>
  </mergeCells>
  <phoneticPr fontId="1" type="noConversion"/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99.자체점검결과</vt:lpstr>
      <vt:lpstr>0. 표지</vt:lpstr>
      <vt:lpstr>1.개요</vt:lpstr>
      <vt:lpstr>2. 목표 및 전략</vt:lpstr>
      <vt:lpstr>3. 추진실적</vt:lpstr>
      <vt:lpstr>4. 추진계획</vt:lpstr>
      <vt:lpstr>5-1.인력현황</vt:lpstr>
      <vt:lpstr>5-2. 조직도</vt:lpstr>
      <vt:lpstr>5-3. IT인력 연수 계획</vt:lpstr>
      <vt:lpstr>6.예산</vt:lpstr>
      <vt:lpstr>(참고)사업 키워드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FSS_NT371B5L</dc:creator>
  <cp:lastModifiedBy>FSS_NT551XDA</cp:lastModifiedBy>
  <cp:lastPrinted>2023-02-15T00:37:59Z</cp:lastPrinted>
  <dcterms:created xsi:type="dcterms:W3CDTF">2019-12-16T02:30:54Z</dcterms:created>
  <dcterms:modified xsi:type="dcterms:W3CDTF">2023-03-02T07:23:34Z</dcterms:modified>
</cp:coreProperties>
</file>